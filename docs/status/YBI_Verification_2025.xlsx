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hoices" sheetId="2" state="visible" r:id="rId2"/>
    <sheet name="Verify"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sz val="14"/>
    </font>
    <font>
      <name val="Arial"/>
      <b val="1"/>
      <sz val="10"/>
    </font>
    <font>
      <name val="Arial"/>
      <sz val="10"/>
    </font>
    <font>
      <name val="Arial"/>
      <i val="1"/>
      <color rgb="00595959"/>
      <sz val="10"/>
    </font>
    <font>
      <name val="Arial"/>
      <b val="1"/>
      <color rgb="00FFFFFF"/>
      <sz val="10"/>
    </font>
  </fonts>
  <fills count="6">
    <fill>
      <patternFill/>
    </fill>
    <fill>
      <patternFill patternType="gray125"/>
    </fill>
    <fill>
      <patternFill patternType="solid">
        <fgColor rgb="001F3B4D"/>
      </patternFill>
    </fill>
    <fill>
      <patternFill patternType="solid">
        <fgColor rgb="00EFEFEF"/>
      </patternFill>
    </fill>
    <fill>
      <patternFill patternType="solid">
        <fgColor rgb="00E7F0EA"/>
      </patternFill>
    </fill>
    <fill>
      <patternFill patternType="solid">
        <fgColor rgb="00FFFD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applyAlignment="1" pivotButton="0" quotePrefix="0" xfId="0">
      <alignment vertical="center" wrapText="1"/>
    </xf>
    <xf numFmtId="0" fontId="3" fillId="3" borderId="1" applyAlignment="1" pivotButton="0" quotePrefix="0" xfId="0">
      <alignment vertical="top" wrapText="1"/>
    </xf>
    <xf numFmtId="0" fontId="3" fillId="3" borderId="1" applyAlignment="1" pivotButton="0" quotePrefix="0" xfId="0">
      <alignment horizontal="right" vertical="top"/>
    </xf>
    <xf numFmtId="0" fontId="3" fillId="4" borderId="1" applyAlignment="1" applyProtection="1" pivotButton="0" quotePrefix="0" xfId="0">
      <alignment vertical="top" wrapText="1"/>
      <protection locked="0" hidden="0"/>
    </xf>
    <xf numFmtId="164" fontId="3" fillId="4" borderId="1" applyAlignment="1" applyProtection="1" pivotButton="0" quotePrefix="0" xfId="0">
      <alignment vertical="top" wrapText="1"/>
      <protection locked="0" hidden="0"/>
    </xf>
    <xf numFmtId="0" fontId="3" fillId="5" borderId="1" applyAlignment="1" applyProtection="1" pivotButton="0" quotePrefix="0" xfId="0">
      <alignment vertical="top" wrapText="1"/>
      <protection locked="0" hidden="0"/>
    </xf>
    <xf numFmtId="164" fontId="3"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04" customWidth="1" min="1" max="1"/>
  </cols>
  <sheetData>
    <row r="1">
      <c r="A1" s="1" t="inlineStr">
        <is>
          <t>YBI · VERIFICATION · 2025 · Discrepancies for the controller to settle</t>
        </is>
      </c>
    </row>
    <row r="3">
      <c r="A3" s="2" t="inlineStr">
        <is>
          <t>What this is</t>
        </is>
      </c>
    </row>
    <row r="4" ht="45" customHeight="1">
      <c r="A4" s="3" t="inlineStr">
        <is>
          <t>18 things the record has found and cannot resolve on its own. Every one was found by a control rather than by somebody reading. Every one is answerable from what you already know or can reach this week — nothing here needs counsel, an outside document, or a decision from a sponsor.</t>
        </is>
      </c>
    </row>
    <row r="6">
      <c r="A6" s="2" t="inlineStr">
        <is>
          <t>How to fill it in</t>
        </is>
      </c>
    </row>
    <row r="7" ht="30" customHeight="1">
      <c r="A7" s="3" t="inlineStr">
        <is>
          <t>One row per item on the Verify sheet. Pick a status from the dropdown and write what you found in 'Your answer'. The grey columns are ours and are locked; everything cream is yours.</t>
        </is>
      </c>
    </row>
    <row r="9">
      <c r="A9" s="2" t="inlineStr">
        <is>
          <t>A blank is a blank</t>
        </is>
      </c>
    </row>
    <row r="10" ht="45" customHeight="1">
      <c r="A10" s="3" t="inlineStr">
        <is>
          <t>Leave anything you have not settled empty, or mark it STILL CHECKING. We record an empty cell as unanswered and come back to it. Guessing to finish the sheet is the one thing that would do real harm, because a guess is indistinguishable from a fact once it is in a column.</t>
        </is>
      </c>
    </row>
    <row r="12">
      <c r="A12" s="2" t="inlineStr">
        <is>
          <t>Row 0 is the worked example</t>
        </is>
      </c>
    </row>
    <row r="13" ht="30" customHeight="1">
      <c r="A13" s="3" t="inlineStr">
        <is>
          <t>The Bacon $45,000, already confirmed, filled in the way the rest should be. It shows the shape: what was found, what it moved, and what is still outstanding on it.</t>
        </is>
      </c>
    </row>
    <row r="15">
      <c r="A15" s="2" t="inlineStr">
        <is>
          <t>Order</t>
        </is>
      </c>
    </row>
    <row r="16" ht="30" customHeight="1">
      <c r="A16" s="3" t="inlineStr">
        <is>
          <t>Ordered by how much each moves the rate. The six depreciation items are worth roughly three points of the indirect rate between them, which is more than everything below them combined.</t>
        </is>
      </c>
    </row>
    <row r="18">
      <c r="A18" s="4" t="inlineStr">
        <is>
          <t>Figures read from the live record on 11 September 2026. The narrative version, with the working behind each figure, is docs/FOR_TOM_TO_VERIFY.md.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34" customWidth="1" min="1" max="1"/>
  </cols>
  <sheetData>
    <row r="1">
      <c r="A1" s="2" t="inlineStr">
        <is>
          <t>Status</t>
        </is>
      </c>
    </row>
    <row r="2">
      <c r="A2" s="5" t="inlineStr">
        <is>
          <t>CONFIRMED — the record is right</t>
        </is>
      </c>
    </row>
    <row r="3">
      <c r="A3" s="5" t="inlineStr">
        <is>
          <t>CORRECTED — I have changed something</t>
        </is>
      </c>
    </row>
    <row r="4">
      <c r="A4" s="5" t="inlineStr">
        <is>
          <t>STILL CHECKING</t>
        </is>
      </c>
    </row>
    <row r="5">
      <c r="A5" s="5" t="inlineStr">
        <is>
          <t>SOMEBODY ELSE HAS TO ANSWER</t>
        </is>
      </c>
    </row>
    <row r="6">
      <c r="A6" s="5" t="inlineStr">
        <is>
          <t>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8" customWidth="1" min="3" max="3"/>
    <col width="14" customWidth="1" min="4" max="4"/>
    <col width="46" customWidth="1" min="5" max="5"/>
    <col width="40" customWidth="1" min="6" max="6"/>
    <col width="30" customWidth="1" min="7" max="7"/>
    <col width="52" customWidth="1" min="8" max="8"/>
    <col width="18" customWidth="1" min="9" max="9"/>
    <col width="12" customWidth="1" min="10" max="10"/>
  </cols>
  <sheetData>
    <row r="1" ht="26" customHeight="1">
      <c r="A1" s="6" t="inlineStr">
        <is>
          <t>Ref</t>
        </is>
      </c>
      <c r="B1" s="6" t="inlineStr">
        <is>
          <t>Area</t>
        </is>
      </c>
      <c r="C1" s="6" t="inlineStr">
        <is>
          <t>What we found</t>
        </is>
      </c>
      <c r="D1" s="6" t="inlineStr">
        <is>
          <t>Figure</t>
        </is>
      </c>
      <c r="E1" s="6" t="inlineStr">
        <is>
          <t>What we need from you</t>
        </is>
      </c>
      <c r="F1" s="6" t="inlineStr">
        <is>
          <t>What turns on it</t>
        </is>
      </c>
      <c r="G1" s="6" t="inlineStr">
        <is>
          <t>Status</t>
        </is>
      </c>
      <c r="H1" s="6" t="inlineStr">
        <is>
          <t>Your answer</t>
        </is>
      </c>
      <c r="I1" s="6" t="inlineStr">
        <is>
          <t>Answered by</t>
        </is>
      </c>
      <c r="J1" s="6" t="inlineStr">
        <is>
          <t>Date</t>
        </is>
      </c>
    </row>
    <row r="2" ht="74" customHeight="1">
      <c r="A2" s="7" t="inlineStr">
        <is>
          <t>0</t>
        </is>
      </c>
      <c r="B2" s="7" t="inlineStr">
        <is>
          <t>Example</t>
        </is>
      </c>
      <c r="C2" s="7" t="inlineStr">
        <is>
          <t>The Bacon $45,000 — confirmed. A pledge from Vince and Phyllis Bacon to fund interns was booked as a credit against 5142 Intern Wages rather than as contributions income. Ten of the eleven cross-reference controls were blind to it; only the payroll register could see it.</t>
        </is>
      </c>
      <c r="D2" s="8" t="inlineStr">
        <is>
          <t>45,000.00</t>
        </is>
      </c>
      <c r="E2" s="7" t="inlineStr">
        <is>
          <t>Confirmed on 11 September 2026. Still open: the entry has not been reposted in QuickBooks. When it is, tell us — the reconciling item has to come off with it, and the two must not both be there.</t>
        </is>
      </c>
      <c r="F2" s="7" t="inlineStr">
        <is>
          <t>Fringe rate: 22.45% against the defensible 21.90%.</t>
        </is>
      </c>
      <c r="G2" s="9" t="inlineStr">
        <is>
          <t>CONFIRMED — the record is right</t>
        </is>
      </c>
      <c r="H2" s="9" t="inlineStr">
        <is>
          <t>Confirmed 11 Sep 2026. QuickBooks entry still to be reposted.</t>
        </is>
      </c>
      <c r="I2" s="9" t="inlineStr">
        <is>
          <t>Tom Metzinger</t>
        </is>
      </c>
      <c r="J2" s="10" t="n">
        <v>46276</v>
      </c>
    </row>
    <row r="3" ht="74" customHeight="1">
      <c r="A3" s="7" t="inlineStr">
        <is>
          <t>1.1</t>
        </is>
      </c>
      <c r="B3" s="7" t="inlineStr">
        <is>
          <t>Depreciation</t>
        </is>
      </c>
      <c r="C3" s="7" t="inlineStr">
        <is>
          <t>Three reimbursements netted against Tech Block Building 5. The 2026 asset schedule carries Fitz Reimbursement −117,739.00 (30 Jun 2019), NCDMM Reimbursement −25,000.00 (26 Sep 2019) and YSU Reimbursement −15,000.00 (31 Dec 2019) against Building 5. This is Finding 2024-001 in the flesh.</t>
        </is>
      </c>
      <c r="D3" s="8" t="inlineStr">
        <is>
          <t>157,739.00</t>
        </is>
      </c>
      <c r="E3" s="7" t="inlineStr">
        <is>
          <t>Is the recorded cost of Building 5 gross or net of these three? And is NCDMM's $25,000 federal money?</t>
        </is>
      </c>
      <c r="F3" s="7" t="inlineStr">
        <is>
          <t>If the cost is net, the gross basis is understated and the federal share cannot be derived from the books at all.</t>
        </is>
      </c>
      <c r="G3" s="11" t="inlineStr"/>
      <c r="H3" s="11" t="inlineStr"/>
      <c r="I3" s="11" t="inlineStr"/>
      <c r="J3" s="12" t="n"/>
    </row>
    <row r="4" ht="74" customHeight="1">
      <c r="A4" s="7" t="inlineStr">
        <is>
          <t>1.2</t>
        </is>
      </c>
      <c r="B4" s="7" t="inlineStr">
        <is>
          <t>Depreciation</t>
        </is>
      </c>
      <c r="C4" s="7" t="inlineStr">
        <is>
          <t>Two aggregates the register's own totals exclude. BUILDINGS at 180,000.00 and CAPITAL IMPROVEMENTS at 1,336,695.00 are printed on their sheets and left out of the Total Cost/Basis those sheets carry. They look like opening aggregates the itemised rows below them replaced.</t>
        </is>
      </c>
      <c r="D4" s="8" t="inlineStr">
        <is>
          <t>1,516,695.00</t>
        </is>
      </c>
      <c r="E4" s="7" t="inlineStr">
        <is>
          <t>Confirm these were superseded by the detail rather than dropped by accident.</t>
        </is>
      </c>
      <c r="F4" s="7" t="inlineStr">
        <is>
          <t>Reading them as assets overstates the basis by $1.5m; dropping them silently is a $1.5m hole nobody could see.</t>
        </is>
      </c>
      <c r="G4" s="11" t="inlineStr"/>
      <c r="H4" s="11" t="inlineStr"/>
      <c r="I4" s="11" t="inlineStr"/>
      <c r="J4" s="12" t="n"/>
    </row>
    <row r="5" ht="74" customHeight="1">
      <c r="A5" s="7" t="inlineStr">
        <is>
          <t>1.3</t>
        </is>
      </c>
      <c r="B5" s="7" t="inlineStr">
        <is>
          <t>Depreciation</t>
        </is>
      </c>
      <c r="C5" s="7" t="inlineStr">
        <is>
          <t>The register is above the balance sheet. Register 23,419,573.64 plus construction in progress 438,355.19 = 23,857,928.83, against gross fixed assets of 23,735,007.69 on the 31 December 2025 balance sheet.</t>
        </is>
      </c>
      <c r="D5" s="8" t="inlineStr">
        <is>
          <t>122,921.14</t>
        </is>
      </c>
      <c r="E5" s="7" t="inlineStr">
        <is>
          <t>Can we have the register as at 31 December 2025? Failing that, confirm the 122,921.14 is 2026 additions.</t>
        </is>
      </c>
      <c r="F5" s="7" t="inlineStr">
        <is>
          <t>The register is a 2026 export, so this is probably timing — and the rate should not rest on 'probably'.</t>
        </is>
      </c>
      <c r="G5" s="11" t="inlineStr"/>
      <c r="H5" s="11" t="inlineStr"/>
      <c r="I5" s="11" t="inlineStr"/>
      <c r="J5" s="12" t="n"/>
    </row>
    <row r="6" ht="74" customHeight="1">
      <c r="A6" s="7" t="inlineStr">
        <is>
          <t>1.4</t>
        </is>
      </c>
      <c r="B6" s="7" t="inlineStr">
        <is>
          <t>Depreciation</t>
        </is>
      </c>
      <c r="C6" s="7" t="inlineStr">
        <is>
          <t>Depreciation differs. 2025 P&amp;L account 5010 reads 850,382.89. The register's Current Depreciation totals 872,811.91.</t>
        </is>
      </c>
      <c r="D6" s="8" t="inlineStr">
        <is>
          <t>22,429.02</t>
        </is>
      </c>
      <c r="E6" s="7" t="inlineStr">
        <is>
          <t>Same likely cause as 1.3 — a 2026 export — and the same answer settles both.</t>
        </is>
      </c>
      <c r="F6" s="7" t="inlineStr">
        <is>
          <t>The depreciation figure feeds the facilities pool directly.</t>
        </is>
      </c>
      <c r="G6" s="11" t="inlineStr"/>
      <c r="H6" s="11" t="inlineStr"/>
      <c r="I6" s="11" t="inlineStr"/>
      <c r="J6" s="12" t="n"/>
    </row>
    <row r="7" ht="74" customHeight="1">
      <c r="A7" s="7" t="inlineStr">
        <is>
          <t>1.5</t>
        </is>
      </c>
      <c r="B7" s="7" t="inlineStr">
        <is>
          <t>Depreciation</t>
        </is>
      </c>
      <c r="C7" s="7" t="inlineStr">
        <is>
          <t>Xjet Ceramic Printer carried at zero. System no. 174, in service 25 January 2018, seven-year life, cost 0.00, no accumulated and no current depreciation. A real number and a real date with no money against them. There is also an XJET cost objective on the record.</t>
        </is>
      </c>
      <c r="D7" s="8" t="inlineStr">
        <is>
          <t>0.00</t>
        </is>
      </c>
      <c r="E7" s="7" t="inlineStr">
        <is>
          <t>Donated? Fully reimbursed and netted, like 1.1? Or written off?</t>
        </is>
      </c>
      <c r="F7" s="7" t="inlineStr">
        <is>
          <t>An asset at zero that should carry cost is missing basis.</t>
        </is>
      </c>
      <c r="G7" s="11" t="inlineStr"/>
      <c r="H7" s="11" t="inlineStr"/>
      <c r="I7" s="11" t="inlineStr"/>
      <c r="J7" s="12" t="n"/>
    </row>
    <row r="8" ht="74" customHeight="1">
      <c r="A8" s="7" t="inlineStr">
        <is>
          <t>1.6</t>
        </is>
      </c>
      <c r="B8" s="7" t="inlineStr">
        <is>
          <t>Depreciation</t>
        </is>
      </c>
      <c r="C8" s="7" t="inlineStr">
        <is>
          <t>Two True Up Entry rows. On the Building 5 sheet, dated 30 and 31 December 2019, carrying accumulated depreciation of 7,173.29 and 9,757.84 and no cost at all.</t>
        </is>
      </c>
      <c r="D8" s="8" t="inlineStr">
        <is>
          <t>16,931.13</t>
        </is>
      </c>
      <c r="E8" s="7" t="inlineStr">
        <is>
          <t>What were these correcting?</t>
        </is>
      </c>
      <c r="F8" s="7" t="inlineStr">
        <is>
          <t>Accumulated depreciation with no asset behind it distorts net book value by class.</t>
        </is>
      </c>
      <c r="G8" s="11" t="inlineStr"/>
      <c r="H8" s="11" t="inlineStr"/>
      <c r="I8" s="11" t="inlineStr"/>
      <c r="J8" s="12" t="n"/>
    </row>
    <row r="9" ht="74" customHeight="1">
      <c r="A9" s="7" t="inlineStr">
        <is>
          <t>2.1</t>
        </is>
      </c>
      <c r="B9" s="7" t="inlineStr">
        <is>
          <t>The books</t>
        </is>
      </c>
      <c r="C9" s="7" t="inlineStr">
        <is>
          <t>Every ledger-to-P&amp;L difference is Rising Tides. Five accounts differ and all five are one account bleeding into four others: Rising Tides +7,469.87 against ESP −6,300.00, Travel −622.26, Advertising −280.40 and Staff Training −267.21. Ten specific lines, all named on the record.</t>
        </is>
      </c>
      <c r="D9" s="8" t="inlineStr">
        <is>
          <t>7,469.87</t>
        </is>
      </c>
      <c r="E9" s="7" t="inlineStr">
        <is>
          <t>Were these reclassified out of Rising Tides after the general ledger was exported and before the P&amp;L was?</t>
        </is>
      </c>
      <c r="F9" s="7" t="inlineStr">
        <is>
          <t>If yes the record is right as it stands. If not, one of the two exports is wrong.</t>
        </is>
      </c>
      <c r="G9" s="11" t="inlineStr"/>
      <c r="H9" s="11" t="inlineStr"/>
      <c r="I9" s="11" t="inlineStr"/>
      <c r="J9" s="12" t="n"/>
    </row>
    <row r="10" ht="74" customHeight="1">
      <c r="A10" s="7" t="inlineStr">
        <is>
          <t>2.2</t>
        </is>
      </c>
      <c r="B10" s="7" t="inlineStr">
        <is>
          <t>The books</t>
        </is>
      </c>
      <c r="C10" s="7" t="inlineStr">
        <is>
          <t>Is Rising Tides federally funded?. The objective master says not federal. The controller's workbook says it is. 137 ledger lines.</t>
        </is>
      </c>
      <c r="D10" s="8" t="inlineStr">
        <is>
          <t>1,386,355.56</t>
        </is>
      </c>
      <c r="E10" s="7" t="inlineStr">
        <is>
          <t>Which is right, and what is the award?</t>
        </is>
      </c>
      <c r="F10" s="7" t="inlineStr">
        <is>
          <t>Changes the SEFA and the scope of the Single Audit — not just a rate. The biggest open question outside depreciation.</t>
        </is>
      </c>
      <c r="G10" s="11" t="inlineStr"/>
      <c r="H10" s="11" t="inlineStr"/>
      <c r="I10" s="11" t="inlineStr"/>
      <c r="J10" s="12" t="n"/>
    </row>
    <row r="11" ht="74" customHeight="1">
      <c r="A11" s="7" t="inlineStr">
        <is>
          <t>2.3</t>
        </is>
      </c>
      <c r="B11" s="7" t="inlineStr">
        <is>
          <t>The books</t>
        </is>
      </c>
      <c r="C11" s="7" t="inlineStr">
        <is>
          <t>4801 IH Grant Income. The P&amp;L reports it under Innovation Hub. The revenue ledger attributes it to NCDMM.</t>
        </is>
      </c>
      <c r="D11" s="8" t="inlineStr">
        <is>
          <t>451,170.39</t>
        </is>
      </c>
      <c r="E11" s="7" t="inlineStr">
        <is>
          <t xml:space="preserve">Which? </t>
        </is>
      </c>
      <c r="F11" s="7" t="inlineStr">
        <is>
          <t>If it is not America Makes money, the America Makes reconciliation changes by nearly half a million dollars.</t>
        </is>
      </c>
      <c r="G11" s="11" t="inlineStr"/>
      <c r="H11" s="11" t="inlineStr"/>
      <c r="I11" s="11" t="inlineStr"/>
      <c r="J11" s="12" t="n"/>
    </row>
    <row r="12" ht="74" customHeight="1">
      <c r="A12" s="7" t="inlineStr">
        <is>
          <t>2.4</t>
        </is>
      </c>
      <c r="B12" s="7" t="inlineStr">
        <is>
          <t>The books</t>
        </is>
      </c>
      <c r="C12" s="7" t="inlineStr">
        <is>
          <t>Hybrid is out by a hundred dollars. P&amp;L revenue 3900 Grant Income:Hybrid Energy reads 191,638.05. The grant tabs read 191,738.17.</t>
        </is>
      </c>
      <c r="D12" s="8" t="inlineStr">
        <is>
          <t>100.02</t>
        </is>
      </c>
      <c r="E12" s="7" t="inlineStr">
        <is>
          <t>Which is right?</t>
        </is>
      </c>
      <c r="F12" s="7" t="inlineStr">
        <is>
          <t>Small, and Hybrid's over-billing conclusion stands either way — but worth closing rather than leaving in a workpaper.</t>
        </is>
      </c>
      <c r="G12" s="11" t="inlineStr"/>
      <c r="H12" s="11" t="inlineStr"/>
      <c r="I12" s="11" t="inlineStr"/>
      <c r="J12" s="12" t="n"/>
    </row>
    <row r="13" ht="74" customHeight="1">
      <c r="A13" s="7" t="inlineStr">
        <is>
          <t>3.1</t>
        </is>
      </c>
      <c r="B13" s="7" t="inlineStr">
        <is>
          <t>Space</t>
        </is>
      </c>
      <c r="C13" s="7" t="inlineStr">
        <is>
          <t>Four buildings named once each. The 2025 lease book names AM, Taft, Semple and Taft/semple once each. The other twenty-two tenants are in YBI or TBB5.</t>
        </is>
      </c>
      <c r="D13" s="8" t="inlineStr">
        <is>
          <t>4 buildings</t>
        </is>
      </c>
      <c r="E13" s="7" t="inlineStr">
        <is>
          <t>Are these YBI buildings, and are Taft, Semple and Taft/semple two buildings or three?</t>
        </is>
      </c>
      <c r="F13" s="7" t="inlineStr">
        <is>
          <t>Square footage per building is what sizes the facilities carve-out.</t>
        </is>
      </c>
      <c r="G13" s="11" t="inlineStr"/>
      <c r="H13" s="11" t="inlineStr"/>
      <c r="I13" s="11" t="inlineStr"/>
      <c r="J13" s="12" t="n"/>
    </row>
    <row r="14" ht="74" customHeight="1">
      <c r="A14" s="7" t="inlineStr">
        <is>
          <t>3.2</t>
        </is>
      </c>
      <c r="B14" s="7" t="inlineStr">
        <is>
          <t>Space</t>
        </is>
      </c>
      <c r="C14" s="7" t="inlineStr">
        <is>
          <t>One tenant across two buildings. Taft/semple is a single row in the lease book.</t>
        </is>
      </c>
      <c r="D14" s="8" t="inlineStr">
        <is>
          <t>1 tenancy</t>
        </is>
      </c>
      <c r="E14" s="7" t="inlineStr">
        <is>
          <t>Which building does it belong to, or how should the square footage split between the two?</t>
        </is>
      </c>
      <c r="F14" s="7" t="inlineStr">
        <is>
          <t>A tenancy in no building cannot be carved out of the pool.</t>
        </is>
      </c>
      <c r="G14" s="11" t="inlineStr"/>
      <c r="H14" s="11" t="inlineStr"/>
      <c r="I14" s="11" t="inlineStr"/>
      <c r="J14" s="12" t="n"/>
    </row>
    <row r="15" ht="74" customHeight="1">
      <c r="A15" s="7" t="inlineStr">
        <is>
          <t>3.3</t>
        </is>
      </c>
      <c r="B15" s="7" t="inlineStr">
        <is>
          <t>Space</t>
        </is>
      </c>
      <c r="C15" s="7" t="inlineStr">
        <is>
          <t>Eight tenancies with no start date. Azanna Elise, Equipment Appraisal Services, Greg Babinack, JSO Technologies, M. Jones, Made by Morgan, Parallax and Ralph Zerbonia say 'monthly' where a start date belongs.</t>
        </is>
      </c>
      <c r="D15" s="8" t="inlineStr">
        <is>
          <t>18,592.56</t>
        </is>
      </c>
      <c r="E15" s="7" t="inlineStr">
        <is>
          <t>Month-to-month arrangements, or start dates that were never recorded?</t>
        </is>
      </c>
      <c r="F15" s="7" t="inlineStr">
        <is>
          <t>A suite occupied for part of the year is a part of a suite of cost.</t>
        </is>
      </c>
      <c r="G15" s="11" t="inlineStr"/>
      <c r="H15" s="11" t="inlineStr"/>
      <c r="I15" s="11" t="inlineStr"/>
      <c r="J15" s="12" t="n"/>
    </row>
    <row r="16" ht="74" customHeight="1">
      <c r="A16" s="7" t="inlineStr">
        <is>
          <t>3.4</t>
        </is>
      </c>
      <c r="B16" s="7" t="inlineStr">
        <is>
          <t>Space</t>
        </is>
      </c>
      <c r="C16" s="7" t="inlineStr">
        <is>
          <t>MVMC starts 1 April 2026. It is in the 2025 lease book and contributes no 2025 rent.</t>
        </is>
      </c>
      <c r="D16" s="8" t="inlineStr">
        <is>
          <t>1 lease</t>
        </is>
      </c>
      <c r="E16" s="7" t="inlineStr">
        <is>
          <t>Should it be in the 2025 book at all?</t>
        </is>
      </c>
      <c r="F16" s="7" t="inlineStr">
        <is>
          <t>A future tenancy counted as 2025 space overstates occupied area.</t>
        </is>
      </c>
      <c r="G16" s="11" t="inlineStr"/>
      <c r="H16" s="11" t="inlineStr"/>
      <c r="I16" s="11" t="inlineStr"/>
      <c r="J16" s="12" t="n"/>
    </row>
    <row r="17" ht="74" customHeight="1">
      <c r="A17" s="7" t="inlineStr">
        <is>
          <t>4.1</t>
        </is>
      </c>
      <c r="B17" s="7" t="inlineStr">
        <is>
          <t>People</t>
        </is>
      </c>
      <c r="C17" s="7" t="inlineStr">
        <is>
          <t>The payroll register keys people by surname. EWING, RUBY, GAFFNEY. The register carries surnames and no payroll identifier.</t>
        </is>
      </c>
      <c r="D17" s="8" t="inlineStr">
        <is>
          <t>43 people</t>
        </is>
      </c>
      <c r="E17" s="7" t="inlineStr">
        <is>
          <t>Any duplicate surnames on the 2025 register?</t>
        </is>
      </c>
      <c r="F17" s="7" t="inlineStr">
        <is>
          <t>If yes, two people's hours are already joined together and every effort figure for both is wrong. It would be a change to the ingest, not to a form.</t>
        </is>
      </c>
      <c r="G17" s="11" t="inlineStr"/>
      <c r="H17" s="11" t="inlineStr"/>
      <c r="I17" s="11" t="inlineStr"/>
      <c r="J17" s="12" t="n"/>
    </row>
    <row r="18" ht="74" customHeight="1">
      <c r="A18" s="7" t="inlineStr">
        <is>
          <t>5.1</t>
        </is>
      </c>
      <c r="B18" s="7" t="inlineStr">
        <is>
          <t>Invoices</t>
        </is>
      </c>
      <c r="C18" s="7" t="inlineStr">
        <is>
          <t>The invoice dates on file are ours, not YBI's. 10018, 10023 and 10039 all carry 2026-05-01 with an April 2026 service period, sitting in period 2025. Those dates are a placeholder in our loader — the line items and totals are real, the dates were never supplied.</t>
        </is>
      </c>
      <c r="D18" s="8" t="inlineStr">
        <is>
          <t>3 invoices</t>
        </is>
      </c>
      <c r="E18" s="7" t="inlineStr">
        <is>
          <t>The real invoice dates and service periods for the three.</t>
        </is>
      </c>
      <c r="F18" s="7" t="inlineStr">
        <is>
          <t>A restatement is measured per invoice within a period, so a wrong date puts a claim in the wrong year.</t>
        </is>
      </c>
      <c r="G18" s="11" t="inlineStr"/>
      <c r="H18" s="11" t="inlineStr"/>
      <c r="I18" s="11" t="inlineStr"/>
      <c r="J18" s="12" t="n"/>
    </row>
    <row r="19" ht="74" customHeight="1">
      <c r="A19" s="7" t="inlineStr">
        <is>
          <t>5.2</t>
        </is>
      </c>
      <c r="B19" s="7" t="inlineStr">
        <is>
          <t>Invoices</t>
        </is>
      </c>
      <c r="C19" s="7" t="inlineStr">
        <is>
          <t>No cash recorded against any invoice. 37,593.90 + 1,374.00 + 18,993.52 issued, and zero receipts on the record.</t>
        </is>
      </c>
      <c r="D19" s="8" t="inlineStr">
        <is>
          <t>57,961.42</t>
        </is>
      </c>
      <c r="E19" s="7" t="inlineStr">
        <is>
          <t>Have these been paid, in whole or in part?</t>
        </is>
      </c>
      <c r="F19" s="7" t="inlineStr">
        <is>
          <t>Collections are unknowable from the system today. A receipt may be negative, so a clawback would show here too.</t>
        </is>
      </c>
      <c r="G19" s="11" t="inlineStr"/>
      <c r="H19" s="11" t="inlineStr"/>
      <c r="I19" s="11" t="inlineStr"/>
      <c r="J19" s="12" t="n"/>
    </row>
  </sheetData>
  <sheetProtection selectLockedCells="0" selectUnlockedCells="0" sheet="1" objects="0" insertRows="1" insertHyperlinks="1" autoFilter="1" scenarios="0" formatColumns="0" deleteColumns="1" insertColumns="1" pivotTables="1" deleteRows="1" formatCells="0" formatRows="0" sort="1" password="CC7A"/>
  <dataValidations count="1">
    <dataValidation sqref="G2:G58" showDropDown="0" showInputMessage="0" showErrorMessage="1" allowBlank="1" errorTitle="Status" error="Pick one of: CONFIRMED — the record is right; CORRECTED — I have changed something; STILL CHECKING; SOMEBODY ELSE HAS TO ANSWER; NOT APPLICABLE. Leave it blank if you have not settled it." type="list">
      <formula1>'Choices'!$A$2:$A$6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YBI cost allocation</dc:creator>
  <dc:title>YBI · VERIFICATION · 2025</dc:title>
  <dcterms:created xsi:type="dcterms:W3CDTF">2026-09-11T17:00:47Z</dcterms:created>
  <dcterms:modified xsi:type="dcterms:W3CDTF">2026-09-11T17:00:47Z</dcterms:modified>
</cp:coreProperties>
</file>