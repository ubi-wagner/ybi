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ivotTables/pivotTable1.xml" ContentType="application/vnd.openxmlformats-officedocument.spreadsheetml.pivotTab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#CLIENTS\Youngstown Business Incubator\2025 Year End\Sample Requests\08.12.2026\Drive AM CF\"/>
    </mc:Choice>
  </mc:AlternateContent>
  <xr:revisionPtr revIDLastSave="0" documentId="13_ncr:1_{58F68460-7D67-4B87-9E1E-A34A289BE56B}" xr6:coauthVersionLast="47" xr6:coauthVersionMax="47" xr10:uidLastSave="{00000000-0000-0000-0000-000000000000}"/>
  <bookViews>
    <workbookView xWindow="-105" yWindow="0" windowWidth="19410" windowHeight="15585" firstSheet="1" activeTab="1" xr2:uid="{4EF46FC2-1E65-474B-BFED-294EAFE44965}"/>
  </bookViews>
  <sheets>
    <sheet name="Sheet1" sheetId="1" state="hidden" r:id="rId1"/>
    <sheet name="Time Breakdown" sheetId="14" r:id="rId2"/>
    <sheet name="09.04.26 Time Total" sheetId="13" r:id="rId3"/>
    <sheet name="Hours Log" sheetId="6" r:id="rId4"/>
    <sheet name="Reference Sheet" sheetId="7" r:id="rId5"/>
    <sheet name="Summary Sheet" sheetId="11" r:id="rId6"/>
    <sheet name="D-AM" sheetId="9" r:id="rId7"/>
    <sheet name="Hybrid" sheetId="8" r:id="rId8"/>
    <sheet name="LTM" sheetId="10" r:id="rId9"/>
    <sheet name="Rising Tides" sheetId="12" r:id="rId10"/>
    <sheet name="Hours available" sheetId="5" state="hidden" r:id="rId11"/>
    <sheet name="o-D-AM" sheetId="2" state="hidden" r:id="rId12"/>
    <sheet name="o-Hybrid" sheetId="4" state="hidden" r:id="rId13"/>
    <sheet name="o-LTM" sheetId="3" state="hidden" r:id="rId14"/>
  </sheets>
  <definedNames>
    <definedName name="_xlnm._FilterDatabase" localSheetId="3" hidden="1">'Hours Log'!$A$1:$BR$323</definedName>
  </definedNames>
  <calcPr calcId="191029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W98" i="14" l="1"/>
  <c r="B100" i="14" l="1"/>
  <c r="B101" i="14"/>
  <c r="B102" i="14"/>
  <c r="B103" i="14"/>
  <c r="B104" i="14"/>
  <c r="B105" i="14"/>
  <c r="B106" i="14"/>
  <c r="B107" i="14"/>
  <c r="B108" i="14"/>
  <c r="B109" i="14"/>
  <c r="B110" i="14"/>
  <c r="B111" i="14"/>
  <c r="B112" i="14"/>
  <c r="B113" i="14"/>
  <c r="B114" i="14"/>
  <c r="B115" i="14"/>
  <c r="B116" i="14"/>
  <c r="B117" i="14"/>
  <c r="B118" i="14"/>
  <c r="B119" i="14"/>
  <c r="B120" i="14"/>
  <c r="B121" i="14"/>
  <c r="B122" i="14"/>
  <c r="B123" i="14"/>
  <c r="B124" i="14"/>
  <c r="B125" i="14"/>
  <c r="B147" i="14"/>
  <c r="B126" i="14"/>
  <c r="B127" i="14"/>
  <c r="B128" i="14"/>
  <c r="B129" i="14"/>
  <c r="B130" i="14"/>
  <c r="B131" i="14"/>
  <c r="B132" i="14"/>
  <c r="B133" i="14"/>
  <c r="B134" i="14"/>
  <c r="B135" i="14"/>
  <c r="B136" i="14"/>
  <c r="B137" i="14"/>
  <c r="B138" i="14"/>
  <c r="B139" i="14"/>
  <c r="B140" i="14"/>
  <c r="B141" i="14"/>
  <c r="B142" i="14"/>
  <c r="B99" i="14"/>
  <c r="B3" i="14"/>
  <c r="C3" i="14"/>
  <c r="D3" i="14"/>
  <c r="E3" i="14"/>
  <c r="F3" i="14"/>
  <c r="G3" i="14"/>
  <c r="H3" i="14"/>
  <c r="I3" i="14"/>
  <c r="J3" i="14"/>
  <c r="K3" i="14"/>
  <c r="L3" i="14"/>
  <c r="M3" i="14"/>
  <c r="N3" i="14"/>
  <c r="O3" i="14"/>
  <c r="P3" i="14"/>
  <c r="Q3" i="14"/>
  <c r="R3" i="14"/>
  <c r="S3" i="14"/>
  <c r="T3" i="14"/>
  <c r="U3" i="14"/>
  <c r="B4" i="14"/>
  <c r="C4" i="14"/>
  <c r="D4" i="14"/>
  <c r="E4" i="14"/>
  <c r="F4" i="14"/>
  <c r="G4" i="14"/>
  <c r="H4" i="14"/>
  <c r="I4" i="14"/>
  <c r="J4" i="14"/>
  <c r="K4" i="14"/>
  <c r="L4" i="14"/>
  <c r="M4" i="14"/>
  <c r="N4" i="14"/>
  <c r="O4" i="14"/>
  <c r="P4" i="14"/>
  <c r="Q4" i="14"/>
  <c r="R4" i="14"/>
  <c r="S4" i="14"/>
  <c r="T4" i="14"/>
  <c r="U4" i="14"/>
  <c r="B5" i="14"/>
  <c r="C5" i="14"/>
  <c r="D5" i="14"/>
  <c r="E5" i="14"/>
  <c r="F5" i="14"/>
  <c r="G5" i="14"/>
  <c r="H5" i="14"/>
  <c r="I5" i="14"/>
  <c r="J5" i="14"/>
  <c r="K5" i="14"/>
  <c r="L5" i="14"/>
  <c r="M5" i="14"/>
  <c r="N5" i="14"/>
  <c r="O5" i="14"/>
  <c r="P5" i="14"/>
  <c r="Q5" i="14"/>
  <c r="R5" i="14"/>
  <c r="S5" i="14"/>
  <c r="T5" i="14"/>
  <c r="U5" i="14"/>
  <c r="B6" i="14"/>
  <c r="C6" i="14"/>
  <c r="D6" i="14"/>
  <c r="E6" i="14"/>
  <c r="F6" i="14"/>
  <c r="G6" i="14"/>
  <c r="H6" i="14"/>
  <c r="I6" i="14"/>
  <c r="J6" i="14"/>
  <c r="K6" i="14"/>
  <c r="L6" i="14"/>
  <c r="M6" i="14"/>
  <c r="N6" i="14"/>
  <c r="O6" i="14"/>
  <c r="P6" i="14"/>
  <c r="Q6" i="14"/>
  <c r="R6" i="14"/>
  <c r="S6" i="14"/>
  <c r="T6" i="14"/>
  <c r="U6" i="14"/>
  <c r="B7" i="14"/>
  <c r="C7" i="14"/>
  <c r="D7" i="14"/>
  <c r="E7" i="14"/>
  <c r="F7" i="14"/>
  <c r="G7" i="14"/>
  <c r="H7" i="14"/>
  <c r="I7" i="14"/>
  <c r="J7" i="14"/>
  <c r="K7" i="14"/>
  <c r="L7" i="14"/>
  <c r="M7" i="14"/>
  <c r="N7" i="14"/>
  <c r="O7" i="14"/>
  <c r="P7" i="14"/>
  <c r="Q7" i="14"/>
  <c r="R7" i="14"/>
  <c r="S7" i="14"/>
  <c r="T7" i="14"/>
  <c r="U7" i="14"/>
  <c r="B8" i="14"/>
  <c r="C8" i="14"/>
  <c r="D8" i="14"/>
  <c r="E8" i="14"/>
  <c r="F8" i="14"/>
  <c r="G8" i="14"/>
  <c r="H8" i="14"/>
  <c r="I8" i="14"/>
  <c r="J8" i="14"/>
  <c r="K8" i="14"/>
  <c r="L8" i="14"/>
  <c r="M8" i="14"/>
  <c r="N8" i="14"/>
  <c r="O8" i="14"/>
  <c r="P8" i="14"/>
  <c r="Q8" i="14"/>
  <c r="R8" i="14"/>
  <c r="S8" i="14"/>
  <c r="T8" i="14"/>
  <c r="U8" i="14"/>
  <c r="B9" i="14"/>
  <c r="C9" i="14"/>
  <c r="D9" i="14"/>
  <c r="E9" i="14"/>
  <c r="F9" i="14"/>
  <c r="G9" i="14"/>
  <c r="H9" i="14"/>
  <c r="I9" i="14"/>
  <c r="J9" i="14"/>
  <c r="K9" i="14"/>
  <c r="L9" i="14"/>
  <c r="M9" i="14"/>
  <c r="N9" i="14"/>
  <c r="O9" i="14"/>
  <c r="P9" i="14"/>
  <c r="Q9" i="14"/>
  <c r="R9" i="14"/>
  <c r="S9" i="14"/>
  <c r="T9" i="14"/>
  <c r="U9" i="14"/>
  <c r="B10" i="14"/>
  <c r="C10" i="14"/>
  <c r="D10" i="14"/>
  <c r="E10" i="14"/>
  <c r="F10" i="14"/>
  <c r="G10" i="14"/>
  <c r="H10" i="14"/>
  <c r="I10" i="14"/>
  <c r="J10" i="14"/>
  <c r="K10" i="14"/>
  <c r="L10" i="14"/>
  <c r="M10" i="14"/>
  <c r="N10" i="14"/>
  <c r="O10" i="14"/>
  <c r="P10" i="14"/>
  <c r="Q10" i="14"/>
  <c r="R10" i="14"/>
  <c r="S10" i="14"/>
  <c r="T10" i="14"/>
  <c r="U10" i="14"/>
  <c r="B11" i="14"/>
  <c r="C11" i="14"/>
  <c r="D11" i="14"/>
  <c r="E11" i="14"/>
  <c r="F11" i="14"/>
  <c r="G11" i="14"/>
  <c r="H11" i="14"/>
  <c r="I11" i="14"/>
  <c r="J11" i="14"/>
  <c r="K11" i="14"/>
  <c r="L11" i="14"/>
  <c r="M11" i="14"/>
  <c r="N11" i="14"/>
  <c r="O11" i="14"/>
  <c r="P11" i="14"/>
  <c r="Q11" i="14"/>
  <c r="R11" i="14"/>
  <c r="S11" i="14"/>
  <c r="T11" i="14"/>
  <c r="U11" i="14"/>
  <c r="B12" i="14"/>
  <c r="C12" i="14"/>
  <c r="D12" i="14"/>
  <c r="E12" i="14"/>
  <c r="F12" i="14"/>
  <c r="G12" i="14"/>
  <c r="H12" i="14"/>
  <c r="I12" i="14"/>
  <c r="J12" i="14"/>
  <c r="K12" i="14"/>
  <c r="L12" i="14"/>
  <c r="M12" i="14"/>
  <c r="N12" i="14"/>
  <c r="O12" i="14"/>
  <c r="P12" i="14"/>
  <c r="Q12" i="14"/>
  <c r="R12" i="14"/>
  <c r="S12" i="14"/>
  <c r="T12" i="14"/>
  <c r="U12" i="14"/>
  <c r="B13" i="14"/>
  <c r="C13" i="14"/>
  <c r="D13" i="14"/>
  <c r="E13" i="14"/>
  <c r="F13" i="14"/>
  <c r="G13" i="14"/>
  <c r="H13" i="14"/>
  <c r="I13" i="14"/>
  <c r="J13" i="14"/>
  <c r="K13" i="14"/>
  <c r="L13" i="14"/>
  <c r="M13" i="14"/>
  <c r="N13" i="14"/>
  <c r="O13" i="14"/>
  <c r="P13" i="14"/>
  <c r="Q13" i="14"/>
  <c r="R13" i="14"/>
  <c r="S13" i="14"/>
  <c r="T13" i="14"/>
  <c r="U13" i="14"/>
  <c r="B14" i="14"/>
  <c r="C14" i="14"/>
  <c r="D14" i="14"/>
  <c r="E14" i="14"/>
  <c r="F14" i="14"/>
  <c r="G14" i="14"/>
  <c r="H14" i="14"/>
  <c r="I14" i="14"/>
  <c r="J14" i="14"/>
  <c r="K14" i="14"/>
  <c r="L14" i="14"/>
  <c r="M14" i="14"/>
  <c r="N14" i="14"/>
  <c r="O14" i="14"/>
  <c r="P14" i="14"/>
  <c r="Q14" i="14"/>
  <c r="R14" i="14"/>
  <c r="S14" i="14"/>
  <c r="T14" i="14"/>
  <c r="U14" i="14"/>
  <c r="B15" i="14"/>
  <c r="C15" i="14"/>
  <c r="D15" i="14"/>
  <c r="E15" i="14"/>
  <c r="F15" i="14"/>
  <c r="G15" i="14"/>
  <c r="H15" i="14"/>
  <c r="I15" i="14"/>
  <c r="J15" i="14"/>
  <c r="K15" i="14"/>
  <c r="L15" i="14"/>
  <c r="M15" i="14"/>
  <c r="N15" i="14"/>
  <c r="O15" i="14"/>
  <c r="P15" i="14"/>
  <c r="Q15" i="14"/>
  <c r="R15" i="14"/>
  <c r="S15" i="14"/>
  <c r="T15" i="14"/>
  <c r="U15" i="14"/>
  <c r="B16" i="14"/>
  <c r="C16" i="14"/>
  <c r="D16" i="14"/>
  <c r="E16" i="14"/>
  <c r="F16" i="14"/>
  <c r="G16" i="14"/>
  <c r="H16" i="14"/>
  <c r="I16" i="14"/>
  <c r="J16" i="14"/>
  <c r="K16" i="14"/>
  <c r="L16" i="14"/>
  <c r="M16" i="14"/>
  <c r="N16" i="14"/>
  <c r="O16" i="14"/>
  <c r="P16" i="14"/>
  <c r="Q16" i="14"/>
  <c r="R16" i="14"/>
  <c r="S16" i="14"/>
  <c r="T16" i="14"/>
  <c r="U16" i="14"/>
  <c r="B17" i="14"/>
  <c r="C17" i="14"/>
  <c r="D17" i="14"/>
  <c r="E17" i="14"/>
  <c r="F17" i="14"/>
  <c r="G17" i="14"/>
  <c r="H17" i="14"/>
  <c r="I17" i="14"/>
  <c r="J17" i="14"/>
  <c r="K17" i="14"/>
  <c r="L17" i="14"/>
  <c r="M17" i="14"/>
  <c r="N17" i="14"/>
  <c r="O17" i="14"/>
  <c r="P17" i="14"/>
  <c r="Q17" i="14"/>
  <c r="R17" i="14"/>
  <c r="S17" i="14"/>
  <c r="T17" i="14"/>
  <c r="U17" i="14"/>
  <c r="B18" i="14"/>
  <c r="C18" i="14"/>
  <c r="D18" i="14"/>
  <c r="E18" i="14"/>
  <c r="F18" i="14"/>
  <c r="G18" i="14"/>
  <c r="H18" i="14"/>
  <c r="I18" i="14"/>
  <c r="J18" i="14"/>
  <c r="K18" i="14"/>
  <c r="L18" i="14"/>
  <c r="M18" i="14"/>
  <c r="N18" i="14"/>
  <c r="O18" i="14"/>
  <c r="P18" i="14"/>
  <c r="Q18" i="14"/>
  <c r="R18" i="14"/>
  <c r="S18" i="14"/>
  <c r="T18" i="14"/>
  <c r="U18" i="14"/>
  <c r="B19" i="14"/>
  <c r="C19" i="14"/>
  <c r="D19" i="14"/>
  <c r="E19" i="14"/>
  <c r="F19" i="14"/>
  <c r="G19" i="14"/>
  <c r="H19" i="14"/>
  <c r="I19" i="14"/>
  <c r="J19" i="14"/>
  <c r="K19" i="14"/>
  <c r="L19" i="14"/>
  <c r="M19" i="14"/>
  <c r="N19" i="14"/>
  <c r="O19" i="14"/>
  <c r="P19" i="14"/>
  <c r="Q19" i="14"/>
  <c r="R19" i="14"/>
  <c r="S19" i="14"/>
  <c r="T19" i="14"/>
  <c r="U19" i="14"/>
  <c r="B20" i="14"/>
  <c r="C20" i="14"/>
  <c r="D20" i="14"/>
  <c r="E20" i="14"/>
  <c r="F20" i="14"/>
  <c r="G20" i="14"/>
  <c r="H20" i="14"/>
  <c r="I20" i="14"/>
  <c r="J20" i="14"/>
  <c r="K20" i="14"/>
  <c r="L20" i="14"/>
  <c r="M20" i="14"/>
  <c r="N20" i="14"/>
  <c r="O20" i="14"/>
  <c r="P20" i="14"/>
  <c r="Q20" i="14"/>
  <c r="R20" i="14"/>
  <c r="S20" i="14"/>
  <c r="T20" i="14"/>
  <c r="U20" i="14"/>
  <c r="B21" i="14"/>
  <c r="C21" i="14"/>
  <c r="D21" i="14"/>
  <c r="E21" i="14"/>
  <c r="F21" i="14"/>
  <c r="G21" i="14"/>
  <c r="H21" i="14"/>
  <c r="I21" i="14"/>
  <c r="J21" i="14"/>
  <c r="K21" i="14"/>
  <c r="L21" i="14"/>
  <c r="M21" i="14"/>
  <c r="N21" i="14"/>
  <c r="O21" i="14"/>
  <c r="P21" i="14"/>
  <c r="Q21" i="14"/>
  <c r="R21" i="14"/>
  <c r="S21" i="14"/>
  <c r="T21" i="14"/>
  <c r="U21" i="14"/>
  <c r="B22" i="14"/>
  <c r="C22" i="14"/>
  <c r="D22" i="14"/>
  <c r="E22" i="14"/>
  <c r="F22" i="14"/>
  <c r="G22" i="14"/>
  <c r="H22" i="14"/>
  <c r="I22" i="14"/>
  <c r="J22" i="14"/>
  <c r="K22" i="14"/>
  <c r="L22" i="14"/>
  <c r="M22" i="14"/>
  <c r="N22" i="14"/>
  <c r="O22" i="14"/>
  <c r="P22" i="14"/>
  <c r="Q22" i="14"/>
  <c r="R22" i="14"/>
  <c r="S22" i="14"/>
  <c r="T22" i="14"/>
  <c r="U22" i="14"/>
  <c r="B23" i="14"/>
  <c r="C23" i="14"/>
  <c r="D23" i="14"/>
  <c r="E23" i="14"/>
  <c r="F23" i="14"/>
  <c r="G23" i="14"/>
  <c r="H23" i="14"/>
  <c r="I23" i="14"/>
  <c r="J23" i="14"/>
  <c r="K23" i="14"/>
  <c r="L23" i="14"/>
  <c r="M23" i="14"/>
  <c r="N23" i="14"/>
  <c r="O23" i="14"/>
  <c r="P23" i="14"/>
  <c r="Q23" i="14"/>
  <c r="R23" i="14"/>
  <c r="S23" i="14"/>
  <c r="T23" i="14"/>
  <c r="U23" i="14"/>
  <c r="B24" i="14"/>
  <c r="C24" i="14"/>
  <c r="D24" i="14"/>
  <c r="E24" i="14"/>
  <c r="F24" i="14"/>
  <c r="G24" i="14"/>
  <c r="H24" i="14"/>
  <c r="I24" i="14"/>
  <c r="J24" i="14"/>
  <c r="K24" i="14"/>
  <c r="L24" i="14"/>
  <c r="M24" i="14"/>
  <c r="N24" i="14"/>
  <c r="O24" i="14"/>
  <c r="P24" i="14"/>
  <c r="Q24" i="14"/>
  <c r="R24" i="14"/>
  <c r="S24" i="14"/>
  <c r="T24" i="14"/>
  <c r="U24" i="14"/>
  <c r="B25" i="14"/>
  <c r="C25" i="14"/>
  <c r="D25" i="14"/>
  <c r="E25" i="14"/>
  <c r="F25" i="14"/>
  <c r="G25" i="14"/>
  <c r="H25" i="14"/>
  <c r="I25" i="14"/>
  <c r="J25" i="14"/>
  <c r="K25" i="14"/>
  <c r="L25" i="14"/>
  <c r="M25" i="14"/>
  <c r="N25" i="14"/>
  <c r="O25" i="14"/>
  <c r="P25" i="14"/>
  <c r="Q25" i="14"/>
  <c r="R25" i="14"/>
  <c r="S25" i="14"/>
  <c r="T25" i="14"/>
  <c r="U25" i="14"/>
  <c r="B26" i="14"/>
  <c r="C26" i="14"/>
  <c r="D26" i="14"/>
  <c r="E26" i="14"/>
  <c r="F26" i="14"/>
  <c r="G26" i="14"/>
  <c r="H26" i="14"/>
  <c r="I26" i="14"/>
  <c r="J26" i="14"/>
  <c r="K26" i="14"/>
  <c r="L26" i="14"/>
  <c r="M26" i="14"/>
  <c r="N26" i="14"/>
  <c r="O26" i="14"/>
  <c r="P26" i="14"/>
  <c r="Q26" i="14"/>
  <c r="R26" i="14"/>
  <c r="S26" i="14"/>
  <c r="T26" i="14"/>
  <c r="U26" i="14"/>
  <c r="B27" i="14"/>
  <c r="C27" i="14"/>
  <c r="D27" i="14"/>
  <c r="E27" i="14"/>
  <c r="F27" i="14"/>
  <c r="G27" i="14"/>
  <c r="H27" i="14"/>
  <c r="I27" i="14"/>
  <c r="J27" i="14"/>
  <c r="K27" i="14"/>
  <c r="L27" i="14"/>
  <c r="M27" i="14"/>
  <c r="N27" i="14"/>
  <c r="O27" i="14"/>
  <c r="P27" i="14"/>
  <c r="Q27" i="14"/>
  <c r="R27" i="14"/>
  <c r="S27" i="14"/>
  <c r="T27" i="14"/>
  <c r="U27" i="14"/>
  <c r="B28" i="14"/>
  <c r="C28" i="14"/>
  <c r="D28" i="14"/>
  <c r="E28" i="14"/>
  <c r="F28" i="14"/>
  <c r="G28" i="14"/>
  <c r="H28" i="14"/>
  <c r="I28" i="14"/>
  <c r="J28" i="14"/>
  <c r="K28" i="14"/>
  <c r="L28" i="14"/>
  <c r="M28" i="14"/>
  <c r="N28" i="14"/>
  <c r="O28" i="14"/>
  <c r="P28" i="14"/>
  <c r="Q28" i="14"/>
  <c r="R28" i="14"/>
  <c r="S28" i="14"/>
  <c r="T28" i="14"/>
  <c r="U28" i="14"/>
  <c r="B29" i="14"/>
  <c r="C29" i="14"/>
  <c r="D29" i="14"/>
  <c r="E29" i="14"/>
  <c r="F29" i="14"/>
  <c r="G29" i="14"/>
  <c r="H29" i="14"/>
  <c r="I29" i="14"/>
  <c r="J29" i="14"/>
  <c r="K29" i="14"/>
  <c r="L29" i="14"/>
  <c r="M29" i="14"/>
  <c r="N29" i="14"/>
  <c r="O29" i="14"/>
  <c r="P29" i="14"/>
  <c r="Q29" i="14"/>
  <c r="R29" i="14"/>
  <c r="S29" i="14"/>
  <c r="T29" i="14"/>
  <c r="U29" i="14"/>
  <c r="B30" i="14"/>
  <c r="C30" i="14"/>
  <c r="D30" i="14"/>
  <c r="E30" i="14"/>
  <c r="F30" i="14"/>
  <c r="G30" i="14"/>
  <c r="H30" i="14"/>
  <c r="I30" i="14"/>
  <c r="J30" i="14"/>
  <c r="K30" i="14"/>
  <c r="L30" i="14"/>
  <c r="M30" i="14"/>
  <c r="N30" i="14"/>
  <c r="O30" i="14"/>
  <c r="P30" i="14"/>
  <c r="Q30" i="14"/>
  <c r="R30" i="14"/>
  <c r="S30" i="14"/>
  <c r="T30" i="14"/>
  <c r="U30" i="14"/>
  <c r="B31" i="14"/>
  <c r="C31" i="14"/>
  <c r="D31" i="14"/>
  <c r="E31" i="14"/>
  <c r="F31" i="14"/>
  <c r="G31" i="14"/>
  <c r="H31" i="14"/>
  <c r="I31" i="14"/>
  <c r="J31" i="14"/>
  <c r="K31" i="14"/>
  <c r="L31" i="14"/>
  <c r="M31" i="14"/>
  <c r="N31" i="14"/>
  <c r="O31" i="14"/>
  <c r="P31" i="14"/>
  <c r="Q31" i="14"/>
  <c r="R31" i="14"/>
  <c r="S31" i="14"/>
  <c r="T31" i="14"/>
  <c r="U31" i="14"/>
  <c r="B32" i="14"/>
  <c r="C32" i="14"/>
  <c r="D32" i="14"/>
  <c r="E32" i="14"/>
  <c r="F32" i="14"/>
  <c r="G32" i="14"/>
  <c r="H32" i="14"/>
  <c r="I32" i="14"/>
  <c r="J32" i="14"/>
  <c r="K32" i="14"/>
  <c r="L32" i="14"/>
  <c r="M32" i="14"/>
  <c r="N32" i="14"/>
  <c r="O32" i="14"/>
  <c r="P32" i="14"/>
  <c r="Q32" i="14"/>
  <c r="R32" i="14"/>
  <c r="S32" i="14"/>
  <c r="T32" i="14"/>
  <c r="U32" i="14"/>
  <c r="B33" i="14"/>
  <c r="C33" i="14"/>
  <c r="D33" i="14"/>
  <c r="E33" i="14"/>
  <c r="F33" i="14"/>
  <c r="G33" i="14"/>
  <c r="H33" i="14"/>
  <c r="I33" i="14"/>
  <c r="J33" i="14"/>
  <c r="K33" i="14"/>
  <c r="L33" i="14"/>
  <c r="M33" i="14"/>
  <c r="N33" i="14"/>
  <c r="O33" i="14"/>
  <c r="P33" i="14"/>
  <c r="Q33" i="14"/>
  <c r="R33" i="14"/>
  <c r="S33" i="14"/>
  <c r="T33" i="14"/>
  <c r="U33" i="14"/>
  <c r="B34" i="14"/>
  <c r="C34" i="14"/>
  <c r="D34" i="14"/>
  <c r="E34" i="14"/>
  <c r="F34" i="14"/>
  <c r="G34" i="14"/>
  <c r="H34" i="14"/>
  <c r="I34" i="14"/>
  <c r="J34" i="14"/>
  <c r="K34" i="14"/>
  <c r="L34" i="14"/>
  <c r="M34" i="14"/>
  <c r="N34" i="14"/>
  <c r="O34" i="14"/>
  <c r="P34" i="14"/>
  <c r="Q34" i="14"/>
  <c r="R34" i="14"/>
  <c r="S34" i="14"/>
  <c r="T34" i="14"/>
  <c r="U34" i="14"/>
  <c r="B35" i="14"/>
  <c r="C35" i="14"/>
  <c r="D35" i="14"/>
  <c r="E35" i="14"/>
  <c r="F35" i="14"/>
  <c r="G35" i="14"/>
  <c r="H35" i="14"/>
  <c r="I35" i="14"/>
  <c r="J35" i="14"/>
  <c r="K35" i="14"/>
  <c r="L35" i="14"/>
  <c r="M35" i="14"/>
  <c r="N35" i="14"/>
  <c r="O35" i="14"/>
  <c r="P35" i="14"/>
  <c r="Q35" i="14"/>
  <c r="R35" i="14"/>
  <c r="S35" i="14"/>
  <c r="T35" i="14"/>
  <c r="U35" i="14"/>
  <c r="B36" i="14"/>
  <c r="C36" i="14"/>
  <c r="D36" i="14"/>
  <c r="E36" i="14"/>
  <c r="F36" i="14"/>
  <c r="G36" i="14"/>
  <c r="H36" i="14"/>
  <c r="I36" i="14"/>
  <c r="J36" i="14"/>
  <c r="K36" i="14"/>
  <c r="L36" i="14"/>
  <c r="M36" i="14"/>
  <c r="N36" i="14"/>
  <c r="O36" i="14"/>
  <c r="P36" i="14"/>
  <c r="Q36" i="14"/>
  <c r="R36" i="14"/>
  <c r="S36" i="14"/>
  <c r="T36" i="14"/>
  <c r="U36" i="14"/>
  <c r="B37" i="14"/>
  <c r="C37" i="14"/>
  <c r="D37" i="14"/>
  <c r="E37" i="14"/>
  <c r="F37" i="14"/>
  <c r="G37" i="14"/>
  <c r="H37" i="14"/>
  <c r="I37" i="14"/>
  <c r="J37" i="14"/>
  <c r="K37" i="14"/>
  <c r="L37" i="14"/>
  <c r="M37" i="14"/>
  <c r="N37" i="14"/>
  <c r="O37" i="14"/>
  <c r="P37" i="14"/>
  <c r="Q37" i="14"/>
  <c r="R37" i="14"/>
  <c r="S37" i="14"/>
  <c r="T37" i="14"/>
  <c r="U37" i="14"/>
  <c r="B38" i="14"/>
  <c r="C38" i="14"/>
  <c r="D38" i="14"/>
  <c r="E38" i="14"/>
  <c r="F38" i="14"/>
  <c r="G38" i="14"/>
  <c r="H38" i="14"/>
  <c r="I38" i="14"/>
  <c r="J38" i="14"/>
  <c r="K38" i="14"/>
  <c r="L38" i="14"/>
  <c r="M38" i="14"/>
  <c r="N38" i="14"/>
  <c r="O38" i="14"/>
  <c r="P38" i="14"/>
  <c r="Q38" i="14"/>
  <c r="R38" i="14"/>
  <c r="S38" i="14"/>
  <c r="T38" i="14"/>
  <c r="U38" i="14"/>
  <c r="B39" i="14"/>
  <c r="C39" i="14"/>
  <c r="D39" i="14"/>
  <c r="E39" i="14"/>
  <c r="F39" i="14"/>
  <c r="G39" i="14"/>
  <c r="H39" i="14"/>
  <c r="I39" i="14"/>
  <c r="J39" i="14"/>
  <c r="K39" i="14"/>
  <c r="L39" i="14"/>
  <c r="M39" i="14"/>
  <c r="N39" i="14"/>
  <c r="O39" i="14"/>
  <c r="P39" i="14"/>
  <c r="Q39" i="14"/>
  <c r="R39" i="14"/>
  <c r="S39" i="14"/>
  <c r="T39" i="14"/>
  <c r="U39" i="14"/>
  <c r="B40" i="14"/>
  <c r="C40" i="14"/>
  <c r="D40" i="14"/>
  <c r="E40" i="14"/>
  <c r="F40" i="14"/>
  <c r="G40" i="14"/>
  <c r="H40" i="14"/>
  <c r="I40" i="14"/>
  <c r="J40" i="14"/>
  <c r="K40" i="14"/>
  <c r="L40" i="14"/>
  <c r="M40" i="14"/>
  <c r="N40" i="14"/>
  <c r="O40" i="14"/>
  <c r="P40" i="14"/>
  <c r="Q40" i="14"/>
  <c r="R40" i="14"/>
  <c r="S40" i="14"/>
  <c r="T40" i="14"/>
  <c r="U40" i="14"/>
  <c r="B41" i="14"/>
  <c r="C41" i="14"/>
  <c r="D41" i="14"/>
  <c r="E41" i="14"/>
  <c r="F41" i="14"/>
  <c r="G41" i="14"/>
  <c r="H41" i="14"/>
  <c r="I41" i="14"/>
  <c r="J41" i="14"/>
  <c r="K41" i="14"/>
  <c r="L41" i="14"/>
  <c r="M41" i="14"/>
  <c r="N41" i="14"/>
  <c r="O41" i="14"/>
  <c r="P41" i="14"/>
  <c r="Q41" i="14"/>
  <c r="R41" i="14"/>
  <c r="S41" i="14"/>
  <c r="T41" i="14"/>
  <c r="U41" i="14"/>
  <c r="B42" i="14"/>
  <c r="C42" i="14"/>
  <c r="D42" i="14"/>
  <c r="E42" i="14"/>
  <c r="F42" i="14"/>
  <c r="G42" i="14"/>
  <c r="H42" i="14"/>
  <c r="I42" i="14"/>
  <c r="J42" i="14"/>
  <c r="K42" i="14"/>
  <c r="L42" i="14"/>
  <c r="M42" i="14"/>
  <c r="N42" i="14"/>
  <c r="O42" i="14"/>
  <c r="P42" i="14"/>
  <c r="Q42" i="14"/>
  <c r="R42" i="14"/>
  <c r="S42" i="14"/>
  <c r="T42" i="14"/>
  <c r="U42" i="14"/>
  <c r="B43" i="14"/>
  <c r="C43" i="14"/>
  <c r="D43" i="14"/>
  <c r="E43" i="14"/>
  <c r="F43" i="14"/>
  <c r="G43" i="14"/>
  <c r="H43" i="14"/>
  <c r="I43" i="14"/>
  <c r="J43" i="14"/>
  <c r="K43" i="14"/>
  <c r="L43" i="14"/>
  <c r="M43" i="14"/>
  <c r="N43" i="14"/>
  <c r="O43" i="14"/>
  <c r="P43" i="14"/>
  <c r="Q43" i="14"/>
  <c r="R43" i="14"/>
  <c r="S43" i="14"/>
  <c r="T43" i="14"/>
  <c r="U43" i="14"/>
  <c r="B44" i="14"/>
  <c r="C44" i="14"/>
  <c r="D44" i="14"/>
  <c r="E44" i="14"/>
  <c r="F44" i="14"/>
  <c r="G44" i="14"/>
  <c r="H44" i="14"/>
  <c r="I44" i="14"/>
  <c r="J44" i="14"/>
  <c r="K44" i="14"/>
  <c r="L44" i="14"/>
  <c r="M44" i="14"/>
  <c r="N44" i="14"/>
  <c r="O44" i="14"/>
  <c r="P44" i="14"/>
  <c r="Q44" i="14"/>
  <c r="R44" i="14"/>
  <c r="S44" i="14"/>
  <c r="T44" i="14"/>
  <c r="U44" i="14"/>
  <c r="B45" i="14"/>
  <c r="C45" i="14"/>
  <c r="D45" i="14"/>
  <c r="E45" i="14"/>
  <c r="F45" i="14"/>
  <c r="G45" i="14"/>
  <c r="H45" i="14"/>
  <c r="I45" i="14"/>
  <c r="J45" i="14"/>
  <c r="K45" i="14"/>
  <c r="L45" i="14"/>
  <c r="M45" i="14"/>
  <c r="N45" i="14"/>
  <c r="O45" i="14"/>
  <c r="P45" i="14"/>
  <c r="Q45" i="14"/>
  <c r="R45" i="14"/>
  <c r="S45" i="14"/>
  <c r="T45" i="14"/>
  <c r="U45" i="14"/>
  <c r="B46" i="14"/>
  <c r="C46" i="14"/>
  <c r="D46" i="14"/>
  <c r="E46" i="14"/>
  <c r="F46" i="14"/>
  <c r="G46" i="14"/>
  <c r="H46" i="14"/>
  <c r="I46" i="14"/>
  <c r="J46" i="14"/>
  <c r="K46" i="14"/>
  <c r="L46" i="14"/>
  <c r="M46" i="14"/>
  <c r="N46" i="14"/>
  <c r="O46" i="14"/>
  <c r="P46" i="14"/>
  <c r="Q46" i="14"/>
  <c r="R46" i="14"/>
  <c r="S46" i="14"/>
  <c r="T46" i="14"/>
  <c r="U46" i="14"/>
  <c r="C2" i="14"/>
  <c r="D2" i="14"/>
  <c r="E2" i="14"/>
  <c r="F2" i="14"/>
  <c r="G2" i="14"/>
  <c r="H2" i="14"/>
  <c r="I2" i="14"/>
  <c r="J2" i="14"/>
  <c r="K2" i="14"/>
  <c r="L2" i="14"/>
  <c r="M2" i="14"/>
  <c r="N2" i="14"/>
  <c r="O2" i="14"/>
  <c r="P2" i="14"/>
  <c r="Q2" i="14"/>
  <c r="R2" i="14"/>
  <c r="S2" i="14"/>
  <c r="T2" i="14"/>
  <c r="U2" i="14"/>
  <c r="B2" i="14"/>
  <c r="AA297" i="6"/>
  <c r="V2" i="14" l="1"/>
  <c r="K49" i="14" s="1"/>
  <c r="L99" i="14" s="1"/>
  <c r="V34" i="14"/>
  <c r="L81" i="14" s="1"/>
  <c r="M130" i="14" s="1"/>
  <c r="V29" i="14"/>
  <c r="N76" i="14" s="1"/>
  <c r="O147" i="14" s="1"/>
  <c r="V22" i="14"/>
  <c r="D69" i="14" s="1"/>
  <c r="E119" i="14" s="1"/>
  <c r="V10" i="14"/>
  <c r="D57" i="14" s="1"/>
  <c r="E107" i="14" s="1"/>
  <c r="V33" i="14"/>
  <c r="H80" i="14" s="1"/>
  <c r="I129" i="14" s="1"/>
  <c r="V20" i="14"/>
  <c r="I67" i="14" s="1"/>
  <c r="J117" i="14" s="1"/>
  <c r="V6" i="14"/>
  <c r="N53" i="14" s="1"/>
  <c r="O103" i="14" s="1"/>
  <c r="V5" i="14"/>
  <c r="C52" i="14" s="1"/>
  <c r="D102" i="14" s="1"/>
  <c r="V36" i="14"/>
  <c r="E83" i="14" s="1"/>
  <c r="F132" i="14" s="1"/>
  <c r="V45" i="14"/>
  <c r="O92" i="14" s="1"/>
  <c r="P141" i="14" s="1"/>
  <c r="V15" i="14"/>
  <c r="V38" i="14"/>
  <c r="D85" i="14" s="1"/>
  <c r="E134" i="14" s="1"/>
  <c r="V24" i="14"/>
  <c r="E71" i="14" s="1"/>
  <c r="F121" i="14" s="1"/>
  <c r="V9" i="14"/>
  <c r="S56" i="14" s="1"/>
  <c r="T106" i="14" s="1"/>
  <c r="V35" i="14"/>
  <c r="S82" i="14" s="1"/>
  <c r="T131" i="14" s="1"/>
  <c r="V28" i="14"/>
  <c r="Q75" i="14" s="1"/>
  <c r="R125" i="14" s="1"/>
  <c r="V16" i="14"/>
  <c r="B63" i="14" s="1"/>
  <c r="C113" i="14" s="1"/>
  <c r="V43" i="14"/>
  <c r="B90" i="14" s="1"/>
  <c r="C139" i="14" s="1"/>
  <c r="V14" i="14"/>
  <c r="H61" i="14" s="1"/>
  <c r="I111" i="14" s="1"/>
  <c r="V4" i="14"/>
  <c r="H49" i="14"/>
  <c r="I99" i="14" s="1"/>
  <c r="V40" i="14"/>
  <c r="C87" i="14" s="1"/>
  <c r="D136" i="14" s="1"/>
  <c r="V26" i="14"/>
  <c r="Q73" i="14" s="1"/>
  <c r="R123" i="14" s="1"/>
  <c r="V12" i="14"/>
  <c r="D59" i="14" s="1"/>
  <c r="E109" i="14" s="1"/>
  <c r="V37" i="14"/>
  <c r="J84" i="14" s="1"/>
  <c r="K133" i="14" s="1"/>
  <c r="V21" i="14"/>
  <c r="C68" i="14" s="1"/>
  <c r="D118" i="14" s="1"/>
  <c r="G56" i="14"/>
  <c r="H106" i="14" s="1"/>
  <c r="V23" i="14"/>
  <c r="M70" i="14" s="1"/>
  <c r="N120" i="14" s="1"/>
  <c r="V42" i="14"/>
  <c r="C89" i="14" s="1"/>
  <c r="D138" i="14" s="1"/>
  <c r="V7" i="14"/>
  <c r="G54" i="14" s="1"/>
  <c r="H104" i="14" s="1"/>
  <c r="V31" i="14"/>
  <c r="D78" i="14" s="1"/>
  <c r="E127" i="14" s="1"/>
  <c r="V17" i="14"/>
  <c r="O64" i="14" s="1"/>
  <c r="P114" i="14" s="1"/>
  <c r="V19" i="14"/>
  <c r="G66" i="14" s="1"/>
  <c r="H116" i="14" s="1"/>
  <c r="V41" i="14"/>
  <c r="L88" i="14" s="1"/>
  <c r="M137" i="14" s="1"/>
  <c r="V44" i="14"/>
  <c r="H91" i="14" s="1"/>
  <c r="I140" i="14" s="1"/>
  <c r="V30" i="14"/>
  <c r="S77" i="14" s="1"/>
  <c r="T126" i="14" s="1"/>
  <c r="V39" i="14"/>
  <c r="U86" i="14" s="1"/>
  <c r="V135" i="14" s="1"/>
  <c r="V25" i="14"/>
  <c r="M72" i="14" s="1"/>
  <c r="N122" i="14" s="1"/>
  <c r="V18" i="14"/>
  <c r="L65" i="14" s="1"/>
  <c r="M115" i="14" s="1"/>
  <c r="V11" i="14"/>
  <c r="U58" i="14" s="1"/>
  <c r="V108" i="14" s="1"/>
  <c r="M56" i="14"/>
  <c r="N106" i="14" s="1"/>
  <c r="V27" i="14"/>
  <c r="F74" i="14" s="1"/>
  <c r="G124" i="14" s="1"/>
  <c r="V13" i="14"/>
  <c r="O60" i="14" s="1"/>
  <c r="P110" i="14" s="1"/>
  <c r="V8" i="14"/>
  <c r="V3" i="14"/>
  <c r="J50" i="14" s="1"/>
  <c r="K100" i="14" s="1"/>
  <c r="V46" i="14"/>
  <c r="U93" i="14" s="1"/>
  <c r="V142" i="14" s="1"/>
  <c r="V32" i="14"/>
  <c r="K79" i="14" s="1"/>
  <c r="L128" i="14" s="1"/>
  <c r="AA318" i="6"/>
  <c r="AG318" i="6" s="1"/>
  <c r="AB279" i="6"/>
  <c r="AB278" i="6"/>
  <c r="AB277" i="6"/>
  <c r="AB276" i="6"/>
  <c r="AB275" i="6"/>
  <c r="AB274" i="6"/>
  <c r="AB273" i="6"/>
  <c r="AB272" i="6"/>
  <c r="AB271" i="6"/>
  <c r="AB270" i="6"/>
  <c r="AB269" i="6"/>
  <c r="AB268" i="6"/>
  <c r="AB249" i="6"/>
  <c r="AB248" i="6"/>
  <c r="AB247" i="6"/>
  <c r="AB246" i="6"/>
  <c r="AB245" i="6"/>
  <c r="AB244" i="6"/>
  <c r="AB243" i="6"/>
  <c r="AB242" i="6"/>
  <c r="AB241" i="6"/>
  <c r="AB240" i="6"/>
  <c r="AB239" i="6"/>
  <c r="AB238" i="6"/>
  <c r="AB184" i="6"/>
  <c r="AB183" i="6"/>
  <c r="AB182" i="6"/>
  <c r="AB181" i="6"/>
  <c r="AB180" i="6"/>
  <c r="AB179" i="6"/>
  <c r="AB178" i="6"/>
  <c r="AB177" i="6"/>
  <c r="AB176" i="6"/>
  <c r="AB175" i="6"/>
  <c r="AB174" i="6"/>
  <c r="AB173" i="6"/>
  <c r="AB172" i="6"/>
  <c r="AB171" i="6"/>
  <c r="AB170" i="6"/>
  <c r="AB169" i="6"/>
  <c r="AB168" i="6"/>
  <c r="AB152" i="6"/>
  <c r="AB151" i="6"/>
  <c r="AB150" i="6"/>
  <c r="AB149" i="6"/>
  <c r="AB148" i="6"/>
  <c r="AB147" i="6"/>
  <c r="AB146" i="6"/>
  <c r="AB125" i="6"/>
  <c r="AB124" i="6"/>
  <c r="AB123" i="6"/>
  <c r="AB122" i="6"/>
  <c r="AB121" i="6"/>
  <c r="AB120" i="6"/>
  <c r="AB119" i="6"/>
  <c r="AB118" i="6"/>
  <c r="AB117" i="6"/>
  <c r="AB116" i="6"/>
  <c r="AB115" i="6"/>
  <c r="AB114" i="6"/>
  <c r="AB91" i="6"/>
  <c r="AB90" i="6"/>
  <c r="AB89" i="6"/>
  <c r="AB88" i="6"/>
  <c r="AB87" i="6"/>
  <c r="AB86" i="6"/>
  <c r="AB85" i="6"/>
  <c r="AB84" i="6"/>
  <c r="AB83" i="6"/>
  <c r="AB82" i="6"/>
  <c r="AB81" i="6"/>
  <c r="AB80" i="6"/>
  <c r="AB58" i="6"/>
  <c r="AB57" i="6"/>
  <c r="AB56" i="6"/>
  <c r="AB55" i="6"/>
  <c r="AB54" i="6"/>
  <c r="AB53" i="6"/>
  <c r="AB52" i="6"/>
  <c r="AB51" i="6"/>
  <c r="AB50" i="6"/>
  <c r="AB49" i="6"/>
  <c r="AB48" i="6"/>
  <c r="AB47" i="6"/>
  <c r="AB23" i="6"/>
  <c r="AB22" i="6"/>
  <c r="AB21" i="6"/>
  <c r="AB20" i="6"/>
  <c r="AB19" i="6"/>
  <c r="AB18" i="6"/>
  <c r="AB17" i="6"/>
  <c r="AB16" i="6"/>
  <c r="AB15" i="6"/>
  <c r="AB14" i="6"/>
  <c r="AB13" i="6"/>
  <c r="AA172" i="6"/>
  <c r="AA171" i="6"/>
  <c r="AA170" i="6"/>
  <c r="AA169" i="6"/>
  <c r="AA168" i="6"/>
  <c r="E172" i="6"/>
  <c r="D172" i="6"/>
  <c r="E171" i="6"/>
  <c r="D171" i="6"/>
  <c r="E170" i="6"/>
  <c r="D170" i="6"/>
  <c r="E169" i="6"/>
  <c r="D169" i="6"/>
  <c r="E168" i="6"/>
  <c r="D168" i="6"/>
  <c r="D3" i="6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4" i="6"/>
  <c r="D115" i="6"/>
  <c r="D116" i="6"/>
  <c r="D117" i="6"/>
  <c r="D118" i="6"/>
  <c r="D119" i="6"/>
  <c r="D120" i="6"/>
  <c r="D121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3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7" i="6"/>
  <c r="D173" i="6"/>
  <c r="D174" i="6"/>
  <c r="D175" i="6"/>
  <c r="D176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1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0" i="6"/>
  <c r="D261" i="6"/>
  <c r="D262" i="6"/>
  <c r="D263" i="6"/>
  <c r="D264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2" i="6"/>
  <c r="D283" i="6"/>
  <c r="D284" i="6"/>
  <c r="D285" i="6"/>
  <c r="D286" i="6"/>
  <c r="D287" i="6"/>
  <c r="D288" i="6"/>
  <c r="D289" i="6"/>
  <c r="D290" i="6"/>
  <c r="D291" i="6"/>
  <c r="D292" i="6"/>
  <c r="D293" i="6"/>
  <c r="D294" i="6"/>
  <c r="D295" i="6"/>
  <c r="D296" i="6"/>
  <c r="D297" i="6"/>
  <c r="D298" i="6"/>
  <c r="D299" i="6"/>
  <c r="D300" i="6"/>
  <c r="D301" i="6"/>
  <c r="D302" i="6"/>
  <c r="D303" i="6"/>
  <c r="D304" i="6"/>
  <c r="D305" i="6"/>
  <c r="D306" i="6"/>
  <c r="D307" i="6"/>
  <c r="D308" i="6"/>
  <c r="D309" i="6"/>
  <c r="D310" i="6"/>
  <c r="D311" i="6"/>
  <c r="D312" i="6"/>
  <c r="D313" i="6"/>
  <c r="D314" i="6"/>
  <c r="D315" i="6"/>
  <c r="D316" i="6"/>
  <c r="D317" i="6"/>
  <c r="D318" i="6"/>
  <c r="D319" i="6"/>
  <c r="D320" i="6"/>
  <c r="D321" i="6"/>
  <c r="D322" i="6"/>
  <c r="D323" i="6"/>
  <c r="D2" i="6"/>
  <c r="E288" i="6"/>
  <c r="E289" i="6"/>
  <c r="E290" i="6"/>
  <c r="E291" i="6"/>
  <c r="E292" i="6"/>
  <c r="E293" i="6"/>
  <c r="E294" i="6"/>
  <c r="E295" i="6"/>
  <c r="E296" i="6"/>
  <c r="E297" i="6"/>
  <c r="E298" i="6"/>
  <c r="E299" i="6"/>
  <c r="E300" i="6"/>
  <c r="E301" i="6"/>
  <c r="E302" i="6"/>
  <c r="E303" i="6"/>
  <c r="E304" i="6"/>
  <c r="E305" i="6"/>
  <c r="E306" i="6"/>
  <c r="E307" i="6"/>
  <c r="E308" i="6"/>
  <c r="E309" i="6"/>
  <c r="E310" i="6"/>
  <c r="E311" i="6"/>
  <c r="E312" i="6"/>
  <c r="E313" i="6"/>
  <c r="E314" i="6"/>
  <c r="E315" i="6"/>
  <c r="E316" i="6"/>
  <c r="E317" i="6"/>
  <c r="E318" i="6"/>
  <c r="E319" i="6"/>
  <c r="E320" i="6"/>
  <c r="E321" i="6"/>
  <c r="E322" i="6"/>
  <c r="E323" i="6"/>
  <c r="AA2" i="6"/>
  <c r="AA3" i="6"/>
  <c r="AA4" i="6"/>
  <c r="AA5" i="6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A51" i="6"/>
  <c r="AA52" i="6"/>
  <c r="AA53" i="6"/>
  <c r="AA54" i="6"/>
  <c r="AA55" i="6"/>
  <c r="AA56" i="6"/>
  <c r="AA57" i="6"/>
  <c r="AA58" i="6"/>
  <c r="AA59" i="6"/>
  <c r="AA60" i="6"/>
  <c r="AA61" i="6"/>
  <c r="AA62" i="6"/>
  <c r="AA63" i="6"/>
  <c r="AA64" i="6"/>
  <c r="AA65" i="6"/>
  <c r="AA66" i="6"/>
  <c r="AA67" i="6"/>
  <c r="AA68" i="6"/>
  <c r="AA69" i="6"/>
  <c r="AA70" i="6"/>
  <c r="AA71" i="6"/>
  <c r="AA72" i="6"/>
  <c r="AA73" i="6"/>
  <c r="AA74" i="6"/>
  <c r="AA75" i="6"/>
  <c r="AA76" i="6"/>
  <c r="AA77" i="6"/>
  <c r="AA78" i="6"/>
  <c r="AA79" i="6"/>
  <c r="AA80" i="6"/>
  <c r="AA81" i="6"/>
  <c r="AA82" i="6"/>
  <c r="AA83" i="6"/>
  <c r="AA84" i="6"/>
  <c r="AA85" i="6"/>
  <c r="AA86" i="6"/>
  <c r="AA87" i="6"/>
  <c r="AA88" i="6"/>
  <c r="AA89" i="6"/>
  <c r="AA90" i="6"/>
  <c r="AA91" i="6"/>
  <c r="AA92" i="6"/>
  <c r="AA93" i="6"/>
  <c r="AA94" i="6"/>
  <c r="AA95" i="6"/>
  <c r="AA96" i="6"/>
  <c r="AA97" i="6"/>
  <c r="AA98" i="6"/>
  <c r="AA99" i="6"/>
  <c r="AA100" i="6"/>
  <c r="AA101" i="6"/>
  <c r="AA102" i="6"/>
  <c r="AA103" i="6"/>
  <c r="AA104" i="6"/>
  <c r="AA105" i="6"/>
  <c r="AA106" i="6"/>
  <c r="AA107" i="6"/>
  <c r="AA108" i="6"/>
  <c r="AA109" i="6"/>
  <c r="AA110" i="6"/>
  <c r="AA111" i="6"/>
  <c r="AA112" i="6"/>
  <c r="AA113" i="6"/>
  <c r="AA114" i="6"/>
  <c r="AA115" i="6"/>
  <c r="AA116" i="6"/>
  <c r="AA117" i="6"/>
  <c r="AA118" i="6"/>
  <c r="AA119" i="6"/>
  <c r="AA120" i="6"/>
  <c r="AA121" i="6"/>
  <c r="AA122" i="6"/>
  <c r="AA123" i="6"/>
  <c r="AA124" i="6"/>
  <c r="AA125" i="6"/>
  <c r="AA126" i="6"/>
  <c r="AA127" i="6"/>
  <c r="AA128" i="6"/>
  <c r="AA129" i="6"/>
  <c r="AA130" i="6"/>
  <c r="AA131" i="6"/>
  <c r="AA132" i="6"/>
  <c r="AA133" i="6"/>
  <c r="AA134" i="6"/>
  <c r="AA135" i="6"/>
  <c r="AA136" i="6"/>
  <c r="AA137" i="6"/>
  <c r="AA138" i="6"/>
  <c r="AA139" i="6"/>
  <c r="AA140" i="6"/>
  <c r="AA141" i="6"/>
  <c r="AA142" i="6"/>
  <c r="AA143" i="6"/>
  <c r="AA144" i="6"/>
  <c r="AA145" i="6"/>
  <c r="AA146" i="6"/>
  <c r="AA147" i="6"/>
  <c r="AA148" i="6"/>
  <c r="AA149" i="6"/>
  <c r="AA150" i="6"/>
  <c r="AA151" i="6"/>
  <c r="AA152" i="6"/>
  <c r="AA153" i="6"/>
  <c r="AA154" i="6"/>
  <c r="AA155" i="6"/>
  <c r="AA156" i="6"/>
  <c r="AA157" i="6"/>
  <c r="AA158" i="6"/>
  <c r="AA159" i="6"/>
  <c r="AA160" i="6"/>
  <c r="AA161" i="6"/>
  <c r="AA162" i="6"/>
  <c r="AA163" i="6"/>
  <c r="AA164" i="6"/>
  <c r="AA165" i="6"/>
  <c r="AA166" i="6"/>
  <c r="AA167" i="6"/>
  <c r="AA173" i="6"/>
  <c r="AA174" i="6"/>
  <c r="AA175" i="6"/>
  <c r="AA176" i="6"/>
  <c r="AA177" i="6"/>
  <c r="AA178" i="6"/>
  <c r="AA179" i="6"/>
  <c r="AA180" i="6"/>
  <c r="AA181" i="6"/>
  <c r="AA182" i="6"/>
  <c r="AA183" i="6"/>
  <c r="AA184" i="6"/>
  <c r="AA185" i="6"/>
  <c r="AA186" i="6"/>
  <c r="AA187" i="6"/>
  <c r="AA188" i="6"/>
  <c r="AA189" i="6"/>
  <c r="AA190" i="6"/>
  <c r="AA191" i="6"/>
  <c r="AA192" i="6"/>
  <c r="AA193" i="6"/>
  <c r="AA194" i="6"/>
  <c r="AA195" i="6"/>
  <c r="AA196" i="6"/>
  <c r="AA197" i="6"/>
  <c r="AA198" i="6"/>
  <c r="AA199" i="6"/>
  <c r="AA200" i="6"/>
  <c r="AA201" i="6"/>
  <c r="AA202" i="6"/>
  <c r="AA203" i="6"/>
  <c r="AA204" i="6"/>
  <c r="AA205" i="6"/>
  <c r="AA206" i="6"/>
  <c r="AA207" i="6"/>
  <c r="AA208" i="6"/>
  <c r="AA209" i="6"/>
  <c r="AA210" i="6"/>
  <c r="AA211" i="6"/>
  <c r="AA212" i="6"/>
  <c r="AA213" i="6"/>
  <c r="AA214" i="6"/>
  <c r="AA215" i="6"/>
  <c r="AA216" i="6"/>
  <c r="AA217" i="6"/>
  <c r="AA218" i="6"/>
  <c r="AA219" i="6"/>
  <c r="AA220" i="6"/>
  <c r="AA221" i="6"/>
  <c r="AA222" i="6"/>
  <c r="AA223" i="6"/>
  <c r="AA224" i="6"/>
  <c r="AA225" i="6"/>
  <c r="AA226" i="6"/>
  <c r="AA227" i="6"/>
  <c r="AA228" i="6"/>
  <c r="AA229" i="6"/>
  <c r="AA230" i="6"/>
  <c r="AA231" i="6"/>
  <c r="AA232" i="6"/>
  <c r="AA233" i="6"/>
  <c r="AA234" i="6"/>
  <c r="AA235" i="6"/>
  <c r="AA236" i="6"/>
  <c r="AA237" i="6"/>
  <c r="AA238" i="6"/>
  <c r="AA239" i="6"/>
  <c r="AA240" i="6"/>
  <c r="AA241" i="6"/>
  <c r="AA242" i="6"/>
  <c r="AA243" i="6"/>
  <c r="AA244" i="6"/>
  <c r="AA245" i="6"/>
  <c r="AA246" i="6"/>
  <c r="AA247" i="6"/>
  <c r="AA248" i="6"/>
  <c r="AA249" i="6"/>
  <c r="AA250" i="6"/>
  <c r="AA251" i="6"/>
  <c r="AA252" i="6"/>
  <c r="AA253" i="6"/>
  <c r="AA254" i="6"/>
  <c r="AA255" i="6"/>
  <c r="AA256" i="6"/>
  <c r="AA257" i="6"/>
  <c r="AA258" i="6"/>
  <c r="AA259" i="6"/>
  <c r="AA260" i="6"/>
  <c r="AA261" i="6"/>
  <c r="AA262" i="6"/>
  <c r="AA263" i="6"/>
  <c r="AA264" i="6"/>
  <c r="AA265" i="6"/>
  <c r="AA266" i="6"/>
  <c r="AA267" i="6"/>
  <c r="AA268" i="6"/>
  <c r="AA269" i="6"/>
  <c r="AA270" i="6"/>
  <c r="AA271" i="6"/>
  <c r="AA272" i="6"/>
  <c r="AA273" i="6"/>
  <c r="AA274" i="6"/>
  <c r="AA275" i="6"/>
  <c r="AA276" i="6"/>
  <c r="AA277" i="6"/>
  <c r="AA278" i="6"/>
  <c r="AA279" i="6"/>
  <c r="AA280" i="6"/>
  <c r="AA281" i="6"/>
  <c r="AA282" i="6"/>
  <c r="AA283" i="6"/>
  <c r="AA284" i="6"/>
  <c r="AA285" i="6"/>
  <c r="AA286" i="6"/>
  <c r="AA287" i="6"/>
  <c r="AA288" i="6"/>
  <c r="AV288" i="6" s="1"/>
  <c r="AA289" i="6"/>
  <c r="AC289" i="6" s="1"/>
  <c r="AA290" i="6"/>
  <c r="AH290" i="6" s="1"/>
  <c r="AA291" i="6"/>
  <c r="AF291" i="6" s="1"/>
  <c r="AA292" i="6"/>
  <c r="AK292" i="6" s="1"/>
  <c r="AA293" i="6"/>
  <c r="AM293" i="6" s="1"/>
  <c r="AA294" i="6"/>
  <c r="AP294" i="6" s="1"/>
  <c r="AA295" i="6"/>
  <c r="AQ295" i="6" s="1"/>
  <c r="AA296" i="6"/>
  <c r="AP296" i="6" s="1"/>
  <c r="AR297" i="6"/>
  <c r="AA298" i="6"/>
  <c r="AN298" i="6" s="1"/>
  <c r="AA299" i="6"/>
  <c r="AP299" i="6" s="1"/>
  <c r="AA300" i="6"/>
  <c r="AU300" i="6" s="1"/>
  <c r="AA301" i="6"/>
  <c r="AF301" i="6" s="1"/>
  <c r="AA302" i="6"/>
  <c r="AT302" i="6" s="1"/>
  <c r="AA303" i="6"/>
  <c r="AM303" i="6" s="1"/>
  <c r="AA304" i="6"/>
  <c r="AN304" i="6" s="1"/>
  <c r="AA305" i="6"/>
  <c r="AK305" i="6" s="1"/>
  <c r="AA306" i="6"/>
  <c r="AI306" i="6" s="1"/>
  <c r="AA307" i="6"/>
  <c r="AJ307" i="6" s="1"/>
  <c r="AA308" i="6"/>
  <c r="AN308" i="6" s="1"/>
  <c r="AA309" i="6"/>
  <c r="AS309" i="6" s="1"/>
  <c r="AA310" i="6"/>
  <c r="AN310" i="6" s="1"/>
  <c r="AA311" i="6"/>
  <c r="AP311" i="6" s="1"/>
  <c r="AA312" i="6"/>
  <c r="AJ312" i="6" s="1"/>
  <c r="AA313" i="6"/>
  <c r="AM313" i="6" s="1"/>
  <c r="AA314" i="6"/>
  <c r="AQ314" i="6" s="1"/>
  <c r="AA315" i="6"/>
  <c r="AL315" i="6" s="1"/>
  <c r="AA316" i="6"/>
  <c r="AJ316" i="6" s="1"/>
  <c r="AA317" i="6"/>
  <c r="AP317" i="6" s="1"/>
  <c r="AA319" i="6"/>
  <c r="AA320" i="6"/>
  <c r="AG320" i="6" s="1"/>
  <c r="AA321" i="6"/>
  <c r="AE321" i="6" s="1"/>
  <c r="AA322" i="6"/>
  <c r="AV322" i="6" s="1"/>
  <c r="AA323" i="6"/>
  <c r="AC323" i="6" s="1"/>
  <c r="O81" i="14" l="1"/>
  <c r="P130" i="14" s="1"/>
  <c r="G49" i="14"/>
  <c r="H99" i="14" s="1"/>
  <c r="Q69" i="14"/>
  <c r="R119" i="14" s="1"/>
  <c r="I59" i="14"/>
  <c r="J109" i="14" s="1"/>
  <c r="R83" i="14"/>
  <c r="S132" i="14" s="1"/>
  <c r="K65" i="14"/>
  <c r="L115" i="14" s="1"/>
  <c r="S83" i="14"/>
  <c r="T132" i="14" s="1"/>
  <c r="P83" i="14"/>
  <c r="Q132" i="14" s="1"/>
  <c r="K58" i="14"/>
  <c r="L108" i="14" s="1"/>
  <c r="O83" i="14"/>
  <c r="P132" i="14" s="1"/>
  <c r="H83" i="14"/>
  <c r="I132" i="14" s="1"/>
  <c r="B83" i="14"/>
  <c r="C132" i="14" s="1"/>
  <c r="N83" i="14"/>
  <c r="O132" i="14" s="1"/>
  <c r="M83" i="14"/>
  <c r="N132" i="14" s="1"/>
  <c r="R65" i="14"/>
  <c r="S115" i="14" s="1"/>
  <c r="L80" i="14"/>
  <c r="M129" i="14" s="1"/>
  <c r="Q67" i="14"/>
  <c r="R117" i="14" s="1"/>
  <c r="O76" i="14"/>
  <c r="P147" i="14" s="1"/>
  <c r="C88" i="14"/>
  <c r="D137" i="14" s="1"/>
  <c r="N65" i="14"/>
  <c r="O115" i="14" s="1"/>
  <c r="T67" i="14"/>
  <c r="U117" i="14" s="1"/>
  <c r="H68" i="14"/>
  <c r="I118" i="14" s="1"/>
  <c r="U68" i="14"/>
  <c r="V118" i="14" s="1"/>
  <c r="N69" i="14"/>
  <c r="O119" i="14" s="1"/>
  <c r="F50" i="14"/>
  <c r="G100" i="14" s="1"/>
  <c r="T59" i="14"/>
  <c r="U109" i="14" s="1"/>
  <c r="J68" i="14"/>
  <c r="K118" i="14" s="1"/>
  <c r="J58" i="14"/>
  <c r="K108" i="14" s="1"/>
  <c r="C83" i="14"/>
  <c r="D132" i="14" s="1"/>
  <c r="F71" i="14"/>
  <c r="G121" i="14" s="1"/>
  <c r="U85" i="14"/>
  <c r="V134" i="14" s="1"/>
  <c r="H73" i="14"/>
  <c r="I123" i="14" s="1"/>
  <c r="D71" i="14"/>
  <c r="E121" i="14" s="1"/>
  <c r="N67" i="14"/>
  <c r="O117" i="14" s="1"/>
  <c r="O69" i="14"/>
  <c r="P119" i="14" s="1"/>
  <c r="Q88" i="14"/>
  <c r="R137" i="14" s="1"/>
  <c r="F80" i="14"/>
  <c r="G129" i="14" s="1"/>
  <c r="F73" i="14"/>
  <c r="G123" i="14" s="1"/>
  <c r="M67" i="14"/>
  <c r="N117" i="14" s="1"/>
  <c r="R78" i="14"/>
  <c r="S127" i="14" s="1"/>
  <c r="O67" i="14"/>
  <c r="P117" i="14" s="1"/>
  <c r="C78" i="14"/>
  <c r="D127" i="14" s="1"/>
  <c r="U50" i="14"/>
  <c r="V100" i="14" s="1"/>
  <c r="F67" i="14"/>
  <c r="G117" i="14" s="1"/>
  <c r="S85" i="14"/>
  <c r="T134" i="14" s="1"/>
  <c r="R85" i="14"/>
  <c r="S134" i="14" s="1"/>
  <c r="N88" i="14"/>
  <c r="O137" i="14" s="1"/>
  <c r="U78" i="14"/>
  <c r="V127" i="14" s="1"/>
  <c r="C85" i="14"/>
  <c r="D134" i="14" s="1"/>
  <c r="U57" i="14"/>
  <c r="V107" i="14" s="1"/>
  <c r="N77" i="14"/>
  <c r="O126" i="14" s="1"/>
  <c r="O73" i="14"/>
  <c r="P123" i="14" s="1"/>
  <c r="M58" i="14"/>
  <c r="N108" i="14" s="1"/>
  <c r="G78" i="14"/>
  <c r="H127" i="14" s="1"/>
  <c r="L87" i="14"/>
  <c r="M136" i="14" s="1"/>
  <c r="M88" i="14"/>
  <c r="N137" i="14" s="1"/>
  <c r="O58" i="14"/>
  <c r="P108" i="14" s="1"/>
  <c r="J80" i="14"/>
  <c r="K129" i="14" s="1"/>
  <c r="M90" i="14"/>
  <c r="N139" i="14" s="1"/>
  <c r="I68" i="14"/>
  <c r="J118" i="14" s="1"/>
  <c r="B88" i="14"/>
  <c r="C137" i="14" s="1"/>
  <c r="T83" i="14"/>
  <c r="U132" i="14" s="1"/>
  <c r="D64" i="14"/>
  <c r="E114" i="14" s="1"/>
  <c r="G84" i="14"/>
  <c r="H133" i="14" s="1"/>
  <c r="B60" i="14"/>
  <c r="C110" i="14" s="1"/>
  <c r="F81" i="14"/>
  <c r="G130" i="14" s="1"/>
  <c r="U72" i="14"/>
  <c r="V122" i="14" s="1"/>
  <c r="S81" i="14"/>
  <c r="T130" i="14" s="1"/>
  <c r="G50" i="14"/>
  <c r="H100" i="14" s="1"/>
  <c r="F76" i="14"/>
  <c r="G147" i="14" s="1"/>
  <c r="T81" i="14"/>
  <c r="U130" i="14" s="1"/>
  <c r="K81" i="14"/>
  <c r="L130" i="14" s="1"/>
  <c r="P92" i="14"/>
  <c r="Q141" i="14" s="1"/>
  <c r="J79" i="14"/>
  <c r="K128" i="14" s="1"/>
  <c r="M79" i="14"/>
  <c r="N128" i="14" s="1"/>
  <c r="E81" i="14"/>
  <c r="F130" i="14" s="1"/>
  <c r="O79" i="14"/>
  <c r="P128" i="14" s="1"/>
  <c r="B92" i="14"/>
  <c r="C141" i="14" s="1"/>
  <c r="M81" i="14"/>
  <c r="N130" i="14" s="1"/>
  <c r="C50" i="14"/>
  <c r="D100" i="14" s="1"/>
  <c r="T64" i="14"/>
  <c r="U114" i="14" s="1"/>
  <c r="I87" i="14"/>
  <c r="J136" i="14" s="1"/>
  <c r="J92" i="14"/>
  <c r="K141" i="14" s="1"/>
  <c r="L79" i="14"/>
  <c r="M128" i="14" s="1"/>
  <c r="B79" i="14"/>
  <c r="C128" i="14" s="1"/>
  <c r="F64" i="14"/>
  <c r="G114" i="14" s="1"/>
  <c r="B64" i="14"/>
  <c r="C114" i="14" s="1"/>
  <c r="G79" i="14"/>
  <c r="H128" i="14" s="1"/>
  <c r="Q50" i="14"/>
  <c r="R100" i="14" s="1"/>
  <c r="B56" i="14"/>
  <c r="C106" i="14" s="1"/>
  <c r="E92" i="14"/>
  <c r="F141" i="14" s="1"/>
  <c r="U79" i="14"/>
  <c r="V128" i="14" s="1"/>
  <c r="D92" i="14"/>
  <c r="E141" i="14" s="1"/>
  <c r="I56" i="14"/>
  <c r="J106" i="14" s="1"/>
  <c r="Q85" i="14"/>
  <c r="R134" i="14" s="1"/>
  <c r="H66" i="14"/>
  <c r="I116" i="14" s="1"/>
  <c r="C60" i="14"/>
  <c r="D110" i="14" s="1"/>
  <c r="H92" i="14"/>
  <c r="I141" i="14" s="1"/>
  <c r="P56" i="14"/>
  <c r="Q106" i="14" s="1"/>
  <c r="P76" i="14"/>
  <c r="Q147" i="14" s="1"/>
  <c r="K83" i="14"/>
  <c r="L132" i="14" s="1"/>
  <c r="R92" i="14"/>
  <c r="S141" i="14" s="1"/>
  <c r="C76" i="14"/>
  <c r="D147" i="14" s="1"/>
  <c r="E64" i="14"/>
  <c r="F114" i="14" s="1"/>
  <c r="I92" i="14"/>
  <c r="J141" i="14" s="1"/>
  <c r="U92" i="14"/>
  <c r="V141" i="14" s="1"/>
  <c r="M60" i="14"/>
  <c r="N110" i="14" s="1"/>
  <c r="S69" i="14"/>
  <c r="T119" i="14" s="1"/>
  <c r="I81" i="14"/>
  <c r="J130" i="14" s="1"/>
  <c r="S91" i="14"/>
  <c r="T140" i="14" s="1"/>
  <c r="B85" i="14"/>
  <c r="C134" i="14" s="1"/>
  <c r="M50" i="14"/>
  <c r="N100" i="14" s="1"/>
  <c r="U81" i="14"/>
  <c r="V130" i="14" s="1"/>
  <c r="Q57" i="14"/>
  <c r="R107" i="14" s="1"/>
  <c r="S92" i="14"/>
  <c r="T141" i="14" s="1"/>
  <c r="E69" i="14"/>
  <c r="F119" i="14" s="1"/>
  <c r="O50" i="14"/>
  <c r="P100" i="14" s="1"/>
  <c r="C92" i="14"/>
  <c r="D141" i="14" s="1"/>
  <c r="D79" i="14"/>
  <c r="E128" i="14" s="1"/>
  <c r="M64" i="14"/>
  <c r="N114" i="14" s="1"/>
  <c r="J81" i="14"/>
  <c r="K130" i="14" s="1"/>
  <c r="E87" i="14"/>
  <c r="F136" i="14" s="1"/>
  <c r="G92" i="14"/>
  <c r="H141" i="14" s="1"/>
  <c r="I93" i="14"/>
  <c r="J142" i="14" s="1"/>
  <c r="R69" i="14"/>
  <c r="S119" i="14" s="1"/>
  <c r="Q92" i="14"/>
  <c r="R141" i="14" s="1"/>
  <c r="S76" i="14"/>
  <c r="T147" i="14" s="1"/>
  <c r="T69" i="14"/>
  <c r="U119" i="14" s="1"/>
  <c r="R79" i="14"/>
  <c r="S128" i="14" s="1"/>
  <c r="F92" i="14"/>
  <c r="G141" i="14" s="1"/>
  <c r="U84" i="14"/>
  <c r="V133" i="14" s="1"/>
  <c r="P69" i="14"/>
  <c r="Q119" i="14" s="1"/>
  <c r="G65" i="14"/>
  <c r="H115" i="14" s="1"/>
  <c r="H81" i="14"/>
  <c r="I130" i="14" s="1"/>
  <c r="M92" i="14"/>
  <c r="N141" i="14" s="1"/>
  <c r="S87" i="14"/>
  <c r="T136" i="14" s="1"/>
  <c r="G68" i="14"/>
  <c r="H118" i="14" s="1"/>
  <c r="T52" i="14"/>
  <c r="U102" i="14" s="1"/>
  <c r="D76" i="14"/>
  <c r="E147" i="14" s="1"/>
  <c r="M77" i="14"/>
  <c r="N126" i="14" s="1"/>
  <c r="H71" i="14"/>
  <c r="I121" i="14" s="1"/>
  <c r="T92" i="14"/>
  <c r="U141" i="14" s="1"/>
  <c r="N81" i="14"/>
  <c r="O130" i="14" s="1"/>
  <c r="Q68" i="14"/>
  <c r="R118" i="14" s="1"/>
  <c r="G81" i="14"/>
  <c r="H130" i="14" s="1"/>
  <c r="I53" i="14"/>
  <c r="J103" i="14" s="1"/>
  <c r="T53" i="14"/>
  <c r="U103" i="14" s="1"/>
  <c r="O53" i="14"/>
  <c r="P103" i="14" s="1"/>
  <c r="P53" i="14"/>
  <c r="Q103" i="14" s="1"/>
  <c r="L53" i="14"/>
  <c r="M103" i="14" s="1"/>
  <c r="R55" i="14"/>
  <c r="S105" i="14" s="1"/>
  <c r="D55" i="14"/>
  <c r="E105" i="14" s="1"/>
  <c r="O55" i="14"/>
  <c r="P105" i="14" s="1"/>
  <c r="H55" i="14"/>
  <c r="I105" i="14" s="1"/>
  <c r="O51" i="14"/>
  <c r="P101" i="14" s="1"/>
  <c r="L51" i="14"/>
  <c r="M101" i="14" s="1"/>
  <c r="M49" i="14"/>
  <c r="N99" i="14" s="1"/>
  <c r="R49" i="14"/>
  <c r="S99" i="14" s="1"/>
  <c r="T49" i="14"/>
  <c r="U99" i="14" s="1"/>
  <c r="F49" i="14"/>
  <c r="G99" i="14" s="1"/>
  <c r="J49" i="14"/>
  <c r="K99" i="14" s="1"/>
  <c r="C49" i="14"/>
  <c r="D99" i="14" s="1"/>
  <c r="P49" i="14"/>
  <c r="Q99" i="14" s="1"/>
  <c r="N49" i="14"/>
  <c r="O99" i="14" s="1"/>
  <c r="O49" i="14"/>
  <c r="P99" i="14" s="1"/>
  <c r="U49" i="14"/>
  <c r="V99" i="14" s="1"/>
  <c r="L49" i="14"/>
  <c r="M99" i="14" s="1"/>
  <c r="B49" i="14"/>
  <c r="C99" i="14" s="1"/>
  <c r="E49" i="14"/>
  <c r="F99" i="14" s="1"/>
  <c r="S49" i="14"/>
  <c r="T99" i="14" s="1"/>
  <c r="B53" i="14"/>
  <c r="C103" i="14" s="1"/>
  <c r="K54" i="14"/>
  <c r="L104" i="14" s="1"/>
  <c r="U54" i="14"/>
  <c r="V104" i="14" s="1"/>
  <c r="S55" i="14"/>
  <c r="T105" i="14" s="1"/>
  <c r="S70" i="14"/>
  <c r="T120" i="14" s="1"/>
  <c r="U70" i="14"/>
  <c r="V120" i="14" s="1"/>
  <c r="P70" i="14"/>
  <c r="Q120" i="14" s="1"/>
  <c r="G70" i="14"/>
  <c r="H120" i="14" s="1"/>
  <c r="I70" i="14"/>
  <c r="J120" i="14" s="1"/>
  <c r="K70" i="14"/>
  <c r="L120" i="14" s="1"/>
  <c r="N70" i="14"/>
  <c r="O120" i="14" s="1"/>
  <c r="Q54" i="14"/>
  <c r="R104" i="14" s="1"/>
  <c r="C54" i="14"/>
  <c r="D104" i="14" s="1"/>
  <c r="T54" i="14"/>
  <c r="U104" i="14" s="1"/>
  <c r="F54" i="14"/>
  <c r="G104" i="14" s="1"/>
  <c r="J54" i="14"/>
  <c r="K104" i="14" s="1"/>
  <c r="N54" i="14"/>
  <c r="O104" i="14" s="1"/>
  <c r="Q89" i="14"/>
  <c r="R138" i="14" s="1"/>
  <c r="U89" i="14"/>
  <c r="V138" i="14" s="1"/>
  <c r="E89" i="14"/>
  <c r="F138" i="14" s="1"/>
  <c r="F89" i="14"/>
  <c r="G138" i="14" s="1"/>
  <c r="J89" i="14"/>
  <c r="K138" i="14" s="1"/>
  <c r="N89" i="14"/>
  <c r="O138" i="14" s="1"/>
  <c r="I89" i="14"/>
  <c r="J138" i="14" s="1"/>
  <c r="G89" i="14"/>
  <c r="H138" i="14" s="1"/>
  <c r="I49" i="14"/>
  <c r="J99" i="14" s="1"/>
  <c r="H85" i="14"/>
  <c r="I134" i="14" s="1"/>
  <c r="P85" i="14"/>
  <c r="Q134" i="14" s="1"/>
  <c r="T85" i="14"/>
  <c r="U134" i="14" s="1"/>
  <c r="O85" i="14"/>
  <c r="P134" i="14" s="1"/>
  <c r="F85" i="14"/>
  <c r="G134" i="14" s="1"/>
  <c r="M85" i="14"/>
  <c r="N134" i="14" s="1"/>
  <c r="J85" i="14"/>
  <c r="K134" i="14" s="1"/>
  <c r="G85" i="14"/>
  <c r="H134" i="14" s="1"/>
  <c r="O66" i="14"/>
  <c r="P116" i="14" s="1"/>
  <c r="I66" i="14"/>
  <c r="J116" i="14" s="1"/>
  <c r="L66" i="14"/>
  <c r="M116" i="14" s="1"/>
  <c r="Q66" i="14"/>
  <c r="R116" i="14" s="1"/>
  <c r="U66" i="14"/>
  <c r="V116" i="14" s="1"/>
  <c r="T66" i="14"/>
  <c r="U116" i="14" s="1"/>
  <c r="E66" i="14"/>
  <c r="F116" i="14" s="1"/>
  <c r="F66" i="14"/>
  <c r="G116" i="14" s="1"/>
  <c r="Q90" i="14"/>
  <c r="R139" i="14" s="1"/>
  <c r="D90" i="14"/>
  <c r="E139" i="14" s="1"/>
  <c r="H90" i="14"/>
  <c r="I139" i="14" s="1"/>
  <c r="E90" i="14"/>
  <c r="F139" i="14" s="1"/>
  <c r="R90" i="14"/>
  <c r="S139" i="14" s="1"/>
  <c r="Q62" i="14"/>
  <c r="R112" i="14" s="1"/>
  <c r="N62" i="14"/>
  <c r="O112" i="14" s="1"/>
  <c r="S66" i="14"/>
  <c r="T116" i="14" s="1"/>
  <c r="K89" i="14"/>
  <c r="L138" i="14" s="1"/>
  <c r="L89" i="14"/>
  <c r="M138" i="14" s="1"/>
  <c r="I51" i="14"/>
  <c r="J101" i="14" s="1"/>
  <c r="F90" i="14"/>
  <c r="G139" i="14" s="1"/>
  <c r="H89" i="14"/>
  <c r="I138" i="14" s="1"/>
  <c r="E85" i="14"/>
  <c r="F134" i="14" s="1"/>
  <c r="E70" i="14"/>
  <c r="F120" i="14" s="1"/>
  <c r="Q49" i="14"/>
  <c r="R99" i="14" s="1"/>
  <c r="T90" i="14"/>
  <c r="U139" i="14" s="1"/>
  <c r="P90" i="14"/>
  <c r="Q139" i="14" s="1"/>
  <c r="U63" i="14"/>
  <c r="V113" i="14" s="1"/>
  <c r="E63" i="14"/>
  <c r="F113" i="14" s="1"/>
  <c r="L63" i="14"/>
  <c r="M113" i="14" s="1"/>
  <c r="P63" i="14"/>
  <c r="Q113" i="14" s="1"/>
  <c r="H63" i="14"/>
  <c r="I113" i="14" s="1"/>
  <c r="S63" i="14"/>
  <c r="T113" i="14" s="1"/>
  <c r="G72" i="14"/>
  <c r="H122" i="14" s="1"/>
  <c r="O52" i="14"/>
  <c r="P102" i="14" s="1"/>
  <c r="F52" i="14"/>
  <c r="G102" i="14" s="1"/>
  <c r="R52" i="14"/>
  <c r="S102" i="14" s="1"/>
  <c r="D52" i="14"/>
  <c r="E102" i="14" s="1"/>
  <c r="D49" i="14"/>
  <c r="E99" i="14" s="1"/>
  <c r="K77" i="14"/>
  <c r="L126" i="14" s="1"/>
  <c r="R80" i="14"/>
  <c r="S129" i="14" s="1"/>
  <c r="G80" i="14"/>
  <c r="H129" i="14" s="1"/>
  <c r="K68" i="14"/>
  <c r="L118" i="14" s="1"/>
  <c r="J87" i="14"/>
  <c r="K136" i="14" s="1"/>
  <c r="M86" i="14"/>
  <c r="N135" i="14" s="1"/>
  <c r="P79" i="14"/>
  <c r="Q128" i="14" s="1"/>
  <c r="N68" i="14"/>
  <c r="O118" i="14" s="1"/>
  <c r="I77" i="14"/>
  <c r="J126" i="14" s="1"/>
  <c r="D81" i="14"/>
  <c r="E130" i="14" s="1"/>
  <c r="O80" i="14"/>
  <c r="P129" i="14" s="1"/>
  <c r="N79" i="14"/>
  <c r="O128" i="14" s="1"/>
  <c r="G64" i="14"/>
  <c r="H114" i="14" s="1"/>
  <c r="I80" i="14"/>
  <c r="J129" i="14" s="1"/>
  <c r="R81" i="14"/>
  <c r="S130" i="14" s="1"/>
  <c r="D65" i="14"/>
  <c r="E115" i="14" s="1"/>
  <c r="O71" i="14"/>
  <c r="P121" i="14" s="1"/>
  <c r="Q83" i="14"/>
  <c r="R132" i="14" s="1"/>
  <c r="E61" i="14"/>
  <c r="F111" i="14" s="1"/>
  <c r="E59" i="14"/>
  <c r="F109" i="14" s="1"/>
  <c r="Q78" i="14"/>
  <c r="R127" i="14" s="1"/>
  <c r="L56" i="14"/>
  <c r="M106" i="14" s="1"/>
  <c r="B81" i="14"/>
  <c r="C130" i="14" s="1"/>
  <c r="O65" i="14"/>
  <c r="P115" i="14" s="1"/>
  <c r="C81" i="14"/>
  <c r="D130" i="14" s="1"/>
  <c r="F83" i="14"/>
  <c r="G132" i="14" s="1"/>
  <c r="J65" i="14"/>
  <c r="K115" i="14" s="1"/>
  <c r="Q80" i="14"/>
  <c r="R129" i="14" s="1"/>
  <c r="P64" i="14"/>
  <c r="Q114" i="14" s="1"/>
  <c r="U56" i="14"/>
  <c r="V106" i="14" s="1"/>
  <c r="I65" i="14"/>
  <c r="J115" i="14" s="1"/>
  <c r="L60" i="14"/>
  <c r="M110" i="14" s="1"/>
  <c r="T61" i="14"/>
  <c r="U111" i="14" s="1"/>
  <c r="P81" i="14"/>
  <c r="Q130" i="14" s="1"/>
  <c r="Q81" i="14"/>
  <c r="R130" i="14" s="1"/>
  <c r="S64" i="14"/>
  <c r="T114" i="14" s="1"/>
  <c r="F61" i="14"/>
  <c r="G111" i="14" s="1"/>
  <c r="E68" i="14"/>
  <c r="F118" i="14" s="1"/>
  <c r="F68" i="14"/>
  <c r="G118" i="14" s="1"/>
  <c r="B50" i="14"/>
  <c r="C100" i="14" s="1"/>
  <c r="C64" i="14"/>
  <c r="D114" i="14" s="1"/>
  <c r="E80" i="14"/>
  <c r="F129" i="14" s="1"/>
  <c r="R50" i="14"/>
  <c r="S100" i="14" s="1"/>
  <c r="D83" i="14"/>
  <c r="E132" i="14" s="1"/>
  <c r="C67" i="14"/>
  <c r="D117" i="14" s="1"/>
  <c r="F69" i="14"/>
  <c r="G119" i="14" s="1"/>
  <c r="H69" i="14"/>
  <c r="I119" i="14" s="1"/>
  <c r="T68" i="14"/>
  <c r="U118" i="14" s="1"/>
  <c r="L58" i="14"/>
  <c r="M108" i="14" s="1"/>
  <c r="L67" i="14"/>
  <c r="M117" i="14" s="1"/>
  <c r="M65" i="14"/>
  <c r="N115" i="14" s="1"/>
  <c r="G77" i="14"/>
  <c r="H126" i="14" s="1"/>
  <c r="O57" i="14"/>
  <c r="P107" i="14" s="1"/>
  <c r="I74" i="14"/>
  <c r="J124" i="14" s="1"/>
  <c r="B72" i="14"/>
  <c r="C122" i="14" s="1"/>
  <c r="F55" i="14"/>
  <c r="G105" i="14" s="1"/>
  <c r="T55" i="14"/>
  <c r="U105" i="14" s="1"/>
  <c r="G55" i="14"/>
  <c r="H105" i="14" s="1"/>
  <c r="U55" i="14"/>
  <c r="V105" i="14" s="1"/>
  <c r="I55" i="14"/>
  <c r="J105" i="14" s="1"/>
  <c r="J55" i="14"/>
  <c r="K105" i="14" s="1"/>
  <c r="L55" i="14"/>
  <c r="M105" i="14" s="1"/>
  <c r="Q60" i="14"/>
  <c r="R110" i="14" s="1"/>
  <c r="P72" i="14"/>
  <c r="Q122" i="14" s="1"/>
  <c r="L82" i="14"/>
  <c r="M131" i="14" s="1"/>
  <c r="N82" i="14"/>
  <c r="O131" i="14" s="1"/>
  <c r="D58" i="14"/>
  <c r="E108" i="14" s="1"/>
  <c r="T82" i="14"/>
  <c r="U131" i="14" s="1"/>
  <c r="M93" i="14"/>
  <c r="N142" i="14" s="1"/>
  <c r="S78" i="14"/>
  <c r="T127" i="14" s="1"/>
  <c r="K87" i="14"/>
  <c r="L136" i="14" s="1"/>
  <c r="N87" i="14"/>
  <c r="O136" i="14" s="1"/>
  <c r="P87" i="14"/>
  <c r="Q136" i="14" s="1"/>
  <c r="B87" i="14"/>
  <c r="C136" i="14" s="1"/>
  <c r="M87" i="14"/>
  <c r="N136" i="14" s="1"/>
  <c r="F82" i="14"/>
  <c r="G131" i="14" s="1"/>
  <c r="G86" i="14"/>
  <c r="H135" i="14" s="1"/>
  <c r="I71" i="14"/>
  <c r="J121" i="14" s="1"/>
  <c r="K71" i="14"/>
  <c r="L121" i="14" s="1"/>
  <c r="L71" i="14"/>
  <c r="M121" i="14" s="1"/>
  <c r="N71" i="14"/>
  <c r="O121" i="14" s="1"/>
  <c r="G91" i="14"/>
  <c r="H140" i="14" s="1"/>
  <c r="S57" i="14"/>
  <c r="T107" i="14" s="1"/>
  <c r="K55" i="14"/>
  <c r="L105" i="14" s="1"/>
  <c r="C75" i="14"/>
  <c r="D125" i="14" s="1"/>
  <c r="U77" i="14"/>
  <c r="V126" i="14" s="1"/>
  <c r="F75" i="14"/>
  <c r="G125" i="14" s="1"/>
  <c r="D53" i="14"/>
  <c r="E103" i="14" s="1"/>
  <c r="R53" i="14"/>
  <c r="S103" i="14" s="1"/>
  <c r="E53" i="14"/>
  <c r="F103" i="14" s="1"/>
  <c r="S53" i="14"/>
  <c r="T103" i="14" s="1"/>
  <c r="G53" i="14"/>
  <c r="H103" i="14" s="1"/>
  <c r="U53" i="14"/>
  <c r="V103" i="14" s="1"/>
  <c r="H53" i="14"/>
  <c r="I103" i="14" s="1"/>
  <c r="J53" i="14"/>
  <c r="K103" i="14" s="1"/>
  <c r="D87" i="14"/>
  <c r="E136" i="14" s="1"/>
  <c r="U91" i="14"/>
  <c r="V140" i="14" s="1"/>
  <c r="K62" i="14"/>
  <c r="L112" i="14" s="1"/>
  <c r="E74" i="14"/>
  <c r="F124" i="14" s="1"/>
  <c r="S74" i="14"/>
  <c r="T124" i="14" s="1"/>
  <c r="G74" i="14"/>
  <c r="H124" i="14" s="1"/>
  <c r="J74" i="14"/>
  <c r="K124" i="14" s="1"/>
  <c r="H74" i="14"/>
  <c r="I124" i="14" s="1"/>
  <c r="U74" i="14"/>
  <c r="V124" i="14" s="1"/>
  <c r="K74" i="14"/>
  <c r="L124" i="14" s="1"/>
  <c r="B62" i="14"/>
  <c r="C112" i="14" s="1"/>
  <c r="I78" i="14"/>
  <c r="J127" i="14" s="1"/>
  <c r="K78" i="14"/>
  <c r="L127" i="14" s="1"/>
  <c r="L78" i="14"/>
  <c r="M127" i="14" s="1"/>
  <c r="N78" i="14"/>
  <c r="O127" i="14" s="1"/>
  <c r="L74" i="14"/>
  <c r="M124" i="14" s="1"/>
  <c r="S59" i="14"/>
  <c r="T109" i="14" s="1"/>
  <c r="H84" i="14"/>
  <c r="I133" i="14" s="1"/>
  <c r="B86" i="14"/>
  <c r="C135" i="14" s="1"/>
  <c r="K51" i="14"/>
  <c r="L101" i="14" s="1"/>
  <c r="G61" i="14"/>
  <c r="H111" i="14" s="1"/>
  <c r="C71" i="14"/>
  <c r="D121" i="14" s="1"/>
  <c r="S80" i="14"/>
  <c r="T129" i="14" s="1"/>
  <c r="O90" i="14"/>
  <c r="P139" i="14" s="1"/>
  <c r="E50" i="14"/>
  <c r="F100" i="14" s="1"/>
  <c r="F57" i="14"/>
  <c r="G107" i="14" s="1"/>
  <c r="B67" i="14"/>
  <c r="C117" i="14" s="1"/>
  <c r="R76" i="14"/>
  <c r="S147" i="14" s="1"/>
  <c r="K61" i="14"/>
  <c r="L111" i="14" s="1"/>
  <c r="G71" i="14"/>
  <c r="H121" i="14" s="1"/>
  <c r="S90" i="14"/>
  <c r="T139" i="14" s="1"/>
  <c r="J73" i="14"/>
  <c r="K123" i="14" s="1"/>
  <c r="B93" i="14"/>
  <c r="C142" i="14" s="1"/>
  <c r="B70" i="14"/>
  <c r="C120" i="14" s="1"/>
  <c r="D93" i="14"/>
  <c r="E142" i="14" s="1"/>
  <c r="R58" i="14"/>
  <c r="S108" i="14" s="1"/>
  <c r="H76" i="14"/>
  <c r="I147" i="14" s="1"/>
  <c r="N93" i="14"/>
  <c r="O142" i="14" s="1"/>
  <c r="N90" i="14"/>
  <c r="O139" i="14" s="1"/>
  <c r="L54" i="14"/>
  <c r="M104" i="14" s="1"/>
  <c r="M54" i="14"/>
  <c r="N104" i="14" s="1"/>
  <c r="O54" i="14"/>
  <c r="P104" i="14" s="1"/>
  <c r="B54" i="14"/>
  <c r="C104" i="14" s="1"/>
  <c r="D54" i="14"/>
  <c r="E104" i="14" s="1"/>
  <c r="P54" i="14"/>
  <c r="Q104" i="14" s="1"/>
  <c r="R54" i="14"/>
  <c r="S104" i="14" s="1"/>
  <c r="H70" i="14"/>
  <c r="I120" i="14" s="1"/>
  <c r="M55" i="14"/>
  <c r="N105" i="14" s="1"/>
  <c r="R87" i="14"/>
  <c r="S136" i="14" s="1"/>
  <c r="Q76" i="14"/>
  <c r="R147" i="14" s="1"/>
  <c r="B71" i="14"/>
  <c r="T87" i="14"/>
  <c r="U136" i="14" s="1"/>
  <c r="K63" i="14"/>
  <c r="L113" i="14" s="1"/>
  <c r="E56" i="14"/>
  <c r="F106" i="14" s="1"/>
  <c r="U65" i="14"/>
  <c r="V115" i="14" s="1"/>
  <c r="Q87" i="14"/>
  <c r="R136" i="14" s="1"/>
  <c r="F87" i="14"/>
  <c r="G136" i="14" s="1"/>
  <c r="K53" i="14"/>
  <c r="L103" i="14" s="1"/>
  <c r="O74" i="14"/>
  <c r="P124" i="14" s="1"/>
  <c r="M75" i="14"/>
  <c r="N125" i="14" s="1"/>
  <c r="O75" i="14"/>
  <c r="P125" i="14" s="1"/>
  <c r="P75" i="14"/>
  <c r="Q125" i="14" s="1"/>
  <c r="R75" i="14"/>
  <c r="S125" i="14" s="1"/>
  <c r="B75" i="14"/>
  <c r="C125" i="14" s="1"/>
  <c r="D75" i="14"/>
  <c r="E125" i="14" s="1"/>
  <c r="F62" i="14"/>
  <c r="G112" i="14" s="1"/>
  <c r="T62" i="14"/>
  <c r="U112" i="14" s="1"/>
  <c r="G62" i="14"/>
  <c r="H112" i="14" s="1"/>
  <c r="U62" i="14"/>
  <c r="V112" i="14" s="1"/>
  <c r="I62" i="14"/>
  <c r="J112" i="14" s="1"/>
  <c r="J62" i="14"/>
  <c r="K112" i="14" s="1"/>
  <c r="M62" i="14"/>
  <c r="N112" i="14" s="1"/>
  <c r="L62" i="14"/>
  <c r="M112" i="14" s="1"/>
  <c r="O84" i="14"/>
  <c r="P133" i="14" s="1"/>
  <c r="C84" i="14"/>
  <c r="D133" i="14" s="1"/>
  <c r="F84" i="14"/>
  <c r="G133" i="14" s="1"/>
  <c r="D84" i="14"/>
  <c r="E133" i="14" s="1"/>
  <c r="Q84" i="14"/>
  <c r="R133" i="14" s="1"/>
  <c r="R84" i="14"/>
  <c r="S133" i="14" s="1"/>
  <c r="T84" i="14"/>
  <c r="U133" i="14" s="1"/>
  <c r="M82" i="14"/>
  <c r="N131" i="14" s="1"/>
  <c r="P82" i="14"/>
  <c r="Q131" i="14" s="1"/>
  <c r="R82" i="14"/>
  <c r="S131" i="14" s="1"/>
  <c r="O82" i="14"/>
  <c r="P131" i="14" s="1"/>
  <c r="E82" i="14"/>
  <c r="F131" i="14" s="1"/>
  <c r="B82" i="14"/>
  <c r="C131" i="14" s="1"/>
  <c r="D82" i="14"/>
  <c r="E131" i="14" s="1"/>
  <c r="L84" i="14"/>
  <c r="M133" i="14" s="1"/>
  <c r="C91" i="14"/>
  <c r="D140" i="14" s="1"/>
  <c r="D91" i="14"/>
  <c r="E140" i="14" s="1"/>
  <c r="F91" i="14"/>
  <c r="G140" i="14" s="1"/>
  <c r="Q91" i="14"/>
  <c r="R140" i="14" s="1"/>
  <c r="T91" i="14"/>
  <c r="U140" i="14" s="1"/>
  <c r="R91" i="14"/>
  <c r="S140" i="14" s="1"/>
  <c r="J59" i="14"/>
  <c r="K109" i="14" s="1"/>
  <c r="K59" i="14"/>
  <c r="L109" i="14" s="1"/>
  <c r="M59" i="14"/>
  <c r="N109" i="14" s="1"/>
  <c r="B59" i="14"/>
  <c r="C109" i="14" s="1"/>
  <c r="N59" i="14"/>
  <c r="O109" i="14" s="1"/>
  <c r="P59" i="14"/>
  <c r="Q109" i="14" s="1"/>
  <c r="U59" i="14"/>
  <c r="V109" i="14" s="1"/>
  <c r="S75" i="14"/>
  <c r="T125" i="14" s="1"/>
  <c r="J75" i="14"/>
  <c r="K125" i="14" s="1"/>
  <c r="C72" i="14"/>
  <c r="D122" i="14" s="1"/>
  <c r="Q72" i="14"/>
  <c r="R122" i="14" s="1"/>
  <c r="T72" i="14"/>
  <c r="U122" i="14" s="1"/>
  <c r="E72" i="14"/>
  <c r="F122" i="14" s="1"/>
  <c r="S72" i="14"/>
  <c r="T122" i="14" s="1"/>
  <c r="F72" i="14"/>
  <c r="G122" i="14" s="1"/>
  <c r="I72" i="14"/>
  <c r="J122" i="14" s="1"/>
  <c r="H72" i="14"/>
  <c r="I122" i="14" s="1"/>
  <c r="D72" i="14"/>
  <c r="E122" i="14" s="1"/>
  <c r="L61" i="14"/>
  <c r="M111" i="14" s="1"/>
  <c r="M61" i="14"/>
  <c r="N111" i="14" s="1"/>
  <c r="O61" i="14"/>
  <c r="P111" i="14" s="1"/>
  <c r="B61" i="14"/>
  <c r="C111" i="14" s="1"/>
  <c r="D61" i="14"/>
  <c r="E111" i="14" s="1"/>
  <c r="P61" i="14"/>
  <c r="Q111" i="14" s="1"/>
  <c r="R61" i="14"/>
  <c r="S111" i="14" s="1"/>
  <c r="Q82" i="14"/>
  <c r="R131" i="14" s="1"/>
  <c r="J52" i="14"/>
  <c r="K102" i="14" s="1"/>
  <c r="K52" i="14"/>
  <c r="L102" i="14" s="1"/>
  <c r="M52" i="14"/>
  <c r="N102" i="14" s="1"/>
  <c r="B52" i="14"/>
  <c r="C102" i="14" s="1"/>
  <c r="N52" i="14"/>
  <c r="O102" i="14" s="1"/>
  <c r="P52" i="14"/>
  <c r="Q102" i="14" s="1"/>
  <c r="B77" i="14"/>
  <c r="C126" i="14" s="1"/>
  <c r="E52" i="14"/>
  <c r="F102" i="14" s="1"/>
  <c r="U61" i="14"/>
  <c r="V111" i="14" s="1"/>
  <c r="Q71" i="14"/>
  <c r="R121" i="14" s="1"/>
  <c r="I91" i="14"/>
  <c r="J140" i="14" s="1"/>
  <c r="S50" i="14"/>
  <c r="T100" i="14" s="1"/>
  <c r="T57" i="14"/>
  <c r="U107" i="14" s="1"/>
  <c r="P67" i="14"/>
  <c r="Q117" i="14" s="1"/>
  <c r="L77" i="14"/>
  <c r="M126" i="14" s="1"/>
  <c r="I52" i="14"/>
  <c r="J102" i="14" s="1"/>
  <c r="E62" i="14"/>
  <c r="F112" i="14" s="1"/>
  <c r="U71" i="14"/>
  <c r="V121" i="14" s="1"/>
  <c r="M91" i="14"/>
  <c r="N140" i="14" s="1"/>
  <c r="D74" i="14"/>
  <c r="E124" i="14" s="1"/>
  <c r="P93" i="14"/>
  <c r="Q142" i="14" s="1"/>
  <c r="J71" i="14"/>
  <c r="K121" i="14" s="1"/>
  <c r="B84" i="14"/>
  <c r="C133" i="14" s="1"/>
  <c r="R93" i="14"/>
  <c r="S142" i="14" s="1"/>
  <c r="L59" i="14"/>
  <c r="M109" i="14" s="1"/>
  <c r="P77" i="14"/>
  <c r="Q126" i="14" s="1"/>
  <c r="M89" i="14"/>
  <c r="N138" i="14" s="1"/>
  <c r="D89" i="14"/>
  <c r="E138" i="14" s="1"/>
  <c r="B89" i="14"/>
  <c r="C138" i="14" s="1"/>
  <c r="R89" i="14"/>
  <c r="S138" i="14" s="1"/>
  <c r="O89" i="14"/>
  <c r="P138" i="14" s="1"/>
  <c r="P89" i="14"/>
  <c r="Q138" i="14" s="1"/>
  <c r="D80" i="14"/>
  <c r="E129" i="14" s="1"/>
  <c r="G63" i="14"/>
  <c r="H113" i="14" s="1"/>
  <c r="J91" i="14"/>
  <c r="K140" i="14" s="1"/>
  <c r="T75" i="14"/>
  <c r="U125" i="14" s="1"/>
  <c r="D66" i="14"/>
  <c r="E116" i="14" s="1"/>
  <c r="C69" i="14"/>
  <c r="D119" i="14" s="1"/>
  <c r="K76" i="14"/>
  <c r="L147" i="14" s="1"/>
  <c r="J70" i="14"/>
  <c r="K120" i="14" s="1"/>
  <c r="E54" i="14"/>
  <c r="F104" i="14" s="1"/>
  <c r="B55" i="14"/>
  <c r="C105" i="14" s="1"/>
  <c r="U80" i="14"/>
  <c r="V129" i="14" s="1"/>
  <c r="H57" i="14"/>
  <c r="I107" i="14" s="1"/>
  <c r="I57" i="14"/>
  <c r="J107" i="14" s="1"/>
  <c r="K57" i="14"/>
  <c r="L107" i="14" s="1"/>
  <c r="L57" i="14"/>
  <c r="M107" i="14" s="1"/>
  <c r="N57" i="14"/>
  <c r="O107" i="14" s="1"/>
  <c r="E57" i="14"/>
  <c r="F107" i="14" s="1"/>
  <c r="B57" i="14"/>
  <c r="C107" i="14" s="1"/>
  <c r="P74" i="14"/>
  <c r="Q124" i="14" s="1"/>
  <c r="L91" i="14"/>
  <c r="M140" i="14" s="1"/>
  <c r="B51" i="14"/>
  <c r="C101" i="14" s="1"/>
  <c r="P51" i="14"/>
  <c r="Q101" i="14" s="1"/>
  <c r="C51" i="14"/>
  <c r="D101" i="14" s="1"/>
  <c r="Q51" i="14"/>
  <c r="R101" i="14" s="1"/>
  <c r="E51" i="14"/>
  <c r="F101" i="14" s="1"/>
  <c r="S51" i="14"/>
  <c r="T101" i="14" s="1"/>
  <c r="F51" i="14"/>
  <c r="G101" i="14" s="1"/>
  <c r="H51" i="14"/>
  <c r="I101" i="14" s="1"/>
  <c r="T51" i="14"/>
  <c r="U101" i="14" s="1"/>
  <c r="J57" i="14"/>
  <c r="K107" i="14" s="1"/>
  <c r="H75" i="14"/>
  <c r="I125" i="14" s="1"/>
  <c r="B91" i="14"/>
  <c r="C140" i="14" s="1"/>
  <c r="S52" i="14"/>
  <c r="T102" i="14" s="1"/>
  <c r="O62" i="14"/>
  <c r="P112" i="14" s="1"/>
  <c r="K72" i="14"/>
  <c r="L122" i="14" s="1"/>
  <c r="G82" i="14"/>
  <c r="H131" i="14" s="1"/>
  <c r="M51" i="14"/>
  <c r="N101" i="14" s="1"/>
  <c r="N58" i="14"/>
  <c r="O108" i="14" s="1"/>
  <c r="F78" i="14"/>
  <c r="G127" i="14" s="1"/>
  <c r="C53" i="14"/>
  <c r="D103" i="14" s="1"/>
  <c r="S62" i="14"/>
  <c r="T112" i="14" s="1"/>
  <c r="O72" i="14"/>
  <c r="P122" i="14" s="1"/>
  <c r="K82" i="14"/>
  <c r="L131" i="14" s="1"/>
  <c r="R74" i="14"/>
  <c r="S124" i="14" s="1"/>
  <c r="N84" i="14"/>
  <c r="O133" i="14" s="1"/>
  <c r="U90" i="14"/>
  <c r="V139" i="14" s="1"/>
  <c r="R72" i="14"/>
  <c r="S122" i="14" s="1"/>
  <c r="P84" i="14"/>
  <c r="Q133" i="14" s="1"/>
  <c r="F60" i="14"/>
  <c r="G110" i="14" s="1"/>
  <c r="J66" i="14"/>
  <c r="K116" i="14" s="1"/>
  <c r="K66" i="14"/>
  <c r="L116" i="14" s="1"/>
  <c r="B66" i="14"/>
  <c r="C116" i="14" s="1"/>
  <c r="M66" i="14"/>
  <c r="N116" i="14" s="1"/>
  <c r="N66" i="14"/>
  <c r="O116" i="14" s="1"/>
  <c r="P66" i="14"/>
  <c r="Q116" i="14" s="1"/>
  <c r="K67" i="14"/>
  <c r="L117" i="14" s="1"/>
  <c r="M76" i="14"/>
  <c r="N147" i="14" s="1"/>
  <c r="K90" i="14"/>
  <c r="L139" i="14" s="1"/>
  <c r="N60" i="14"/>
  <c r="O110" i="14" s="1"/>
  <c r="O88" i="14"/>
  <c r="P137" i="14" s="1"/>
  <c r="Q55" i="14"/>
  <c r="R105" i="14" s="1"/>
  <c r="N56" i="14"/>
  <c r="O106" i="14" s="1"/>
  <c r="O56" i="14"/>
  <c r="P106" i="14" s="1"/>
  <c r="C56" i="14"/>
  <c r="Q56" i="14"/>
  <c r="R106" i="14" s="1"/>
  <c r="T56" i="14"/>
  <c r="U106" i="14" s="1"/>
  <c r="D56" i="14"/>
  <c r="E106" i="14" s="1"/>
  <c r="F56" i="14"/>
  <c r="G106" i="14" s="1"/>
  <c r="R56" i="14"/>
  <c r="S106" i="14" s="1"/>
  <c r="K56" i="14"/>
  <c r="L106" i="14" s="1"/>
  <c r="R73" i="14"/>
  <c r="S123" i="14" s="1"/>
  <c r="I75" i="14"/>
  <c r="J125" i="14" s="1"/>
  <c r="M57" i="14"/>
  <c r="N107" i="14" s="1"/>
  <c r="E77" i="14"/>
  <c r="F126" i="14" s="1"/>
  <c r="R59" i="14"/>
  <c r="S109" i="14" s="1"/>
  <c r="I54" i="14"/>
  <c r="J104" i="14" s="1"/>
  <c r="H82" i="14"/>
  <c r="I131" i="14" s="1"/>
  <c r="S54" i="14"/>
  <c r="T104" i="14" s="1"/>
  <c r="J56" i="14"/>
  <c r="K106" i="14" s="1"/>
  <c r="G87" i="14"/>
  <c r="H136" i="14" s="1"/>
  <c r="C79" i="14"/>
  <c r="D128" i="14" s="1"/>
  <c r="Q79" i="14"/>
  <c r="R128" i="14" s="1"/>
  <c r="E79" i="14"/>
  <c r="F128" i="14" s="1"/>
  <c r="H79" i="14"/>
  <c r="I128" i="14" s="1"/>
  <c r="F79" i="14"/>
  <c r="G128" i="14" s="1"/>
  <c r="T79" i="14"/>
  <c r="U128" i="14" s="1"/>
  <c r="S79" i="14"/>
  <c r="T128" i="14" s="1"/>
  <c r="M53" i="14"/>
  <c r="N103" i="14" s="1"/>
  <c r="I63" i="14"/>
  <c r="J113" i="14" s="1"/>
  <c r="E73" i="14"/>
  <c r="F123" i="14" s="1"/>
  <c r="U82" i="14"/>
  <c r="V131" i="14" s="1"/>
  <c r="G52" i="14"/>
  <c r="H102" i="14" s="1"/>
  <c r="H59" i="14"/>
  <c r="I109" i="14" s="1"/>
  <c r="T78" i="14"/>
  <c r="U127" i="14" s="1"/>
  <c r="Q53" i="14"/>
  <c r="R103" i="14" s="1"/>
  <c r="M63" i="14"/>
  <c r="N113" i="14" s="1"/>
  <c r="I73" i="14"/>
  <c r="J123" i="14" s="1"/>
  <c r="L75" i="14"/>
  <c r="M125" i="14" s="1"/>
  <c r="O91" i="14"/>
  <c r="P140" i="14" s="1"/>
  <c r="L73" i="14"/>
  <c r="M123" i="14" s="1"/>
  <c r="T60" i="14"/>
  <c r="U110" i="14" s="1"/>
  <c r="C66" i="14"/>
  <c r="D116" i="14" s="1"/>
  <c r="R71" i="14"/>
  <c r="S121" i="14" s="1"/>
  <c r="S84" i="14"/>
  <c r="T133" i="14" s="1"/>
  <c r="S89" i="14"/>
  <c r="T138" i="14" s="1"/>
  <c r="J63" i="14"/>
  <c r="K113" i="14" s="1"/>
  <c r="C59" i="14"/>
  <c r="D109" i="14" s="1"/>
  <c r="C62" i="14"/>
  <c r="D112" i="14" s="1"/>
  <c r="S61" i="14"/>
  <c r="T111" i="14" s="1"/>
  <c r="I85" i="14"/>
  <c r="J134" i="14" s="1"/>
  <c r="K85" i="14"/>
  <c r="L134" i="14" s="1"/>
  <c r="L85" i="14"/>
  <c r="M134" i="14" s="1"/>
  <c r="N85" i="14"/>
  <c r="O134" i="14" s="1"/>
  <c r="I61" i="14"/>
  <c r="J111" i="14" s="1"/>
  <c r="P78" i="14"/>
  <c r="Q127" i="14" s="1"/>
  <c r="K84" i="14"/>
  <c r="L133" i="14" s="1"/>
  <c r="G58" i="14"/>
  <c r="H108" i="14" s="1"/>
  <c r="R66" i="14"/>
  <c r="S116" i="14" s="1"/>
  <c r="C55" i="14"/>
  <c r="D105" i="14" s="1"/>
  <c r="P62" i="14"/>
  <c r="Q112" i="14" s="1"/>
  <c r="E93" i="14"/>
  <c r="F142" i="14" s="1"/>
  <c r="F93" i="14"/>
  <c r="G142" i="14" s="1"/>
  <c r="H93" i="14"/>
  <c r="I142" i="14" s="1"/>
  <c r="S93" i="14"/>
  <c r="T142" i="14" s="1"/>
  <c r="T93" i="14"/>
  <c r="U142" i="14" s="1"/>
  <c r="S73" i="14"/>
  <c r="T123" i="14" s="1"/>
  <c r="K93" i="14"/>
  <c r="L142" i="14" s="1"/>
  <c r="D60" i="14"/>
  <c r="E110" i="14" s="1"/>
  <c r="R60" i="14"/>
  <c r="S110" i="14" s="1"/>
  <c r="E60" i="14"/>
  <c r="F110" i="14" s="1"/>
  <c r="S60" i="14"/>
  <c r="T110" i="14" s="1"/>
  <c r="G60" i="14"/>
  <c r="H110" i="14" s="1"/>
  <c r="U60" i="14"/>
  <c r="V110" i="14" s="1"/>
  <c r="H60" i="14"/>
  <c r="I110" i="14" s="1"/>
  <c r="J60" i="14"/>
  <c r="K110" i="14" s="1"/>
  <c r="C74" i="14"/>
  <c r="D124" i="14" s="1"/>
  <c r="O93" i="14"/>
  <c r="P142" i="14" s="1"/>
  <c r="C86" i="14"/>
  <c r="D135" i="14" s="1"/>
  <c r="Q86" i="14"/>
  <c r="R135" i="14" s="1"/>
  <c r="E86" i="14"/>
  <c r="F135" i="14" s="1"/>
  <c r="F86" i="14"/>
  <c r="G135" i="14" s="1"/>
  <c r="H86" i="14"/>
  <c r="I135" i="14" s="1"/>
  <c r="S86" i="14"/>
  <c r="T135" i="14" s="1"/>
  <c r="T86" i="14"/>
  <c r="U135" i="14" s="1"/>
  <c r="T74" i="14"/>
  <c r="U124" i="14" s="1"/>
  <c r="D86" i="14"/>
  <c r="E135" i="14" s="1"/>
  <c r="D51" i="14"/>
  <c r="E101" i="14" s="1"/>
  <c r="N61" i="14"/>
  <c r="O111" i="14" s="1"/>
  <c r="N86" i="14"/>
  <c r="O135" i="14" s="1"/>
  <c r="E75" i="14"/>
  <c r="F125" i="14" s="1"/>
  <c r="R57" i="14"/>
  <c r="S107" i="14" s="1"/>
  <c r="I58" i="14"/>
  <c r="J108" i="14" s="1"/>
  <c r="J86" i="14"/>
  <c r="K135" i="14" s="1"/>
  <c r="M78" i="14"/>
  <c r="N127" i="14" s="1"/>
  <c r="J72" i="14"/>
  <c r="K122" i="14" s="1"/>
  <c r="D67" i="14"/>
  <c r="E117" i="14" s="1"/>
  <c r="R67" i="14"/>
  <c r="S117" i="14" s="1"/>
  <c r="E67" i="14"/>
  <c r="F117" i="14" s="1"/>
  <c r="S67" i="14"/>
  <c r="T117" i="14" s="1"/>
  <c r="G67" i="14"/>
  <c r="H67" i="14"/>
  <c r="I117" i="14" s="1"/>
  <c r="J67" i="14"/>
  <c r="K117" i="14" s="1"/>
  <c r="U67" i="14"/>
  <c r="V117" i="14" s="1"/>
  <c r="G69" i="14"/>
  <c r="H119" i="14" s="1"/>
  <c r="U69" i="14"/>
  <c r="V119" i="14" s="1"/>
  <c r="I69" i="14"/>
  <c r="J119" i="14" s="1"/>
  <c r="L69" i="14"/>
  <c r="M119" i="14" s="1"/>
  <c r="J69" i="14"/>
  <c r="K119" i="14" s="1"/>
  <c r="B74" i="14"/>
  <c r="C124" i="14" s="1"/>
  <c r="B78" i="14"/>
  <c r="C127" i="14" s="1"/>
  <c r="H50" i="14"/>
  <c r="I100" i="14" s="1"/>
  <c r="I50" i="14"/>
  <c r="J100" i="14" s="1"/>
  <c r="K50" i="14"/>
  <c r="L100" i="14" s="1"/>
  <c r="L50" i="14"/>
  <c r="M100" i="14" s="1"/>
  <c r="N50" i="14"/>
  <c r="O100" i="14" s="1"/>
  <c r="Q64" i="14"/>
  <c r="R114" i="14" s="1"/>
  <c r="M74" i="14"/>
  <c r="N124" i="14" s="1"/>
  <c r="I84" i="14"/>
  <c r="J133" i="14" s="1"/>
  <c r="T50" i="14"/>
  <c r="U100" i="14" s="1"/>
  <c r="P60" i="14"/>
  <c r="Q110" i="14" s="1"/>
  <c r="L70" i="14"/>
  <c r="M120" i="14" s="1"/>
  <c r="E55" i="14"/>
  <c r="F105" i="14" s="1"/>
  <c r="U64" i="14"/>
  <c r="V114" i="14" s="1"/>
  <c r="Q74" i="14"/>
  <c r="R124" i="14" s="1"/>
  <c r="M84" i="14"/>
  <c r="N133" i="14" s="1"/>
  <c r="T76" i="14"/>
  <c r="U147" i="14" s="1"/>
  <c r="P86" i="14"/>
  <c r="Q135" i="14" s="1"/>
  <c r="C93" i="14"/>
  <c r="D142" i="14" s="1"/>
  <c r="N75" i="14"/>
  <c r="O125" i="14" s="1"/>
  <c r="R86" i="14"/>
  <c r="S135" i="14" s="1"/>
  <c r="R51" i="14"/>
  <c r="S101" i="14" s="1"/>
  <c r="H62" i="14"/>
  <c r="I112" i="14" s="1"/>
  <c r="H87" i="14"/>
  <c r="I136" i="14" s="1"/>
  <c r="L86" i="14"/>
  <c r="M135" i="14" s="1"/>
  <c r="G93" i="14"/>
  <c r="H142" i="14" s="1"/>
  <c r="R64" i="14"/>
  <c r="S114" i="14" s="1"/>
  <c r="L68" i="14"/>
  <c r="M118" i="14" s="1"/>
  <c r="M68" i="14"/>
  <c r="N118" i="14" s="1"/>
  <c r="B68" i="14"/>
  <c r="C118" i="14" s="1"/>
  <c r="D68" i="14"/>
  <c r="E118" i="14" s="1"/>
  <c r="O68" i="14"/>
  <c r="P118" i="14" s="1"/>
  <c r="P68" i="14"/>
  <c r="Q118" i="14" s="1"/>
  <c r="R68" i="14"/>
  <c r="S118" i="14" s="1"/>
  <c r="D73" i="14"/>
  <c r="E123" i="14" s="1"/>
  <c r="S68" i="14"/>
  <c r="T118" i="14" s="1"/>
  <c r="T73" i="14"/>
  <c r="U123" i="14" s="1"/>
  <c r="H56" i="14"/>
  <c r="I106" i="14" s="1"/>
  <c r="E78" i="14"/>
  <c r="F127" i="14" s="1"/>
  <c r="C73" i="14"/>
  <c r="D123" i="14" s="1"/>
  <c r="G73" i="14"/>
  <c r="H123" i="14" s="1"/>
  <c r="L92" i="14"/>
  <c r="M141" i="14" s="1"/>
  <c r="N92" i="14"/>
  <c r="O141" i="14" s="1"/>
  <c r="K92" i="14"/>
  <c r="L141" i="14" s="1"/>
  <c r="G83" i="14"/>
  <c r="U83" i="14"/>
  <c r="V132" i="14" s="1"/>
  <c r="I83" i="14"/>
  <c r="J132" i="14" s="1"/>
  <c r="J83" i="14"/>
  <c r="K132" i="14" s="1"/>
  <c r="L83" i="14"/>
  <c r="M132" i="14" s="1"/>
  <c r="O59" i="14"/>
  <c r="P109" i="14" s="1"/>
  <c r="K69" i="14"/>
  <c r="L119" i="14" s="1"/>
  <c r="C82" i="14"/>
  <c r="D131" i="14" s="1"/>
  <c r="S71" i="14"/>
  <c r="T121" i="14" s="1"/>
  <c r="U73" i="14"/>
  <c r="V123" i="14" s="1"/>
  <c r="B69" i="14"/>
  <c r="C119" i="14" s="1"/>
  <c r="G75" i="14"/>
  <c r="H125" i="14" s="1"/>
  <c r="N51" i="14"/>
  <c r="O101" i="14" s="1"/>
  <c r="J61" i="14"/>
  <c r="K111" i="14" s="1"/>
  <c r="K75" i="14"/>
  <c r="L125" i="14" s="1"/>
  <c r="B58" i="14"/>
  <c r="C108" i="14" s="1"/>
  <c r="P58" i="14"/>
  <c r="Q108" i="14" s="1"/>
  <c r="C58" i="14"/>
  <c r="D108" i="14" s="1"/>
  <c r="Q58" i="14"/>
  <c r="R108" i="14" s="1"/>
  <c r="E58" i="14"/>
  <c r="F108" i="14" s="1"/>
  <c r="S58" i="14"/>
  <c r="T108" i="14" s="1"/>
  <c r="F58" i="14"/>
  <c r="G108" i="14" s="1"/>
  <c r="H58" i="14"/>
  <c r="I108" i="14" s="1"/>
  <c r="T58" i="14"/>
  <c r="U108" i="14" s="1"/>
  <c r="Q93" i="14"/>
  <c r="R142" i="14" s="1"/>
  <c r="O77" i="14"/>
  <c r="P126" i="14" s="1"/>
  <c r="R77" i="14"/>
  <c r="S126" i="14" s="1"/>
  <c r="T77" i="14"/>
  <c r="U126" i="14" s="1"/>
  <c r="C77" i="14"/>
  <c r="D126" i="14" s="1"/>
  <c r="F77" i="14"/>
  <c r="G126" i="14" s="1"/>
  <c r="D77" i="14"/>
  <c r="E126" i="14" s="1"/>
  <c r="Q77" i="14"/>
  <c r="R126" i="14" s="1"/>
  <c r="L52" i="14"/>
  <c r="M102" i="14" s="1"/>
  <c r="E88" i="14"/>
  <c r="F137" i="14" s="1"/>
  <c r="S88" i="14"/>
  <c r="T137" i="14" s="1"/>
  <c r="G88" i="14"/>
  <c r="H137" i="14" s="1"/>
  <c r="H88" i="14"/>
  <c r="I137" i="14" s="1"/>
  <c r="J88" i="14"/>
  <c r="K137" i="14" s="1"/>
  <c r="U88" i="14"/>
  <c r="V137" i="14" s="1"/>
  <c r="L93" i="14"/>
  <c r="M142" i="14" s="1"/>
  <c r="K60" i="14"/>
  <c r="L110" i="14" s="1"/>
  <c r="O78" i="14"/>
  <c r="P127" i="14" s="1"/>
  <c r="J93" i="14"/>
  <c r="K142" i="14" s="1"/>
  <c r="I60" i="14"/>
  <c r="J110" i="14" s="1"/>
  <c r="K80" i="14"/>
  <c r="L129" i="14" s="1"/>
  <c r="M80" i="14"/>
  <c r="N129" i="14" s="1"/>
  <c r="N80" i="14"/>
  <c r="O129" i="14" s="1"/>
  <c r="P80" i="14"/>
  <c r="Q129" i="14" s="1"/>
  <c r="B80" i="14"/>
  <c r="C129" i="14" s="1"/>
  <c r="G76" i="14"/>
  <c r="H147" i="14" s="1"/>
  <c r="U76" i="14"/>
  <c r="V147" i="14" s="1"/>
  <c r="I76" i="14"/>
  <c r="J147" i="14" s="1"/>
  <c r="J76" i="14"/>
  <c r="K147" i="14" s="1"/>
  <c r="L76" i="14"/>
  <c r="M147" i="14" s="1"/>
  <c r="Q52" i="14"/>
  <c r="R102" i="14" s="1"/>
  <c r="N91" i="14"/>
  <c r="O140" i="14" s="1"/>
  <c r="L72" i="14"/>
  <c r="M122" i="14" s="1"/>
  <c r="N74" i="14"/>
  <c r="O124" i="14" s="1"/>
  <c r="P50" i="14"/>
  <c r="Q100" i="14" s="1"/>
  <c r="U75" i="14"/>
  <c r="V125" i="14" s="1"/>
  <c r="D50" i="14"/>
  <c r="E100" i="14" s="1"/>
  <c r="H52" i="14"/>
  <c r="I102" i="14" s="1"/>
  <c r="D62" i="14"/>
  <c r="E112" i="14" s="1"/>
  <c r="T71" i="14"/>
  <c r="U121" i="14" s="1"/>
  <c r="E76" i="14"/>
  <c r="F147" i="14" s="1"/>
  <c r="B65" i="14"/>
  <c r="C115" i="14" s="1"/>
  <c r="P65" i="14"/>
  <c r="Q115" i="14" s="1"/>
  <c r="C65" i="14"/>
  <c r="D115" i="14" s="1"/>
  <c r="Q65" i="14"/>
  <c r="R115" i="14" s="1"/>
  <c r="S65" i="14"/>
  <c r="T115" i="14" s="1"/>
  <c r="T65" i="14"/>
  <c r="U115" i="14" s="1"/>
  <c r="H65" i="14"/>
  <c r="I115" i="14" s="1"/>
  <c r="F65" i="14"/>
  <c r="G115" i="14" s="1"/>
  <c r="E65" i="14"/>
  <c r="F115" i="14" s="1"/>
  <c r="H78" i="14"/>
  <c r="D88" i="14"/>
  <c r="E137" i="14" s="1"/>
  <c r="J78" i="14"/>
  <c r="K127" i="14" s="1"/>
  <c r="F88" i="14"/>
  <c r="G137" i="14" s="1"/>
  <c r="F53" i="14"/>
  <c r="G103" i="14" s="1"/>
  <c r="J64" i="14"/>
  <c r="K114" i="14" s="1"/>
  <c r="P88" i="14"/>
  <c r="Q137" i="14" s="1"/>
  <c r="P57" i="14"/>
  <c r="Q107" i="14" s="1"/>
  <c r="U52" i="14"/>
  <c r="V102" i="14" s="1"/>
  <c r="J77" i="14"/>
  <c r="K126" i="14" s="1"/>
  <c r="E84" i="14"/>
  <c r="F133" i="14" s="1"/>
  <c r="T80" i="14"/>
  <c r="U129" i="14" s="1"/>
  <c r="I86" i="14"/>
  <c r="J135" i="14" s="1"/>
  <c r="P71" i="14"/>
  <c r="Q121" i="14" s="1"/>
  <c r="K91" i="14"/>
  <c r="L140" i="14" s="1"/>
  <c r="H54" i="14"/>
  <c r="I104" i="14" s="1"/>
  <c r="F59" i="14"/>
  <c r="G109" i="14" s="1"/>
  <c r="G51" i="14"/>
  <c r="H101" i="14" s="1"/>
  <c r="C61" i="14"/>
  <c r="D111" i="14" s="1"/>
  <c r="I88" i="14"/>
  <c r="J137" i="14" s="1"/>
  <c r="T89" i="14"/>
  <c r="U138" i="14" s="1"/>
  <c r="I82" i="14"/>
  <c r="J131" i="14" s="1"/>
  <c r="U87" i="14"/>
  <c r="V136" i="14" s="1"/>
  <c r="C80" i="14"/>
  <c r="D129" i="14" s="1"/>
  <c r="B76" i="14"/>
  <c r="C147" i="14" s="1"/>
  <c r="I79" i="14"/>
  <c r="J128" i="14" s="1"/>
  <c r="P91" i="14"/>
  <c r="Q140" i="14" s="1"/>
  <c r="K73" i="14"/>
  <c r="L123" i="14" s="1"/>
  <c r="B73" i="14"/>
  <c r="C123" i="14" s="1"/>
  <c r="M73" i="14"/>
  <c r="N123" i="14" s="1"/>
  <c r="N73" i="14"/>
  <c r="O123" i="14" s="1"/>
  <c r="P73" i="14"/>
  <c r="Q123" i="14" s="1"/>
  <c r="J51" i="14"/>
  <c r="K101" i="14" s="1"/>
  <c r="C57" i="14"/>
  <c r="D107" i="14" s="1"/>
  <c r="K86" i="14"/>
  <c r="L135" i="14" s="1"/>
  <c r="R62" i="14"/>
  <c r="S112" i="14" s="1"/>
  <c r="N72" i="14"/>
  <c r="O122" i="14" s="1"/>
  <c r="J82" i="14"/>
  <c r="K131" i="14" s="1"/>
  <c r="G57" i="14"/>
  <c r="H107" i="14" s="1"/>
  <c r="O86" i="14"/>
  <c r="P135" i="14" s="1"/>
  <c r="R88" i="14"/>
  <c r="S137" i="14" s="1"/>
  <c r="T88" i="14"/>
  <c r="U137" i="14" s="1"/>
  <c r="H64" i="14"/>
  <c r="I114" i="14" s="1"/>
  <c r="I64" i="14"/>
  <c r="J114" i="14" s="1"/>
  <c r="K64" i="14"/>
  <c r="L114" i="14" s="1"/>
  <c r="N64" i="14"/>
  <c r="O114" i="14" s="1"/>
  <c r="L64" i="14"/>
  <c r="M114" i="14" s="1"/>
  <c r="G59" i="14"/>
  <c r="H109" i="14" s="1"/>
  <c r="O70" i="14"/>
  <c r="P120" i="14" s="1"/>
  <c r="Q70" i="14"/>
  <c r="R120" i="14" s="1"/>
  <c r="R70" i="14"/>
  <c r="S120" i="14" s="1"/>
  <c r="T70" i="14"/>
  <c r="U120" i="14" s="1"/>
  <c r="D70" i="14"/>
  <c r="E120" i="14" s="1"/>
  <c r="C70" i="14"/>
  <c r="D120" i="14" s="1"/>
  <c r="F70" i="14"/>
  <c r="G120" i="14" s="1"/>
  <c r="O87" i="14"/>
  <c r="P136" i="14" s="1"/>
  <c r="N55" i="14"/>
  <c r="O105" i="14" s="1"/>
  <c r="G90" i="14"/>
  <c r="H139" i="14" s="1"/>
  <c r="I90" i="14"/>
  <c r="J139" i="14" s="1"/>
  <c r="J90" i="14"/>
  <c r="K139" i="14" s="1"/>
  <c r="L90" i="14"/>
  <c r="M139" i="14" s="1"/>
  <c r="H77" i="14"/>
  <c r="I126" i="14" s="1"/>
  <c r="N63" i="14"/>
  <c r="O113" i="14" s="1"/>
  <c r="O63" i="14"/>
  <c r="P113" i="14" s="1"/>
  <c r="D63" i="14"/>
  <c r="E113" i="14" s="1"/>
  <c r="F63" i="14"/>
  <c r="G113" i="14" s="1"/>
  <c r="Q63" i="14"/>
  <c r="R113" i="14" s="1"/>
  <c r="R63" i="14"/>
  <c r="T63" i="14"/>
  <c r="U113" i="14" s="1"/>
  <c r="C63" i="14"/>
  <c r="D113" i="14" s="1"/>
  <c r="K88" i="14"/>
  <c r="L137" i="14" s="1"/>
  <c r="P55" i="14"/>
  <c r="Q105" i="14" s="1"/>
  <c r="C90" i="14"/>
  <c r="D139" i="14" s="1"/>
  <c r="U51" i="14"/>
  <c r="V101" i="14" s="1"/>
  <c r="Q61" i="14"/>
  <c r="R111" i="14" s="1"/>
  <c r="M71" i="14"/>
  <c r="N121" i="14" s="1"/>
  <c r="E91" i="14"/>
  <c r="F140" i="14" s="1"/>
  <c r="Q59" i="14"/>
  <c r="R109" i="14" s="1"/>
  <c r="M69" i="14"/>
  <c r="N119" i="14" s="1"/>
  <c r="AP172" i="6"/>
  <c r="AC169" i="6"/>
  <c r="AC170" i="6"/>
  <c r="F170" i="6"/>
  <c r="AC171" i="6"/>
  <c r="AW171" i="6"/>
  <c r="AU170" i="6"/>
  <c r="AV169" i="6"/>
  <c r="AW169" i="6"/>
  <c r="AF171" i="6"/>
  <c r="AG171" i="6"/>
  <c r="AT169" i="6"/>
  <c r="AR169" i="6"/>
  <c r="AP170" i="6"/>
  <c r="BK170" i="6" s="1"/>
  <c r="AC168" i="6"/>
  <c r="AP171" i="6"/>
  <c r="AJ169" i="6"/>
  <c r="AS169" i="6"/>
  <c r="AN169" i="6"/>
  <c r="AV170" i="6"/>
  <c r="AE171" i="6"/>
  <c r="AK171" i="6"/>
  <c r="AD170" i="6"/>
  <c r="AO171" i="6"/>
  <c r="F290" i="6"/>
  <c r="BC290" i="6" s="1"/>
  <c r="F289" i="6"/>
  <c r="AE169" i="6"/>
  <c r="AL170" i="6"/>
  <c r="BG170" i="6" s="1"/>
  <c r="AU171" i="6"/>
  <c r="AF169" i="6"/>
  <c r="AQ170" i="6"/>
  <c r="AG172" i="6"/>
  <c r="AQ171" i="6"/>
  <c r="AG170" i="6"/>
  <c r="F318" i="6"/>
  <c r="BB318" i="6" s="1"/>
  <c r="AH170" i="6"/>
  <c r="BC170" i="6" s="1"/>
  <c r="AH169" i="6"/>
  <c r="AR170" i="6"/>
  <c r="BM170" i="6" s="1"/>
  <c r="AK172" i="6"/>
  <c r="AF170" i="6"/>
  <c r="AS171" i="6"/>
  <c r="AT171" i="6"/>
  <c r="F171" i="6"/>
  <c r="AI169" i="6"/>
  <c r="AT170" i="6"/>
  <c r="AU172" i="6"/>
  <c r="AW168" i="6"/>
  <c r="AQ172" i="6"/>
  <c r="AJ168" i="6"/>
  <c r="AG169" i="6"/>
  <c r="AU169" i="6"/>
  <c r="AE170" i="6"/>
  <c r="AZ170" i="6" s="1"/>
  <c r="AS170" i="6"/>
  <c r="BN170" i="6" s="1"/>
  <c r="AD171" i="6"/>
  <c r="AR171" i="6"/>
  <c r="AD172" i="6"/>
  <c r="AR172" i="6"/>
  <c r="AI168" i="6"/>
  <c r="AK168" i="6"/>
  <c r="AE172" i="6"/>
  <c r="AS172" i="6"/>
  <c r="AC172" i="6"/>
  <c r="AL168" i="6"/>
  <c r="AF172" i="6"/>
  <c r="AT172" i="6"/>
  <c r="AN168" i="6"/>
  <c r="AK169" i="6"/>
  <c r="AI170" i="6"/>
  <c r="BD170" i="6" s="1"/>
  <c r="AW170" i="6"/>
  <c r="BR170" i="6" s="1"/>
  <c r="AH171" i="6"/>
  <c r="AV171" i="6"/>
  <c r="AH172" i="6"/>
  <c r="AV172" i="6"/>
  <c r="F168" i="6"/>
  <c r="AO168" i="6"/>
  <c r="AL169" i="6"/>
  <c r="AJ170" i="6"/>
  <c r="AI171" i="6"/>
  <c r="AI172" i="6"/>
  <c r="AW172" i="6"/>
  <c r="AM168" i="6"/>
  <c r="F169" i="6"/>
  <c r="AP168" i="6"/>
  <c r="AM169" i="6"/>
  <c r="AK170" i="6"/>
  <c r="AJ171" i="6"/>
  <c r="AJ172" i="6"/>
  <c r="F316" i="6"/>
  <c r="BE316" i="6" s="1"/>
  <c r="F302" i="6"/>
  <c r="BO302" i="6" s="1"/>
  <c r="F288" i="6"/>
  <c r="BQ288" i="6" s="1"/>
  <c r="F311" i="6"/>
  <c r="BK311" i="6" s="1"/>
  <c r="F297" i="6"/>
  <c r="BM297" i="6" s="1"/>
  <c r="AD168" i="6"/>
  <c r="AR168" i="6"/>
  <c r="AO169" i="6"/>
  <c r="AM170" i="6"/>
  <c r="BH170" i="6" s="1"/>
  <c r="AL171" i="6"/>
  <c r="AL172" i="6"/>
  <c r="F310" i="6"/>
  <c r="F296" i="6"/>
  <c r="BK296" i="6" s="1"/>
  <c r="AE168" i="6"/>
  <c r="AS168" i="6"/>
  <c r="AP169" i="6"/>
  <c r="AN170" i="6"/>
  <c r="AM171" i="6"/>
  <c r="AM172" i="6"/>
  <c r="AF168" i="6"/>
  <c r="AT168" i="6"/>
  <c r="AQ169" i="6"/>
  <c r="AO170" i="6"/>
  <c r="BJ170" i="6" s="1"/>
  <c r="AN171" i="6"/>
  <c r="AN172" i="6"/>
  <c r="AG168" i="6"/>
  <c r="AU168" i="6"/>
  <c r="AD169" i="6"/>
  <c r="AO172" i="6"/>
  <c r="AQ168" i="6"/>
  <c r="F321" i="6"/>
  <c r="AZ321" i="6" s="1"/>
  <c r="F172" i="6"/>
  <c r="AH168" i="6"/>
  <c r="AV168" i="6"/>
  <c r="AI310" i="6"/>
  <c r="AH322" i="6"/>
  <c r="AM305" i="6"/>
  <c r="AC322" i="6"/>
  <c r="AH321" i="6"/>
  <c r="AJ296" i="6"/>
  <c r="AF293" i="6"/>
  <c r="AP308" i="6"/>
  <c r="AL296" i="6"/>
  <c r="AR294" i="6"/>
  <c r="AH292" i="6"/>
  <c r="AS323" i="6"/>
  <c r="AR322" i="6"/>
  <c r="AQ322" i="6"/>
  <c r="AH299" i="6"/>
  <c r="F300" i="6"/>
  <c r="AS311" i="6"/>
  <c r="AE291" i="6"/>
  <c r="F292" i="6"/>
  <c r="BF292" i="6" s="1"/>
  <c r="AR311" i="6"/>
  <c r="AE311" i="6"/>
  <c r="AC311" i="6"/>
  <c r="F299" i="6"/>
  <c r="AJ310" i="6"/>
  <c r="AF300" i="6"/>
  <c r="AQ316" i="6"/>
  <c r="AC300" i="6"/>
  <c r="AP315" i="6"/>
  <c r="AH311" i="6"/>
  <c r="AV299" i="6"/>
  <c r="AF296" i="6"/>
  <c r="AE322" i="6"/>
  <c r="AS313" i="6"/>
  <c r="AF310" i="6"/>
  <c r="AJ298" i="6"/>
  <c r="AS288" i="6"/>
  <c r="AG299" i="6"/>
  <c r="F315" i="6"/>
  <c r="BG315" i="6" s="1"/>
  <c r="AD314" i="6"/>
  <c r="AV313" i="6"/>
  <c r="AV297" i="6"/>
  <c r="AG321" i="6"/>
  <c r="AT312" i="6"/>
  <c r="AL305" i="6"/>
  <c r="AT297" i="6"/>
  <c r="F291" i="6"/>
  <c r="BA291" i="6" s="1"/>
  <c r="AJ314" i="6"/>
  <c r="AT298" i="6"/>
  <c r="AP313" i="6"/>
  <c r="AW320" i="6"/>
  <c r="AR312" i="6"/>
  <c r="AR303" i="6"/>
  <c r="AI297" i="6"/>
  <c r="AE299" i="6"/>
  <c r="AW297" i="6"/>
  <c r="AK320" i="6"/>
  <c r="AF312" i="6"/>
  <c r="AQ300" i="6"/>
  <c r="AG297" i="6"/>
  <c r="F317" i="6"/>
  <c r="BK317" i="6" s="1"/>
  <c r="F303" i="6"/>
  <c r="BH303" i="6" s="1"/>
  <c r="AS314" i="6"/>
  <c r="F301" i="6"/>
  <c r="F298" i="6"/>
  <c r="AV312" i="6"/>
  <c r="AI320" i="6"/>
  <c r="AD312" i="6"/>
  <c r="AP300" i="6"/>
  <c r="AQ296" i="6"/>
  <c r="AV323" i="6"/>
  <c r="AF323" i="6"/>
  <c r="AT321" i="6"/>
  <c r="AF320" i="6"/>
  <c r="AF318" i="6"/>
  <c r="AP314" i="6"/>
  <c r="AF313" i="6"/>
  <c r="AV311" i="6"/>
  <c r="AT310" i="6"/>
  <c r="AR309" i="6"/>
  <c r="AU308" i="6"/>
  <c r="AP305" i="6"/>
  <c r="AT300" i="6"/>
  <c r="AS299" i="6"/>
  <c r="AE298" i="6"/>
  <c r="AD297" i="6"/>
  <c r="AT295" i="6"/>
  <c r="AV294" i="6"/>
  <c r="AL293" i="6"/>
  <c r="F314" i="6"/>
  <c r="AW309" i="6"/>
  <c r="AC309" i="6"/>
  <c r="AG294" i="6"/>
  <c r="AU323" i="6"/>
  <c r="AE323" i="6"/>
  <c r="AL321" i="6"/>
  <c r="BG321" i="6" s="1"/>
  <c r="AW318" i="6"/>
  <c r="AE318" i="6"/>
  <c r="AO314" i="6"/>
  <c r="AE313" i="6"/>
  <c r="AU311" i="6"/>
  <c r="AR310" i="6"/>
  <c r="AQ309" i="6"/>
  <c r="AT308" i="6"/>
  <c r="AO305" i="6"/>
  <c r="AS300" i="6"/>
  <c r="AR299" i="6"/>
  <c r="AD298" i="6"/>
  <c r="AW296" i="6"/>
  <c r="AS295" i="6"/>
  <c r="AU294" i="6"/>
  <c r="AH293" i="6"/>
  <c r="F313" i="6"/>
  <c r="AI323" i="6"/>
  <c r="AU309" i="6"/>
  <c r="AD295" i="6"/>
  <c r="AT323" i="6"/>
  <c r="AT322" i="6"/>
  <c r="AJ321" i="6"/>
  <c r="AV318" i="6"/>
  <c r="AD318" i="6"/>
  <c r="AN314" i="6"/>
  <c r="AD313" i="6"/>
  <c r="AT311" i="6"/>
  <c r="AO310" i="6"/>
  <c r="AP309" i="6"/>
  <c r="AR308" i="6"/>
  <c r="AN305" i="6"/>
  <c r="AR300" i="6"/>
  <c r="AM299" i="6"/>
  <c r="AC298" i="6"/>
  <c r="AV296" i="6"/>
  <c r="AR295" i="6"/>
  <c r="AT294" i="6"/>
  <c r="AG293" i="6"/>
  <c r="F312" i="6"/>
  <c r="AU318" i="6"/>
  <c r="AT318" i="6"/>
  <c r="AL295" i="6"/>
  <c r="AO323" i="6"/>
  <c r="AP322" i="6"/>
  <c r="AD321" i="6"/>
  <c r="AS318" i="6"/>
  <c r="AR316" i="6"/>
  <c r="AC314" i="6"/>
  <c r="AS312" i="6"/>
  <c r="AN311" i="6"/>
  <c r="AH310" i="6"/>
  <c r="AI309" i="6"/>
  <c r="AL308" i="6"/>
  <c r="AM300" i="6"/>
  <c r="AF299" i="6"/>
  <c r="AU297" i="6"/>
  <c r="AK296" i="6"/>
  <c r="AJ295" i="6"/>
  <c r="AM294" i="6"/>
  <c r="AG292" i="6"/>
  <c r="AK308" i="6"/>
  <c r="AM323" i="6"/>
  <c r="AG322" i="6"/>
  <c r="AV320" i="6"/>
  <c r="AN318" i="6"/>
  <c r="AT315" i="6"/>
  <c r="AU313" i="6"/>
  <c r="AQ312" i="6"/>
  <c r="AG311" i="6"/>
  <c r="AD310" i="6"/>
  <c r="AG309" i="6"/>
  <c r="AJ308" i="6"/>
  <c r="AR302" i="6"/>
  <c r="AE300" i="6"/>
  <c r="AD299" i="6"/>
  <c r="AQ297" i="6"/>
  <c r="AI296" i="6"/>
  <c r="AH295" i="6"/>
  <c r="AK294" i="6"/>
  <c r="AT291" i="6"/>
  <c r="F307" i="6"/>
  <c r="BE307" i="6" s="1"/>
  <c r="F293" i="6"/>
  <c r="AC318" i="6"/>
  <c r="AJ309" i="6"/>
  <c r="AP318" i="6"/>
  <c r="AH309" i="6"/>
  <c r="AL323" i="6"/>
  <c r="AF322" i="6"/>
  <c r="AL320" i="6"/>
  <c r="AL318" i="6"/>
  <c r="AR315" i="6"/>
  <c r="AT313" i="6"/>
  <c r="AP312" i="6"/>
  <c r="AF311" i="6"/>
  <c r="AC310" i="6"/>
  <c r="AF309" i="6"/>
  <c r="AI308" i="6"/>
  <c r="AQ302" i="6"/>
  <c r="AD300" i="6"/>
  <c r="AV298" i="6"/>
  <c r="AJ297" i="6"/>
  <c r="AH296" i="6"/>
  <c r="AG295" i="6"/>
  <c r="AJ294" i="6"/>
  <c r="AK291" i="6"/>
  <c r="F320" i="6"/>
  <c r="BQ320" i="6" s="1"/>
  <c r="F306" i="6"/>
  <c r="BD306" i="6" s="1"/>
  <c r="AN323" i="6"/>
  <c r="AL294" i="6"/>
  <c r="AP301" i="6"/>
  <c r="AF295" i="6"/>
  <c r="F305" i="6"/>
  <c r="AP323" i="6"/>
  <c r="AK323" i="6"/>
  <c r="AE309" i="6"/>
  <c r="AH308" i="6"/>
  <c r="AI294" i="6"/>
  <c r="F319" i="6"/>
  <c r="AJ323" i="6"/>
  <c r="AD322" i="6"/>
  <c r="AJ320" i="6"/>
  <c r="AJ318" i="6"/>
  <c r="AT314" i="6"/>
  <c r="AR313" i="6"/>
  <c r="AE312" i="6"/>
  <c r="AD311" i="6"/>
  <c r="AV309" i="6"/>
  <c r="AD309" i="6"/>
  <c r="AG308" i="6"/>
  <c r="AO301" i="6"/>
  <c r="AW299" i="6"/>
  <c r="AS298" i="6"/>
  <c r="AH297" i="6"/>
  <c r="AD296" i="6"/>
  <c r="AE295" i="6"/>
  <c r="AH294" i="6"/>
  <c r="AC291" i="6"/>
  <c r="F304" i="6"/>
  <c r="BI304" i="6" s="1"/>
  <c r="AO309" i="6"/>
  <c r="AI295" i="6"/>
  <c r="AN294" i="6"/>
  <c r="AI318" i="6"/>
  <c r="AW295" i="6"/>
  <c r="AH323" i="6"/>
  <c r="AV321" i="6"/>
  <c r="AH320" i="6"/>
  <c r="AH318" i="6"/>
  <c r="AR314" i="6"/>
  <c r="AN313" i="6"/>
  <c r="AC312" i="6"/>
  <c r="AW310" i="6"/>
  <c r="AT309" i="6"/>
  <c r="AW308" i="6"/>
  <c r="AD308" i="6"/>
  <c r="AV300" i="6"/>
  <c r="AU299" i="6"/>
  <c r="AH298" i="6"/>
  <c r="AF297" i="6"/>
  <c r="AV295" i="6"/>
  <c r="AC295" i="6"/>
  <c r="AF294" i="6"/>
  <c r="AR288" i="6"/>
  <c r="AN295" i="6"/>
  <c r="AO308" i="6"/>
  <c r="AF292" i="6"/>
  <c r="AK318" i="6"/>
  <c r="AF308" i="6"/>
  <c r="AW323" i="6"/>
  <c r="AG323" i="6"/>
  <c r="AU321" i="6"/>
  <c r="AK313" i="6"/>
  <c r="AW311" i="6"/>
  <c r="AV310" i="6"/>
  <c r="AV308" i="6"/>
  <c r="AL307" i="6"/>
  <c r="AT299" i="6"/>
  <c r="AF298" i="6"/>
  <c r="AE297" i="6"/>
  <c r="AU295" i="6"/>
  <c r="AW294" i="6"/>
  <c r="F295" i="6"/>
  <c r="F294" i="6"/>
  <c r="F309" i="6"/>
  <c r="BN309" i="6" s="1"/>
  <c r="F308" i="6"/>
  <c r="F323" i="6"/>
  <c r="F322" i="6"/>
  <c r="AG319" i="6"/>
  <c r="AU319" i="6"/>
  <c r="AI319" i="6"/>
  <c r="AW319" i="6"/>
  <c r="AO319" i="6"/>
  <c r="AC319" i="6"/>
  <c r="AS319" i="6"/>
  <c r="AP319" i="6"/>
  <c r="AQ319" i="6"/>
  <c r="AR319" i="6"/>
  <c r="AD319" i="6"/>
  <c r="AT319" i="6"/>
  <c r="AE319" i="6"/>
  <c r="AV319" i="6"/>
  <c r="AE317" i="6"/>
  <c r="AS317" i="6"/>
  <c r="AG317" i="6"/>
  <c r="AU317" i="6"/>
  <c r="AQ317" i="6"/>
  <c r="AW317" i="6"/>
  <c r="AR317" i="6"/>
  <c r="AC317" i="6"/>
  <c r="AT317" i="6"/>
  <c r="AD317" i="6"/>
  <c r="AV317" i="6"/>
  <c r="AF317" i="6"/>
  <c r="AH317" i="6"/>
  <c r="AI317" i="6"/>
  <c r="AP316" i="6"/>
  <c r="BK316" i="6" s="1"/>
  <c r="AP303" i="6"/>
  <c r="AQ288" i="6"/>
  <c r="AM317" i="6"/>
  <c r="AO315" i="6"/>
  <c r="AO303" i="6"/>
  <c r="AO302" i="6"/>
  <c r="AW290" i="6"/>
  <c r="AM319" i="6"/>
  <c r="AL317" i="6"/>
  <c r="AN315" i="6"/>
  <c r="AP304" i="6"/>
  <c r="AN303" i="6"/>
  <c r="AV290" i="6"/>
  <c r="AK317" i="6"/>
  <c r="AM315" i="6"/>
  <c r="AH289" i="6"/>
  <c r="AJ317" i="6"/>
  <c r="AN306" i="6"/>
  <c r="AL304" i="6"/>
  <c r="AT290" i="6"/>
  <c r="AF321" i="6"/>
  <c r="AJ319" i="6"/>
  <c r="AN307" i="6"/>
  <c r="AM306" i="6"/>
  <c r="AK304" i="6"/>
  <c r="AM290" i="6"/>
  <c r="AN290" i="6"/>
  <c r="AO290" i="6"/>
  <c r="AI290" i="6"/>
  <c r="AP290" i="6"/>
  <c r="AJ290" i="6"/>
  <c r="AK290" i="6"/>
  <c r="AL290" i="6"/>
  <c r="AQ290" i="6"/>
  <c r="AR290" i="6"/>
  <c r="AS290" i="6"/>
  <c r="AE289" i="6"/>
  <c r="AS289" i="6"/>
  <c r="AF289" i="6"/>
  <c r="AT289" i="6"/>
  <c r="AG289" i="6"/>
  <c r="AU289" i="6"/>
  <c r="AI289" i="6"/>
  <c r="AM289" i="6"/>
  <c r="AJ289" i="6"/>
  <c r="AK289" i="6"/>
  <c r="AL289" i="6"/>
  <c r="AN289" i="6"/>
  <c r="AO289" i="6"/>
  <c r="AP289" i="6"/>
  <c r="AO317" i="6"/>
  <c r="AK316" i="6"/>
  <c r="AM316" i="6"/>
  <c r="AC316" i="6"/>
  <c r="AS316" i="6"/>
  <c r="AG316" i="6"/>
  <c r="BB316" i="6" s="1"/>
  <c r="AW316" i="6"/>
  <c r="AD316" i="6"/>
  <c r="AT316" i="6"/>
  <c r="AE316" i="6"/>
  <c r="AU316" i="6"/>
  <c r="AF316" i="6"/>
  <c r="AV316" i="6"/>
  <c r="AH316" i="6"/>
  <c r="AI316" i="6"/>
  <c r="AP302" i="6"/>
  <c r="AV289" i="6"/>
  <c r="AC315" i="6"/>
  <c r="AQ315" i="6"/>
  <c r="AE315" i="6"/>
  <c r="AS315" i="6"/>
  <c r="AD315" i="6"/>
  <c r="AU315" i="6"/>
  <c r="AI315" i="6"/>
  <c r="AF315" i="6"/>
  <c r="AV315" i="6"/>
  <c r="AG315" i="6"/>
  <c r="AW315" i="6"/>
  <c r="AH315" i="6"/>
  <c r="AJ315" i="6"/>
  <c r="AK315" i="6"/>
  <c r="AC301" i="6"/>
  <c r="AQ301" i="6"/>
  <c r="AE301" i="6"/>
  <c r="AS301" i="6"/>
  <c r="AG301" i="6"/>
  <c r="AW301" i="6"/>
  <c r="AK301" i="6"/>
  <c r="AH301" i="6"/>
  <c r="AI301" i="6"/>
  <c r="AJ301" i="6"/>
  <c r="AL301" i="6"/>
  <c r="AM301" i="6"/>
  <c r="AN301" i="6"/>
  <c r="AE288" i="6"/>
  <c r="AD302" i="6"/>
  <c r="AD288" i="6"/>
  <c r="AL319" i="6"/>
  <c r="AC302" i="6"/>
  <c r="AC288" i="6"/>
  <c r="AK319" i="6"/>
  <c r="AD289" i="6"/>
  <c r="AH319" i="6"/>
  <c r="AM307" i="6"/>
  <c r="AL306" i="6"/>
  <c r="AG290" i="6"/>
  <c r="AN319" i="6"/>
  <c r="AN316" i="6"/>
  <c r="AU290" i="6"/>
  <c r="AF319" i="6"/>
  <c r="AK306" i="6"/>
  <c r="AF290" i="6"/>
  <c r="AJ306" i="6"/>
  <c r="AV301" i="6"/>
  <c r="AW292" i="6"/>
  <c r="AJ291" i="6"/>
  <c r="AE290" i="6"/>
  <c r="AI322" i="6"/>
  <c r="AW322" i="6"/>
  <c r="AM322" i="6"/>
  <c r="AJ322" i="6"/>
  <c r="AK322" i="6"/>
  <c r="AL322" i="6"/>
  <c r="AN322" i="6"/>
  <c r="AO322" i="6"/>
  <c r="AI307" i="6"/>
  <c r="AW307" i="6"/>
  <c r="AK307" i="6"/>
  <c r="AO307" i="6"/>
  <c r="AS307" i="6"/>
  <c r="AP307" i="6"/>
  <c r="AC307" i="6"/>
  <c r="AQ307" i="6"/>
  <c r="AR307" i="6"/>
  <c r="AD307" i="6"/>
  <c r="AT307" i="6"/>
  <c r="AV307" i="6"/>
  <c r="AE307" i="6"/>
  <c r="AU307" i="6"/>
  <c r="AI293" i="6"/>
  <c r="AW293" i="6"/>
  <c r="AJ293" i="6"/>
  <c r="AK293" i="6"/>
  <c r="AO293" i="6"/>
  <c r="AS293" i="6"/>
  <c r="AP293" i="6"/>
  <c r="AQ293" i="6"/>
  <c r="AR293" i="6"/>
  <c r="AC293" i="6"/>
  <c r="AT293" i="6"/>
  <c r="AE293" i="6"/>
  <c r="AD293" i="6"/>
  <c r="AU293" i="6"/>
  <c r="AV293" i="6"/>
  <c r="AU322" i="6"/>
  <c r="AH307" i="6"/>
  <c r="AU301" i="6"/>
  <c r="AD290" i="6"/>
  <c r="AK288" i="6"/>
  <c r="AL288" i="6"/>
  <c r="AM288" i="6"/>
  <c r="AF288" i="6"/>
  <c r="AW288" i="6"/>
  <c r="AG288" i="6"/>
  <c r="AH288" i="6"/>
  <c r="AI288" i="6"/>
  <c r="AJ288" i="6"/>
  <c r="AN288" i="6"/>
  <c r="AO288" i="6"/>
  <c r="AP288" i="6"/>
  <c r="AI321" i="6"/>
  <c r="AW321" i="6"/>
  <c r="AK321" i="6"/>
  <c r="AM321" i="6"/>
  <c r="AQ321" i="6"/>
  <c r="AN321" i="6"/>
  <c r="AO321" i="6"/>
  <c r="AP321" i="6"/>
  <c r="AR321" i="6"/>
  <c r="AC321" i="6"/>
  <c r="AS321" i="6"/>
  <c r="AO292" i="6"/>
  <c r="AP292" i="6"/>
  <c r="AC292" i="6"/>
  <c r="AQ292" i="6"/>
  <c r="AL292" i="6"/>
  <c r="AS292" i="6"/>
  <c r="AM292" i="6"/>
  <c r="AN292" i="6"/>
  <c r="AR292" i="6"/>
  <c r="AT292" i="6"/>
  <c r="AE292" i="6"/>
  <c r="AD292" i="6"/>
  <c r="AU292" i="6"/>
  <c r="AV292" i="6"/>
  <c r="AG307" i="6"/>
  <c r="AT301" i="6"/>
  <c r="AJ292" i="6"/>
  <c r="AC290" i="6"/>
  <c r="AU288" i="6"/>
  <c r="AM304" i="6"/>
  <c r="AO304" i="6"/>
  <c r="AC304" i="6"/>
  <c r="AS304" i="6"/>
  <c r="AG304" i="6"/>
  <c r="AW304" i="6"/>
  <c r="AD304" i="6"/>
  <c r="AT304" i="6"/>
  <c r="AE304" i="6"/>
  <c r="AU304" i="6"/>
  <c r="AF304" i="6"/>
  <c r="AV304" i="6"/>
  <c r="AH304" i="6"/>
  <c r="AJ304" i="6"/>
  <c r="AI304" i="6"/>
  <c r="AE303" i="6"/>
  <c r="AS303" i="6"/>
  <c r="AG303" i="6"/>
  <c r="AU303" i="6"/>
  <c r="AC303" i="6"/>
  <c r="AT303" i="6"/>
  <c r="AI303" i="6"/>
  <c r="AD303" i="6"/>
  <c r="AV303" i="6"/>
  <c r="AF303" i="6"/>
  <c r="AW303" i="6"/>
  <c r="AH303" i="6"/>
  <c r="AJ303" i="6"/>
  <c r="AK303" i="6"/>
  <c r="AL303" i="6"/>
  <c r="AQ303" i="6"/>
  <c r="AW289" i="6"/>
  <c r="AK302" i="6"/>
  <c r="AM302" i="6"/>
  <c r="AE302" i="6"/>
  <c r="AU302" i="6"/>
  <c r="AI302" i="6"/>
  <c r="AF302" i="6"/>
  <c r="AV302" i="6"/>
  <c r="AG302" i="6"/>
  <c r="AW302" i="6"/>
  <c r="AH302" i="6"/>
  <c r="AJ302" i="6"/>
  <c r="AL302" i="6"/>
  <c r="AN302" i="6"/>
  <c r="BI302" i="6" s="1"/>
  <c r="AN317" i="6"/>
  <c r="AR304" i="6"/>
  <c r="AO316" i="6"/>
  <c r="AQ304" i="6"/>
  <c r="AD301" i="6"/>
  <c r="AR289" i="6"/>
  <c r="AQ289" i="6"/>
  <c r="AL316" i="6"/>
  <c r="AO306" i="6"/>
  <c r="AC306" i="6"/>
  <c r="AQ306" i="6"/>
  <c r="AP306" i="6"/>
  <c r="AE306" i="6"/>
  <c r="AU306" i="6"/>
  <c r="AR306" i="6"/>
  <c r="AS306" i="6"/>
  <c r="AD306" i="6"/>
  <c r="AT306" i="6"/>
  <c r="AF306" i="6"/>
  <c r="AV306" i="6"/>
  <c r="AH306" i="6"/>
  <c r="AG306" i="6"/>
  <c r="AW306" i="6"/>
  <c r="AO320" i="6"/>
  <c r="AC320" i="6"/>
  <c r="AQ320" i="6"/>
  <c r="AM320" i="6"/>
  <c r="AS320" i="6"/>
  <c r="AN320" i="6"/>
  <c r="AP320" i="6"/>
  <c r="AR320" i="6"/>
  <c r="AD320" i="6"/>
  <c r="AT320" i="6"/>
  <c r="AE320" i="6"/>
  <c r="AU320" i="6"/>
  <c r="AG305" i="6"/>
  <c r="AU305" i="6"/>
  <c r="AI305" i="6"/>
  <c r="AW305" i="6"/>
  <c r="AQ305" i="6"/>
  <c r="AE305" i="6"/>
  <c r="AV305" i="6"/>
  <c r="AR305" i="6"/>
  <c r="AC305" i="6"/>
  <c r="AS305" i="6"/>
  <c r="AD305" i="6"/>
  <c r="AT305" i="6"/>
  <c r="AF305" i="6"/>
  <c r="AJ305" i="6"/>
  <c r="AH305" i="6"/>
  <c r="AG291" i="6"/>
  <c r="AU291" i="6"/>
  <c r="AH291" i="6"/>
  <c r="AV291" i="6"/>
  <c r="AI291" i="6"/>
  <c r="AW291" i="6"/>
  <c r="AL291" i="6"/>
  <c r="AP291" i="6"/>
  <c r="AM291" i="6"/>
  <c r="AN291" i="6"/>
  <c r="AO291" i="6"/>
  <c r="AQ291" i="6"/>
  <c r="AR291" i="6"/>
  <c r="AS291" i="6"/>
  <c r="AS322" i="6"/>
  <c r="AF307" i="6"/>
  <c r="AS302" i="6"/>
  <c r="AR301" i="6"/>
  <c r="AN293" i="6"/>
  <c r="AI292" i="6"/>
  <c r="AD291" i="6"/>
  <c r="AT288" i="6"/>
  <c r="AR298" i="6"/>
  <c r="AI314" i="6"/>
  <c r="AW314" i="6"/>
  <c r="AK314" i="6"/>
  <c r="AI300" i="6"/>
  <c r="AW300" i="6"/>
  <c r="AK300" i="6"/>
  <c r="AM314" i="6"/>
  <c r="AO312" i="6"/>
  <c r="AQ311" i="6"/>
  <c r="AQ310" i="6"/>
  <c r="AO300" i="6"/>
  <c r="AQ298" i="6"/>
  <c r="AS297" i="6"/>
  <c r="AC297" i="6"/>
  <c r="AT296" i="6"/>
  <c r="AC296" i="6"/>
  <c r="AO313" i="6"/>
  <c r="AC313" i="6"/>
  <c r="AQ313" i="6"/>
  <c r="AO299" i="6"/>
  <c r="AC299" i="6"/>
  <c r="AQ299" i="6"/>
  <c r="AL314" i="6"/>
  <c r="AL313" i="6"/>
  <c r="AN312" i="6"/>
  <c r="AP310" i="6"/>
  <c r="AN300" i="6"/>
  <c r="AN299" i="6"/>
  <c r="AP298" i="6"/>
  <c r="AR296" i="6"/>
  <c r="AM311" i="6"/>
  <c r="AO311" i="6"/>
  <c r="AM297" i="6"/>
  <c r="AO297" i="6"/>
  <c r="AH314" i="6"/>
  <c r="AJ313" i="6"/>
  <c r="AL312" i="6"/>
  <c r="AL311" i="6"/>
  <c r="AL300" i="6"/>
  <c r="AL299" i="6"/>
  <c r="AP297" i="6"/>
  <c r="AG298" i="6"/>
  <c r="AU298" i="6"/>
  <c r="AI298" i="6"/>
  <c r="AW298" i="6"/>
  <c r="AE310" i="6"/>
  <c r="AS310" i="6"/>
  <c r="AG310" i="6"/>
  <c r="AU310" i="6"/>
  <c r="AE296" i="6"/>
  <c r="AS296" i="6"/>
  <c r="AG296" i="6"/>
  <c r="AU296" i="6"/>
  <c r="AG314" i="6"/>
  <c r="AI313" i="6"/>
  <c r="AK312" i="6"/>
  <c r="AK311" i="6"/>
  <c r="AM310" i="6"/>
  <c r="AJ300" i="6"/>
  <c r="AK299" i="6"/>
  <c r="AM298" i="6"/>
  <c r="AN297" i="6"/>
  <c r="AO296" i="6"/>
  <c r="AM318" i="6"/>
  <c r="AO318" i="6"/>
  <c r="AK309" i="6"/>
  <c r="AM309" i="6"/>
  <c r="AK295" i="6"/>
  <c r="AM295" i="6"/>
  <c r="AR323" i="6"/>
  <c r="AD323" i="6"/>
  <c r="AR318" i="6"/>
  <c r="AV314" i="6"/>
  <c r="AF314" i="6"/>
  <c r="AH313" i="6"/>
  <c r="AJ311" i="6"/>
  <c r="AL310" i="6"/>
  <c r="AN309" i="6"/>
  <c r="AH300" i="6"/>
  <c r="AJ299" i="6"/>
  <c r="AL298" i="6"/>
  <c r="AL297" i="6"/>
  <c r="AN296" i="6"/>
  <c r="AP295" i="6"/>
  <c r="AG312" i="6"/>
  <c r="AU312" i="6"/>
  <c r="AI312" i="6"/>
  <c r="AW312" i="6"/>
  <c r="AM312" i="6"/>
  <c r="AO298" i="6"/>
  <c r="AC308" i="6"/>
  <c r="AQ308" i="6"/>
  <c r="AE308" i="6"/>
  <c r="AS308" i="6"/>
  <c r="AC294" i="6"/>
  <c r="AQ294" i="6"/>
  <c r="AD294" i="6"/>
  <c r="AE294" i="6"/>
  <c r="AS294" i="6"/>
  <c r="AQ323" i="6"/>
  <c r="AQ318" i="6"/>
  <c r="AU314" i="6"/>
  <c r="AE314" i="6"/>
  <c r="AW313" i="6"/>
  <c r="AG313" i="6"/>
  <c r="AH312" i="6"/>
  <c r="AI311" i="6"/>
  <c r="AK310" i="6"/>
  <c r="AL309" i="6"/>
  <c r="AM308" i="6"/>
  <c r="AG300" i="6"/>
  <c r="AI299" i="6"/>
  <c r="AK298" i="6"/>
  <c r="AK297" i="6"/>
  <c r="AM296" i="6"/>
  <c r="AO295" i="6"/>
  <c r="AO294" i="6"/>
  <c r="L143" i="14" l="1"/>
  <c r="H148" i="14"/>
  <c r="O143" i="14"/>
  <c r="G148" i="14"/>
  <c r="V143" i="14"/>
  <c r="P143" i="14"/>
  <c r="G143" i="14"/>
  <c r="K143" i="14"/>
  <c r="U143" i="14"/>
  <c r="N143" i="14"/>
  <c r="F143" i="14"/>
  <c r="R143" i="14"/>
  <c r="T143" i="14"/>
  <c r="J143" i="14"/>
  <c r="Q143" i="14"/>
  <c r="E143" i="14"/>
  <c r="M143" i="14"/>
  <c r="V85" i="14"/>
  <c r="W114" i="14"/>
  <c r="W141" i="14"/>
  <c r="W118" i="14"/>
  <c r="W128" i="14"/>
  <c r="W104" i="14"/>
  <c r="W134" i="14"/>
  <c r="W110" i="14"/>
  <c r="W137" i="14"/>
  <c r="W139" i="14"/>
  <c r="W124" i="14"/>
  <c r="V83" i="14"/>
  <c r="H132" i="14"/>
  <c r="W132" i="14" s="1"/>
  <c r="W140" i="14"/>
  <c r="W107" i="14"/>
  <c r="W131" i="14"/>
  <c r="V81" i="14"/>
  <c r="W126" i="14"/>
  <c r="W109" i="14"/>
  <c r="W119" i="14"/>
  <c r="W115" i="14"/>
  <c r="V69" i="14"/>
  <c r="V92" i="14"/>
  <c r="W122" i="14"/>
  <c r="W102" i="14"/>
  <c r="W100" i="14"/>
  <c r="W138" i="14"/>
  <c r="V71" i="14"/>
  <c r="C121" i="14"/>
  <c r="W121" i="14" s="1"/>
  <c r="W112" i="14"/>
  <c r="W130" i="14"/>
  <c r="W105" i="14"/>
  <c r="W125" i="14"/>
  <c r="W123" i="14"/>
  <c r="W99" i="14"/>
  <c r="V49" i="14"/>
  <c r="W129" i="14"/>
  <c r="W116" i="14"/>
  <c r="V78" i="14"/>
  <c r="I127" i="14"/>
  <c r="I143" i="14" s="1"/>
  <c r="V56" i="14"/>
  <c r="D106" i="14"/>
  <c r="W106" i="14" s="1"/>
  <c r="W120" i="14"/>
  <c r="V63" i="14"/>
  <c r="S113" i="14"/>
  <c r="S143" i="14" s="1"/>
  <c r="V79" i="14"/>
  <c r="W101" i="14"/>
  <c r="W142" i="14"/>
  <c r="W136" i="14"/>
  <c r="V67" i="14"/>
  <c r="H117" i="14"/>
  <c r="W111" i="14"/>
  <c r="W135" i="14"/>
  <c r="W147" i="14"/>
  <c r="U148" i="14" s="1"/>
  <c r="W108" i="14"/>
  <c r="W133" i="14"/>
  <c r="W103" i="14"/>
  <c r="V66" i="14"/>
  <c r="V89" i="14"/>
  <c r="V60" i="14"/>
  <c r="V75" i="14"/>
  <c r="V70" i="14"/>
  <c r="V68" i="14"/>
  <c r="V50" i="14"/>
  <c r="V61" i="14"/>
  <c r="V93" i="14"/>
  <c r="V91" i="14"/>
  <c r="V84" i="14"/>
  <c r="V87" i="14"/>
  <c r="V86" i="14"/>
  <c r="V82" i="14"/>
  <c r="V54" i="14"/>
  <c r="V51" i="14"/>
  <c r="V74" i="14"/>
  <c r="V90" i="14"/>
  <c r="V65" i="14"/>
  <c r="V76" i="14"/>
  <c r="V55" i="14"/>
  <c r="V77" i="14"/>
  <c r="V59" i="14"/>
  <c r="V62" i="14"/>
  <c r="V64" i="14"/>
  <c r="V88" i="14"/>
  <c r="V58" i="14"/>
  <c r="V72" i="14"/>
  <c r="V80" i="14"/>
  <c r="V52" i="14"/>
  <c r="V73" i="14"/>
  <c r="V53" i="14"/>
  <c r="V57" i="14"/>
  <c r="BA170" i="6"/>
  <c r="BF170" i="6"/>
  <c r="BR171" i="6"/>
  <c r="AY170" i="6"/>
  <c r="BE170" i="6"/>
  <c r="BP170" i="6"/>
  <c r="BC316" i="6"/>
  <c r="BI170" i="6"/>
  <c r="BB170" i="6"/>
  <c r="BQ170" i="6"/>
  <c r="BQ316" i="6"/>
  <c r="BO170" i="6"/>
  <c r="BL170" i="6"/>
  <c r="BB172" i="6"/>
  <c r="BL318" i="6"/>
  <c r="BM318" i="6"/>
  <c r="BO169" i="6"/>
  <c r="BN302" i="6"/>
  <c r="BC302" i="6"/>
  <c r="BR291" i="6"/>
  <c r="BB311" i="6"/>
  <c r="BO318" i="6"/>
  <c r="BO311" i="6"/>
  <c r="BD291" i="6"/>
  <c r="BO316" i="6"/>
  <c r="BO289" i="6"/>
  <c r="BH290" i="6"/>
  <c r="BM316" i="6"/>
  <c r="BA316" i="6"/>
  <c r="BL290" i="6"/>
  <c r="BO290" i="6"/>
  <c r="BP316" i="6"/>
  <c r="BM300" i="6"/>
  <c r="AZ316" i="6"/>
  <c r="BG316" i="6"/>
  <c r="BR316" i="6"/>
  <c r="BA296" i="6"/>
  <c r="AY291" i="6"/>
  <c r="BG291" i="6"/>
  <c r="BI317" i="6"/>
  <c r="BD318" i="6"/>
  <c r="BH318" i="6"/>
  <c r="BF318" i="6"/>
  <c r="BK301" i="6"/>
  <c r="BP318" i="6"/>
  <c r="BJ296" i="6"/>
  <c r="BA292" i="6"/>
  <c r="BM317" i="6"/>
  <c r="BD297" i="6"/>
  <c r="BC292" i="6"/>
  <c r="BE318" i="6"/>
  <c r="AY318" i="6"/>
  <c r="BC321" i="6"/>
  <c r="BD310" i="6"/>
  <c r="BL300" i="6"/>
  <c r="BG171" i="6"/>
  <c r="BC171" i="6"/>
  <c r="BG311" i="6"/>
  <c r="BG302" i="6"/>
  <c r="BH292" i="6"/>
  <c r="BG288" i="6"/>
  <c r="BJ302" i="6"/>
  <c r="AZ313" i="6"/>
  <c r="BB296" i="6"/>
  <c r="BD311" i="6"/>
  <c r="BJ318" i="6"/>
  <c r="BE302" i="6"/>
  <c r="BF288" i="6"/>
  <c r="BN318" i="6"/>
  <c r="BN288" i="6"/>
  <c r="BD300" i="6"/>
  <c r="BI318" i="6"/>
  <c r="BQ318" i="6"/>
  <c r="BE171" i="6"/>
  <c r="AZ171" i="6"/>
  <c r="BB171" i="6"/>
  <c r="BN296" i="6"/>
  <c r="AZ296" i="6"/>
  <c r="BI171" i="6"/>
  <c r="BQ171" i="6"/>
  <c r="BO171" i="6"/>
  <c r="BN171" i="6"/>
  <c r="BN169" i="6"/>
  <c r="BK171" i="6"/>
  <c r="AZ169" i="6"/>
  <c r="BH300" i="6"/>
  <c r="BR296" i="6"/>
  <c r="BG296" i="6"/>
  <c r="AY171" i="6"/>
  <c r="BN289" i="6"/>
  <c r="BJ171" i="6"/>
  <c r="BE296" i="6"/>
  <c r="BP171" i="6"/>
  <c r="BA300" i="6"/>
  <c r="BE300" i="6"/>
  <c r="BH310" i="6"/>
  <c r="BC299" i="6"/>
  <c r="BP172" i="6"/>
  <c r="BD172" i="6"/>
  <c r="BP290" i="6"/>
  <c r="BQ289" i="6"/>
  <c r="BA289" i="6"/>
  <c r="AZ297" i="6"/>
  <c r="BH171" i="6"/>
  <c r="BD171" i="6"/>
  <c r="AY296" i="6"/>
  <c r="BE321" i="6"/>
  <c r="BG297" i="6"/>
  <c r="BA288" i="6"/>
  <c r="BC318" i="6"/>
  <c r="BJ168" i="6"/>
  <c r="BF171" i="6"/>
  <c r="BM171" i="6"/>
  <c r="BP296" i="6"/>
  <c r="BG300" i="6"/>
  <c r="BJ300" i="6"/>
  <c r="BL321" i="6"/>
  <c r="BH288" i="6"/>
  <c r="BJ289" i="6"/>
  <c r="BM290" i="6"/>
  <c r="BA321" i="6"/>
  <c r="BR290" i="6"/>
  <c r="BG318" i="6"/>
  <c r="BA318" i="6"/>
  <c r="BL171" i="6"/>
  <c r="BE310" i="6"/>
  <c r="BR310" i="6"/>
  <c r="AZ289" i="6"/>
  <c r="BO310" i="6"/>
  <c r="BL169" i="6"/>
  <c r="BK310" i="6"/>
  <c r="BR289" i="6"/>
  <c r="BI321" i="6"/>
  <c r="BB290" i="6"/>
  <c r="BK289" i="6"/>
  <c r="BN290" i="6"/>
  <c r="BE319" i="6"/>
  <c r="BH319" i="6"/>
  <c r="BO317" i="6"/>
  <c r="BE320" i="6"/>
  <c r="BC310" i="6"/>
  <c r="BJ301" i="6"/>
  <c r="BA310" i="6"/>
  <c r="BL310" i="6"/>
  <c r="BN292" i="6"/>
  <c r="BF321" i="6"/>
  <c r="AZ290" i="6"/>
  <c r="BG289" i="6"/>
  <c r="BG290" i="6"/>
  <c r="BI310" i="6"/>
  <c r="BH168" i="6"/>
  <c r="BF310" i="6"/>
  <c r="BI289" i="6"/>
  <c r="BG292" i="6"/>
  <c r="BR321" i="6"/>
  <c r="AY290" i="6"/>
  <c r="AY289" i="6"/>
  <c r="BF289" i="6"/>
  <c r="BF290" i="6"/>
  <c r="BQ310" i="6"/>
  <c r="BQ321" i="6"/>
  <c r="BM310" i="6"/>
  <c r="AY168" i="6"/>
  <c r="BR172" i="6"/>
  <c r="AX169" i="6"/>
  <c r="BA169" i="6"/>
  <c r="BI169" i="6"/>
  <c r="BL292" i="6"/>
  <c r="BD321" i="6"/>
  <c r="BR292" i="6"/>
  <c r="BE289" i="6"/>
  <c r="BE290" i="6"/>
  <c r="AY169" i="6"/>
  <c r="BI168" i="6"/>
  <c r="BM169" i="6"/>
  <c r="BP310" i="6"/>
  <c r="BB310" i="6"/>
  <c r="BH289" i="6"/>
  <c r="BK290" i="6"/>
  <c r="BC289" i="6"/>
  <c r="BK169" i="6"/>
  <c r="BM172" i="6"/>
  <c r="BJ169" i="6"/>
  <c r="BG310" i="6"/>
  <c r="BN310" i="6"/>
  <c r="BD289" i="6"/>
  <c r="BD290" i="6"/>
  <c r="AX171" i="6"/>
  <c r="BN168" i="6"/>
  <c r="BA171" i="6"/>
  <c r="BH321" i="6"/>
  <c r="AZ310" i="6"/>
  <c r="BL289" i="6"/>
  <c r="BA290" i="6"/>
  <c r="BP289" i="6"/>
  <c r="BJ290" i="6"/>
  <c r="BK318" i="6"/>
  <c r="AZ318" i="6"/>
  <c r="AZ168" i="6"/>
  <c r="BM289" i="6"/>
  <c r="BB289" i="6"/>
  <c r="BI290" i="6"/>
  <c r="BQ290" i="6"/>
  <c r="BR318" i="6"/>
  <c r="BP288" i="6"/>
  <c r="AZ311" i="6"/>
  <c r="BR302" i="6"/>
  <c r="BM288" i="6"/>
  <c r="BI311" i="6"/>
  <c r="BM311" i="6"/>
  <c r="BO172" i="6"/>
  <c r="AY172" i="6"/>
  <c r="BE311" i="6"/>
  <c r="BI297" i="6"/>
  <c r="BJ297" i="6"/>
  <c r="BB302" i="6"/>
  <c r="BK288" i="6"/>
  <c r="AY316" i="6"/>
  <c r="BL288" i="6"/>
  <c r="BC297" i="6"/>
  <c r="BD296" i="6"/>
  <c r="BQ296" i="6"/>
  <c r="BA172" i="6"/>
  <c r="BL311" i="6"/>
  <c r="BA311" i="6"/>
  <c r="BH297" i="6"/>
  <c r="BJ288" i="6"/>
  <c r="BL297" i="6"/>
  <c r="BA302" i="6"/>
  <c r="BI288" i="6"/>
  <c r="BO297" i="6"/>
  <c r="BN311" i="6"/>
  <c r="BH296" i="6"/>
  <c r="BD302" i="6"/>
  <c r="BE288" i="6"/>
  <c r="AY288" i="6"/>
  <c r="BR311" i="6"/>
  <c r="BC296" i="6"/>
  <c r="BP311" i="6"/>
  <c r="BO321" i="6"/>
  <c r="BF297" i="6"/>
  <c r="BM296" i="6"/>
  <c r="BP302" i="6"/>
  <c r="BD288" i="6"/>
  <c r="AY302" i="6"/>
  <c r="BE297" i="6"/>
  <c r="BM302" i="6"/>
  <c r="AY321" i="6"/>
  <c r="AY297" i="6"/>
  <c r="BC311" i="6"/>
  <c r="BL168" i="6"/>
  <c r="AX168" i="6"/>
  <c r="BQ172" i="6"/>
  <c r="AZ172" i="6"/>
  <c r="BK172" i="6"/>
  <c r="BJ172" i="6"/>
  <c r="BI172" i="6"/>
  <c r="BH172" i="6"/>
  <c r="BG172" i="6"/>
  <c r="BF172" i="6"/>
  <c r="BE172" i="6"/>
  <c r="BJ311" i="6"/>
  <c r="BO168" i="6"/>
  <c r="BR168" i="6"/>
  <c r="BQ168" i="6"/>
  <c r="BP168" i="6"/>
  <c r="BG168" i="6"/>
  <c r="BF168" i="6"/>
  <c r="BD168" i="6"/>
  <c r="BE168" i="6"/>
  <c r="BC168" i="6"/>
  <c r="BB168" i="6"/>
  <c r="BA168" i="6"/>
  <c r="BO296" i="6"/>
  <c r="BM321" i="6"/>
  <c r="BC288" i="6"/>
  <c r="AZ288" i="6"/>
  <c r="BH316" i="6"/>
  <c r="BP321" i="6"/>
  <c r="BB321" i="6"/>
  <c r="BC172" i="6"/>
  <c r="BQ311" i="6"/>
  <c r="BQ302" i="6"/>
  <c r="BB297" i="6"/>
  <c r="BH311" i="6"/>
  <c r="BN316" i="6"/>
  <c r="BA297" i="6"/>
  <c r="BN172" i="6"/>
  <c r="BF311" i="6"/>
  <c r="AZ302" i="6"/>
  <c r="BH291" i="6"/>
  <c r="BJ316" i="6"/>
  <c r="BH302" i="6"/>
  <c r="BK321" i="6"/>
  <c r="BB288" i="6"/>
  <c r="BI316" i="6"/>
  <c r="BK302" i="6"/>
  <c r="BF316" i="6"/>
  <c r="BQ317" i="6"/>
  <c r="BQ300" i="6"/>
  <c r="AY300" i="6"/>
  <c r="BF296" i="6"/>
  <c r="BL296" i="6"/>
  <c r="BR297" i="6"/>
  <c r="BQ297" i="6"/>
  <c r="AX170" i="6"/>
  <c r="BK168" i="6"/>
  <c r="BN321" i="6"/>
  <c r="BI296" i="6"/>
  <c r="BK297" i="6"/>
  <c r="BN297" i="6"/>
  <c r="BO288" i="6"/>
  <c r="BF302" i="6"/>
  <c r="BJ321" i="6"/>
  <c r="BR288" i="6"/>
  <c r="BD316" i="6"/>
  <c r="AY311" i="6"/>
  <c r="BH305" i="6"/>
  <c r="BL302" i="6"/>
  <c r="AY310" i="6"/>
  <c r="BP297" i="6"/>
  <c r="BJ310" i="6"/>
  <c r="BL316" i="6"/>
  <c r="AX172" i="6"/>
  <c r="BM168" i="6"/>
  <c r="BR169" i="6"/>
  <c r="BF169" i="6"/>
  <c r="BQ169" i="6"/>
  <c r="BP169" i="6"/>
  <c r="BH169" i="6"/>
  <c r="BG169" i="6"/>
  <c r="BE169" i="6"/>
  <c r="BD169" i="6"/>
  <c r="BC169" i="6"/>
  <c r="BB169" i="6"/>
  <c r="BL172" i="6"/>
  <c r="BL319" i="6"/>
  <c r="BJ292" i="6"/>
  <c r="BA301" i="6"/>
  <c r="BM320" i="6"/>
  <c r="BI301" i="6"/>
  <c r="BK320" i="6"/>
  <c r="BO292" i="6"/>
  <c r="BH301" i="6"/>
  <c r="BB314" i="6"/>
  <c r="BL298" i="6"/>
  <c r="BI320" i="6"/>
  <c r="BB303" i="6"/>
  <c r="BM292" i="6"/>
  <c r="BR308" i="6"/>
  <c r="BP308" i="6"/>
  <c r="BD292" i="6"/>
  <c r="BL303" i="6"/>
  <c r="BN303" i="6"/>
  <c r="BI292" i="6"/>
  <c r="BE301" i="6"/>
  <c r="BP304" i="6"/>
  <c r="BC294" i="6"/>
  <c r="BN299" i="6"/>
  <c r="BH295" i="6"/>
  <c r="BH308" i="6"/>
  <c r="BF295" i="6"/>
  <c r="BG299" i="6"/>
  <c r="BM305" i="6"/>
  <c r="BN304" i="6"/>
  <c r="BG301" i="6"/>
  <c r="AZ299" i="6"/>
  <c r="AZ308" i="6"/>
  <c r="BM301" i="6"/>
  <c r="BL305" i="6"/>
  <c r="BC301" i="6"/>
  <c r="AZ291" i="6"/>
  <c r="BF291" i="6"/>
  <c r="BN308" i="6"/>
  <c r="AZ305" i="6"/>
  <c r="BH307" i="6"/>
  <c r="BF301" i="6"/>
  <c r="BA295" i="6"/>
  <c r="BR304" i="6"/>
  <c r="BE299" i="6"/>
  <c r="BD301" i="6"/>
  <c r="BB292" i="6"/>
  <c r="AZ300" i="6"/>
  <c r="BB308" i="6"/>
  <c r="BB300" i="6"/>
  <c r="AY294" i="6"/>
  <c r="BD313" i="6"/>
  <c r="BI300" i="6"/>
  <c r="BM304" i="6"/>
  <c r="BB304" i="6"/>
  <c r="AY307" i="6"/>
  <c r="BC315" i="6"/>
  <c r="BI307" i="6"/>
  <c r="BP300" i="6"/>
  <c r="BN295" i="6"/>
  <c r="BO300" i="6"/>
  <c r="BK300" i="6"/>
  <c r="BG309" i="6"/>
  <c r="BF309" i="6"/>
  <c r="BK293" i="6"/>
  <c r="BQ315" i="6"/>
  <c r="BH304" i="6"/>
  <c r="BK307" i="6"/>
  <c r="BG304" i="6"/>
  <c r="BI313" i="6"/>
  <c r="BG313" i="6"/>
  <c r="BL299" i="6"/>
  <c r="BE304" i="6"/>
  <c r="BJ304" i="6"/>
  <c r="BR301" i="6"/>
  <c r="BF305" i="6"/>
  <c r="BO313" i="6"/>
  <c r="BH309" i="6"/>
  <c r="BC293" i="6"/>
  <c r="BI293" i="6"/>
  <c r="BC300" i="6"/>
  <c r="BD304" i="6"/>
  <c r="BA315" i="6"/>
  <c r="BI309" i="6"/>
  <c r="BR305" i="6"/>
  <c r="BN300" i="6"/>
  <c r="BC304" i="6"/>
  <c r="BP301" i="6"/>
  <c r="BF300" i="6"/>
  <c r="BK299" i="6"/>
  <c r="BC320" i="6"/>
  <c r="BR300" i="6"/>
  <c r="BA304" i="6"/>
  <c r="BL294" i="6"/>
  <c r="BM293" i="6"/>
  <c r="BM307" i="6"/>
  <c r="BR315" i="6"/>
  <c r="BK294" i="6"/>
  <c r="BG298" i="6"/>
  <c r="BI312" i="6"/>
  <c r="BQ305" i="6"/>
  <c r="BL293" i="6"/>
  <c r="BL307" i="6"/>
  <c r="BB315" i="6"/>
  <c r="BK315" i="6"/>
  <c r="BN293" i="6"/>
  <c r="BN307" i="6"/>
  <c r="BJ315" i="6"/>
  <c r="BI295" i="6"/>
  <c r="BA307" i="6"/>
  <c r="BD305" i="6"/>
  <c r="BP315" i="6"/>
  <c r="BP295" i="6"/>
  <c r="BO299" i="6"/>
  <c r="BF294" i="6"/>
  <c r="BO294" i="6"/>
  <c r="BQ299" i="6"/>
  <c r="BJ299" i="6"/>
  <c r="BP305" i="6"/>
  <c r="BQ304" i="6"/>
  <c r="BE292" i="6"/>
  <c r="BC307" i="6"/>
  <c r="BE293" i="6"/>
  <c r="BF307" i="6"/>
  <c r="AY315" i="6"/>
  <c r="BA293" i="6"/>
  <c r="BJ305" i="6"/>
  <c r="BG307" i="6"/>
  <c r="BA294" i="6"/>
  <c r="BC295" i="6"/>
  <c r="BM295" i="6"/>
  <c r="BJ293" i="6"/>
  <c r="BH293" i="6"/>
  <c r="BP294" i="6"/>
  <c r="BA298" i="6"/>
  <c r="AZ295" i="6"/>
  <c r="BO315" i="6"/>
  <c r="BB293" i="6"/>
  <c r="BM299" i="6"/>
  <c r="BC305" i="6"/>
  <c r="BB305" i="6"/>
  <c r="BK292" i="6"/>
  <c r="BR293" i="6"/>
  <c r="BR307" i="6"/>
  <c r="BN315" i="6"/>
  <c r="BH315" i="6"/>
  <c r="BR295" i="6"/>
  <c r="BK305" i="6"/>
  <c r="BN298" i="6"/>
  <c r="BM315" i="6"/>
  <c r="BD315" i="6"/>
  <c r="BB299" i="6"/>
  <c r="BF299" i="6"/>
  <c r="BQ293" i="6"/>
  <c r="BD293" i="6"/>
  <c r="AZ315" i="6"/>
  <c r="BH299" i="6"/>
  <c r="BJ323" i="6"/>
  <c r="BR299" i="6"/>
  <c r="BQ292" i="6"/>
  <c r="BP293" i="6"/>
  <c r="BP307" i="6"/>
  <c r="BL315" i="6"/>
  <c r="BB295" i="6"/>
  <c r="AY299" i="6"/>
  <c r="AY295" i="6"/>
  <c r="BD307" i="6"/>
  <c r="BP292" i="6"/>
  <c r="AY293" i="6"/>
  <c r="AZ307" i="6"/>
  <c r="BA299" i="6"/>
  <c r="BF313" i="6"/>
  <c r="BC298" i="6"/>
  <c r="BP309" i="6"/>
  <c r="BO295" i="6"/>
  <c r="AY298" i="6"/>
  <c r="BF298" i="6"/>
  <c r="BN294" i="6"/>
  <c r="BP298" i="6"/>
  <c r="BK298" i="6"/>
  <c r="AY305" i="6"/>
  <c r="BL304" i="6"/>
  <c r="AY304" i="6"/>
  <c r="AY292" i="6"/>
  <c r="AZ293" i="6"/>
  <c r="BQ307" i="6"/>
  <c r="BF315" i="6"/>
  <c r="BF304" i="6"/>
  <c r="BK304" i="6"/>
  <c r="BQ298" i="6"/>
  <c r="BK309" i="6"/>
  <c r="BP299" i="6"/>
  <c r="BH294" i="6"/>
  <c r="BI305" i="6"/>
  <c r="BG305" i="6"/>
  <c r="BB307" i="6"/>
  <c r="BD299" i="6"/>
  <c r="BK295" i="6"/>
  <c r="BB298" i="6"/>
  <c r="BI299" i="6"/>
  <c r="BM298" i="6"/>
  <c r="BN305" i="6"/>
  <c r="AY306" i="6"/>
  <c r="AZ292" i="6"/>
  <c r="BO293" i="6"/>
  <c r="BO307" i="6"/>
  <c r="BE315" i="6"/>
  <c r="BI315" i="6"/>
  <c r="BR294" i="6"/>
  <c r="BA312" i="6"/>
  <c r="BK314" i="6"/>
  <c r="AZ303" i="6"/>
  <c r="BD314" i="6"/>
  <c r="BI291" i="6"/>
  <c r="BO303" i="6"/>
  <c r="BA317" i="6"/>
  <c r="BO319" i="6"/>
  <c r="BL314" i="6"/>
  <c r="BG308" i="6"/>
  <c r="BO291" i="6"/>
  <c r="AY314" i="6"/>
  <c r="BM314" i="6"/>
  <c r="BK291" i="6"/>
  <c r="BN306" i="6"/>
  <c r="BP303" i="6"/>
  <c r="BJ317" i="6"/>
  <c r="BG317" i="6"/>
  <c r="AY317" i="6"/>
  <c r="BR309" i="6"/>
  <c r="AX313" i="6"/>
  <c r="BQ291" i="6"/>
  <c r="BJ320" i="6"/>
  <c r="BB301" i="6"/>
  <c r="BA303" i="6"/>
  <c r="AZ317" i="6"/>
  <c r="BN319" i="6"/>
  <c r="BG314" i="6"/>
  <c r="BF303" i="6"/>
  <c r="BJ303" i="6"/>
  <c r="BC291" i="6"/>
  <c r="BE291" i="6"/>
  <c r="BH317" i="6"/>
  <c r="AX289" i="6"/>
  <c r="BJ298" i="6"/>
  <c r="BB317" i="6"/>
  <c r="BM303" i="6"/>
  <c r="BJ294" i="6"/>
  <c r="BO301" i="6"/>
  <c r="BK303" i="6"/>
  <c r="BP319" i="6"/>
  <c r="BG294" i="6"/>
  <c r="BG319" i="6"/>
  <c r="BR298" i="6"/>
  <c r="BL291" i="6"/>
  <c r="BA305" i="6"/>
  <c r="AY303" i="6"/>
  <c r="AZ304" i="6"/>
  <c r="BL301" i="6"/>
  <c r="BD317" i="6"/>
  <c r="BQ319" i="6"/>
  <c r="BI308" i="6"/>
  <c r="BE314" i="6"/>
  <c r="BJ314" i="6"/>
  <c r="BG293" i="6"/>
  <c r="BO322" i="6"/>
  <c r="BG303" i="6"/>
  <c r="BD322" i="6"/>
  <c r="BR317" i="6"/>
  <c r="BO308" i="6"/>
  <c r="BL308" i="6"/>
  <c r="BE303" i="6"/>
  <c r="BL317" i="6"/>
  <c r="BD308" i="6"/>
  <c r="BP291" i="6"/>
  <c r="BC303" i="6"/>
  <c r="BE317" i="6"/>
  <c r="BP317" i="6"/>
  <c r="BO309" i="6"/>
  <c r="BI298" i="6"/>
  <c r="BN313" i="6"/>
  <c r="AZ298" i="6"/>
  <c r="BR313" i="6"/>
  <c r="BB291" i="6"/>
  <c r="BR303" i="6"/>
  <c r="BQ301" i="6"/>
  <c r="BO298" i="6"/>
  <c r="AZ314" i="6"/>
  <c r="BC313" i="6"/>
  <c r="BH298" i="6"/>
  <c r="BL313" i="6"/>
  <c r="BN291" i="6"/>
  <c r="BN301" i="6"/>
  <c r="BN317" i="6"/>
  <c r="BA320" i="6"/>
  <c r="BE298" i="6"/>
  <c r="BJ295" i="6"/>
  <c r="BP314" i="6"/>
  <c r="BA314" i="6"/>
  <c r="BM291" i="6"/>
  <c r="BE305" i="6"/>
  <c r="BQ303" i="6"/>
  <c r="AZ301" i="6"/>
  <c r="BF317" i="6"/>
  <c r="BB319" i="6"/>
  <c r="BD320" i="6"/>
  <c r="AY313" i="6"/>
  <c r="BD298" i="6"/>
  <c r="BR314" i="6"/>
  <c r="BJ291" i="6"/>
  <c r="BO305" i="6"/>
  <c r="AY301" i="6"/>
  <c r="BD303" i="6"/>
  <c r="BO304" i="6"/>
  <c r="BA319" i="6"/>
  <c r="BI303" i="6"/>
  <c r="BC317" i="6"/>
  <c r="AZ319" i="6"/>
  <c r="BF308" i="6"/>
  <c r="BM312" i="6"/>
  <c r="BI314" i="6"/>
  <c r="BP323" i="6"/>
  <c r="BM309" i="6"/>
  <c r="AX318" i="6"/>
  <c r="AZ320" i="6"/>
  <c r="BA306" i="6"/>
  <c r="BF319" i="6"/>
  <c r="BR319" i="6"/>
  <c r="BO314" i="6"/>
  <c r="BP313" i="6"/>
  <c r="BE312" i="6"/>
  <c r="BB294" i="6"/>
  <c r="BM313" i="6"/>
  <c r="BR312" i="6"/>
  <c r="BB306" i="6"/>
  <c r="BP312" i="6"/>
  <c r="BQ306" i="6"/>
  <c r="BB312" i="6"/>
  <c r="BO320" i="6"/>
  <c r="AZ294" i="6"/>
  <c r="BF312" i="6"/>
  <c r="AY320" i="6"/>
  <c r="BO306" i="6"/>
  <c r="BE306" i="6"/>
  <c r="BD319" i="6"/>
  <c r="BK312" i="6"/>
  <c r="BN314" i="6"/>
  <c r="BM306" i="6"/>
  <c r="BF306" i="6"/>
  <c r="AX299" i="6"/>
  <c r="BN320" i="6"/>
  <c r="AX303" i="6"/>
  <c r="BG312" i="6"/>
  <c r="BH320" i="6"/>
  <c r="BE322" i="6"/>
  <c r="AX304" i="6"/>
  <c r="BE313" i="6"/>
  <c r="BJ312" i="6"/>
  <c r="BL320" i="6"/>
  <c r="BK306" i="6"/>
  <c r="BH322" i="6"/>
  <c r="BH306" i="6"/>
  <c r="AY319" i="6"/>
  <c r="BQ312" i="6"/>
  <c r="BL312" i="6"/>
  <c r="BQ323" i="6"/>
  <c r="BP306" i="6"/>
  <c r="AZ306" i="6"/>
  <c r="BG320" i="6"/>
  <c r="BC312" i="6"/>
  <c r="BB313" i="6"/>
  <c r="BC314" i="6"/>
  <c r="BH314" i="6"/>
  <c r="BL306" i="6"/>
  <c r="BR322" i="6"/>
  <c r="BI319" i="6"/>
  <c r="BM319" i="6"/>
  <c r="BQ313" i="6"/>
  <c r="BF320" i="6"/>
  <c r="BQ294" i="6"/>
  <c r="BM308" i="6"/>
  <c r="AZ312" i="6"/>
  <c r="BD323" i="6"/>
  <c r="BH313" i="6"/>
  <c r="AX290" i="6"/>
  <c r="BH312" i="6"/>
  <c r="BN322" i="6"/>
  <c r="BR306" i="6"/>
  <c r="BJ306" i="6"/>
  <c r="BG306" i="6"/>
  <c r="BK319" i="6"/>
  <c r="BM294" i="6"/>
  <c r="BA313" i="6"/>
  <c r="BO312" i="6"/>
  <c r="BB320" i="6"/>
  <c r="BR320" i="6"/>
  <c r="BN312" i="6"/>
  <c r="BD312" i="6"/>
  <c r="BQ314" i="6"/>
  <c r="BJ313" i="6"/>
  <c r="BF314" i="6"/>
  <c r="BP320" i="6"/>
  <c r="BC306" i="6"/>
  <c r="BF293" i="6"/>
  <c r="BJ307" i="6"/>
  <c r="BC319" i="6"/>
  <c r="BI294" i="6"/>
  <c r="BH323" i="6"/>
  <c r="BD294" i="6"/>
  <c r="AY312" i="6"/>
  <c r="BQ295" i="6"/>
  <c r="BI306" i="6"/>
  <c r="BJ319" i="6"/>
  <c r="BE294" i="6"/>
  <c r="BD295" i="6"/>
  <c r="BK313" i="6"/>
  <c r="BD309" i="6"/>
  <c r="BE309" i="6"/>
  <c r="BC309" i="6"/>
  <c r="BR323" i="6"/>
  <c r="BB309" i="6"/>
  <c r="AZ309" i="6"/>
  <c r="BC323" i="6"/>
  <c r="BE295" i="6"/>
  <c r="BG295" i="6"/>
  <c r="BA309" i="6"/>
  <c r="BL295" i="6"/>
  <c r="BA322" i="6"/>
  <c r="BF323" i="6"/>
  <c r="BA308" i="6"/>
  <c r="BL309" i="6"/>
  <c r="BQ309" i="6"/>
  <c r="BJ309" i="6"/>
  <c r="BA323" i="6"/>
  <c r="BC308" i="6"/>
  <c r="AZ323" i="6"/>
  <c r="BL323" i="6"/>
  <c r="BP322" i="6"/>
  <c r="BI323" i="6"/>
  <c r="BK322" i="6"/>
  <c r="AY308" i="6"/>
  <c r="BJ322" i="6"/>
  <c r="BQ308" i="6"/>
  <c r="BJ308" i="6"/>
  <c r="BK308" i="6"/>
  <c r="AY309" i="6"/>
  <c r="BI322" i="6"/>
  <c r="BN323" i="6"/>
  <c r="AY323" i="6"/>
  <c r="BM323" i="6"/>
  <c r="BG322" i="6"/>
  <c r="BE308" i="6"/>
  <c r="BQ322" i="6"/>
  <c r="BF322" i="6"/>
  <c r="BM322" i="6"/>
  <c r="BK323" i="6"/>
  <c r="BB323" i="6"/>
  <c r="AY322" i="6"/>
  <c r="BB322" i="6"/>
  <c r="AZ322" i="6"/>
  <c r="BG323" i="6"/>
  <c r="BO323" i="6"/>
  <c r="BL322" i="6"/>
  <c r="BE323" i="6"/>
  <c r="BC322" i="6"/>
  <c r="AX305" i="6"/>
  <c r="AX306" i="6"/>
  <c r="AX293" i="6"/>
  <c r="AX321" i="6"/>
  <c r="AX291" i="6"/>
  <c r="AX294" i="6"/>
  <c r="AX308" i="6"/>
  <c r="AX322" i="6"/>
  <c r="AX292" i="6"/>
  <c r="AX320" i="6"/>
  <c r="AX307" i="6"/>
  <c r="AX295" i="6"/>
  <c r="AX309" i="6"/>
  <c r="AX323" i="6"/>
  <c r="AX319" i="6"/>
  <c r="AX296" i="6"/>
  <c r="AX297" i="6"/>
  <c r="AX311" i="6"/>
  <c r="AX310" i="6"/>
  <c r="AX298" i="6"/>
  <c r="AX312" i="6"/>
  <c r="AX300" i="6"/>
  <c r="AX314" i="6"/>
  <c r="AX301" i="6"/>
  <c r="AX315" i="6"/>
  <c r="AX288" i="6"/>
  <c r="AX302" i="6"/>
  <c r="AX316" i="6"/>
  <c r="AX317" i="6"/>
  <c r="S148" i="14" l="1"/>
  <c r="Q148" i="14"/>
  <c r="V148" i="14"/>
  <c r="P148" i="14"/>
  <c r="T148" i="14"/>
  <c r="W148" i="14"/>
  <c r="O148" i="14"/>
  <c r="N148" i="14"/>
  <c r="L148" i="14"/>
  <c r="C143" i="14"/>
  <c r="M148" i="14"/>
  <c r="I148" i="14"/>
  <c r="C148" i="14"/>
  <c r="F148" i="14"/>
  <c r="H143" i="14"/>
  <c r="D148" i="14"/>
  <c r="J148" i="14"/>
  <c r="R148" i="14"/>
  <c r="K148" i="14"/>
  <c r="E148" i="14"/>
  <c r="D143" i="14"/>
  <c r="W117" i="14"/>
  <c r="W127" i="14"/>
  <c r="W113" i="14"/>
  <c r="W143" i="14" s="1"/>
  <c r="V144" i="14" s="1"/>
  <c r="E260" i="6"/>
  <c r="W144" i="14" l="1"/>
  <c r="L144" i="14"/>
  <c r="I144" i="14"/>
  <c r="H144" i="14"/>
  <c r="P144" i="14"/>
  <c r="S144" i="14"/>
  <c r="Q144" i="14"/>
  <c r="N144" i="14"/>
  <c r="T144" i="14"/>
  <c r="E144" i="14"/>
  <c r="J144" i="14"/>
  <c r="F144" i="14"/>
  <c r="K144" i="14"/>
  <c r="O144" i="14"/>
  <c r="G144" i="14"/>
  <c r="R144" i="14"/>
  <c r="U144" i="14"/>
  <c r="M144" i="14"/>
  <c r="D144" i="14"/>
  <c r="C144" i="14"/>
  <c r="AB260" i="6"/>
  <c r="AJ260" i="6" s="1"/>
  <c r="F260" i="6"/>
  <c r="E133" i="6"/>
  <c r="E256" i="6"/>
  <c r="E31" i="6"/>
  <c r="AB192" i="6"/>
  <c r="AJ192" i="6" s="1"/>
  <c r="D43" i="7"/>
  <c r="AB256" i="6" s="1"/>
  <c r="E192" i="6"/>
  <c r="E152" i="6"/>
  <c r="E151" i="6"/>
  <c r="E30" i="8"/>
  <c r="B4" i="11"/>
  <c r="B3" i="11"/>
  <c r="B2" i="11"/>
  <c r="AB31" i="6" l="1"/>
  <c r="AN31" i="6" s="1"/>
  <c r="AB133" i="6"/>
  <c r="AK133" i="6" s="1"/>
  <c r="AL260" i="6"/>
  <c r="BG260" i="6" s="1"/>
  <c r="AL256" i="6"/>
  <c r="AL192" i="6"/>
  <c r="AT256" i="6"/>
  <c r="AT192" i="6"/>
  <c r="AT260" i="6"/>
  <c r="BO260" i="6" s="1"/>
  <c r="AV260" i="6"/>
  <c r="BQ260" i="6" s="1"/>
  <c r="AV192" i="6"/>
  <c r="AV256" i="6"/>
  <c r="AE256" i="6"/>
  <c r="AE192" i="6"/>
  <c r="AM260" i="6"/>
  <c r="BH260" i="6" s="1"/>
  <c r="AP260" i="6"/>
  <c r="BK260" i="6" s="1"/>
  <c r="AW260" i="6"/>
  <c r="BR260" i="6" s="1"/>
  <c r="AO260" i="6"/>
  <c r="BJ260" i="6" s="1"/>
  <c r="AU260" i="6"/>
  <c r="BP260" i="6" s="1"/>
  <c r="AN260" i="6"/>
  <c r="BI260" i="6" s="1"/>
  <c r="AS260" i="6"/>
  <c r="BN260" i="6" s="1"/>
  <c r="AE260" i="6"/>
  <c r="AZ260" i="6" s="1"/>
  <c r="AK260" i="6"/>
  <c r="BF260" i="6" s="1"/>
  <c r="AK256" i="6"/>
  <c r="AK192" i="6"/>
  <c r="AQ192" i="6"/>
  <c r="AQ256" i="6"/>
  <c r="AD260" i="6"/>
  <c r="AY260" i="6" s="1"/>
  <c r="AQ260" i="6"/>
  <c r="BL260" i="6" s="1"/>
  <c r="AG192" i="6"/>
  <c r="AG256" i="6"/>
  <c r="AG260" i="6"/>
  <c r="BB260" i="6" s="1"/>
  <c r="BE260" i="6"/>
  <c r="AW152" i="6"/>
  <c r="AR260" i="6"/>
  <c r="BM260" i="6" s="1"/>
  <c r="AC260" i="6"/>
  <c r="AD256" i="6"/>
  <c r="AO151" i="6"/>
  <c r="AF260" i="6"/>
  <c r="BA260" i="6" s="1"/>
  <c r="AD192" i="6"/>
  <c r="AH260" i="6"/>
  <c r="BC260" i="6" s="1"/>
  <c r="AI260" i="6"/>
  <c r="BD260" i="6" s="1"/>
  <c r="AC256" i="6"/>
  <c r="F31" i="6"/>
  <c r="F192" i="6"/>
  <c r="F256" i="6"/>
  <c r="AF256" i="6"/>
  <c r="F133" i="6"/>
  <c r="F151" i="6"/>
  <c r="AW256" i="6"/>
  <c r="AM256" i="6"/>
  <c r="AU256" i="6"/>
  <c r="AO256" i="6"/>
  <c r="AN256" i="6"/>
  <c r="AJ256" i="6"/>
  <c r="AI256" i="6"/>
  <c r="AS256" i="6"/>
  <c r="AR256" i="6"/>
  <c r="AP256" i="6"/>
  <c r="AH256" i="6"/>
  <c r="AH192" i="6"/>
  <c r="AF192" i="6"/>
  <c r="AW192" i="6"/>
  <c r="AS192" i="6"/>
  <c r="AR192" i="6"/>
  <c r="AO192" i="6"/>
  <c r="AI192" i="6"/>
  <c r="AC192" i="6"/>
  <c r="AU192" i="6"/>
  <c r="AP192" i="6"/>
  <c r="AN192" i="6"/>
  <c r="AM192" i="6"/>
  <c r="F152" i="6"/>
  <c r="AB259" i="6"/>
  <c r="AB280" i="6"/>
  <c r="AB281" i="6"/>
  <c r="AB282" i="6"/>
  <c r="AB283" i="6"/>
  <c r="AB284" i="6"/>
  <c r="AB285" i="6"/>
  <c r="AB286" i="6"/>
  <c r="AB287" i="6"/>
  <c r="AB261" i="6"/>
  <c r="AL261" i="6" s="1"/>
  <c r="AB262" i="6"/>
  <c r="AL262" i="6" s="1"/>
  <c r="AB263" i="6"/>
  <c r="AL263" i="6" s="1"/>
  <c r="AB264" i="6"/>
  <c r="AL264" i="6" s="1"/>
  <c r="AB265" i="6"/>
  <c r="AL265" i="6" s="1"/>
  <c r="AB266" i="6"/>
  <c r="AL266" i="6" s="1"/>
  <c r="AB267" i="6"/>
  <c r="AL267" i="6" s="1"/>
  <c r="AB258" i="6"/>
  <c r="E287" i="6"/>
  <c r="E261" i="6"/>
  <c r="E262" i="6"/>
  <c r="E263" i="6"/>
  <c r="E264" i="6"/>
  <c r="E265" i="6"/>
  <c r="E266" i="6"/>
  <c r="E267" i="6"/>
  <c r="T3" i="2"/>
  <c r="E3" i="2"/>
  <c r="U3" i="2"/>
  <c r="AV133" i="6" l="1"/>
  <c r="AH133" i="6"/>
  <c r="AF133" i="6"/>
  <c r="AM133" i="6"/>
  <c r="AJ133" i="6"/>
  <c r="AP133" i="6"/>
  <c r="BK133" i="6" s="1"/>
  <c r="AQ133" i="6"/>
  <c r="BL133" i="6" s="1"/>
  <c r="AG133" i="6"/>
  <c r="BB133" i="6" s="1"/>
  <c r="AS133" i="6"/>
  <c r="BN133" i="6" s="1"/>
  <c r="AT133" i="6"/>
  <c r="BO133" i="6" s="1"/>
  <c r="AW133" i="6"/>
  <c r="BR133" i="6" s="1"/>
  <c r="AN133" i="6"/>
  <c r="BI133" i="6" s="1"/>
  <c r="AO133" i="6"/>
  <c r="BJ133" i="6" s="1"/>
  <c r="AU133" i="6"/>
  <c r="BP133" i="6" s="1"/>
  <c r="AI133" i="6"/>
  <c r="BD133" i="6" s="1"/>
  <c r="AR133" i="6"/>
  <c r="BM133" i="6" s="1"/>
  <c r="AO31" i="6"/>
  <c r="BJ31" i="6" s="1"/>
  <c r="AC31" i="6"/>
  <c r="AT31" i="6"/>
  <c r="BO31" i="6" s="1"/>
  <c r="AW31" i="6"/>
  <c r="BR31" i="6" s="1"/>
  <c r="AV31" i="6"/>
  <c r="BQ31" i="6" s="1"/>
  <c r="AS31" i="6"/>
  <c r="BN31" i="6" s="1"/>
  <c r="AD31" i="6"/>
  <c r="AY31" i="6" s="1"/>
  <c r="AM31" i="6"/>
  <c r="BH31" i="6" s="1"/>
  <c r="AL133" i="6"/>
  <c r="AC133" i="6"/>
  <c r="AD133" i="6"/>
  <c r="AY133" i="6" s="1"/>
  <c r="BG256" i="6"/>
  <c r="AG31" i="6"/>
  <c r="BB31" i="6" s="1"/>
  <c r="AH31" i="6"/>
  <c r="BC31" i="6" s="1"/>
  <c r="AI31" i="6"/>
  <c r="BD31" i="6" s="1"/>
  <c r="AF31" i="6"/>
  <c r="BA31" i="6" s="1"/>
  <c r="AE31" i="6"/>
  <c r="AZ31" i="6" s="1"/>
  <c r="AP31" i="6"/>
  <c r="BK31" i="6" s="1"/>
  <c r="AU31" i="6"/>
  <c r="BP31" i="6" s="1"/>
  <c r="AK31" i="6"/>
  <c r="BF31" i="6" s="1"/>
  <c r="AJ31" i="6"/>
  <c r="BE31" i="6" s="1"/>
  <c r="AQ31" i="6"/>
  <c r="BL31" i="6" s="1"/>
  <c r="AR31" i="6"/>
  <c r="BM31" i="6" s="1"/>
  <c r="AE133" i="6"/>
  <c r="AZ133" i="6" s="1"/>
  <c r="AL31" i="6"/>
  <c r="AL152" i="6"/>
  <c r="BG152" i="6" s="1"/>
  <c r="BG192" i="6"/>
  <c r="BJ192" i="6"/>
  <c r="AT259" i="6"/>
  <c r="AL259" i="6"/>
  <c r="AT278" i="6"/>
  <c r="AL278" i="6"/>
  <c r="AT274" i="6"/>
  <c r="AL274" i="6"/>
  <c r="AT287" i="6"/>
  <c r="AL287" i="6"/>
  <c r="AT273" i="6"/>
  <c r="AL273" i="6"/>
  <c r="AT281" i="6"/>
  <c r="AL281" i="6"/>
  <c r="AT280" i="6"/>
  <c r="AL280" i="6"/>
  <c r="AT276" i="6"/>
  <c r="AL276" i="6"/>
  <c r="AT286" i="6"/>
  <c r="AL286" i="6"/>
  <c r="AT272" i="6"/>
  <c r="AL272" i="6"/>
  <c r="AT285" i="6"/>
  <c r="AL285" i="6"/>
  <c r="AT271" i="6"/>
  <c r="AL271" i="6"/>
  <c r="AT258" i="6"/>
  <c r="AL258" i="6"/>
  <c r="AT284" i="6"/>
  <c r="AL284" i="6"/>
  <c r="AT270" i="6"/>
  <c r="AL270" i="6"/>
  <c r="AT275" i="6"/>
  <c r="AL275" i="6"/>
  <c r="AT283" i="6"/>
  <c r="AL283" i="6"/>
  <c r="AT269" i="6"/>
  <c r="AL269" i="6"/>
  <c r="AL151" i="6"/>
  <c r="BG151" i="6" s="1"/>
  <c r="AT279" i="6"/>
  <c r="AL279" i="6"/>
  <c r="AT277" i="6"/>
  <c r="AL277" i="6"/>
  <c r="AT282" i="6"/>
  <c r="AL282" i="6"/>
  <c r="AT268" i="6"/>
  <c r="AL268" i="6"/>
  <c r="BO256" i="6"/>
  <c r="BO192" i="6"/>
  <c r="AV263" i="6"/>
  <c r="AT263" i="6"/>
  <c r="BQ133" i="6"/>
  <c r="AV262" i="6"/>
  <c r="AT262" i="6"/>
  <c r="AV267" i="6"/>
  <c r="AT267" i="6"/>
  <c r="AV264" i="6"/>
  <c r="AT264" i="6"/>
  <c r="BQ256" i="6"/>
  <c r="BQ192" i="6"/>
  <c r="AV266" i="6"/>
  <c r="AT266" i="6"/>
  <c r="AV265" i="6"/>
  <c r="AT265" i="6"/>
  <c r="AT151" i="6"/>
  <c r="BO151" i="6" s="1"/>
  <c r="AV261" i="6"/>
  <c r="AT261" i="6"/>
  <c r="AT152" i="6"/>
  <c r="BO152" i="6" s="1"/>
  <c r="AV151" i="6"/>
  <c r="BQ151" i="6" s="1"/>
  <c r="AE275" i="6"/>
  <c r="AV275" i="6"/>
  <c r="AE274" i="6"/>
  <c r="AV274" i="6"/>
  <c r="AE286" i="6"/>
  <c r="AV286" i="6"/>
  <c r="AE285" i="6"/>
  <c r="AV285" i="6"/>
  <c r="AE284" i="6"/>
  <c r="AV284" i="6"/>
  <c r="AE283" i="6"/>
  <c r="AV283" i="6"/>
  <c r="AE269" i="6"/>
  <c r="AV269" i="6"/>
  <c r="AE272" i="6"/>
  <c r="AV272" i="6"/>
  <c r="AE282" i="6"/>
  <c r="AV282" i="6"/>
  <c r="AE268" i="6"/>
  <c r="AV268" i="6"/>
  <c r="AE287" i="6"/>
  <c r="AV287" i="6"/>
  <c r="AE259" i="6"/>
  <c r="AV259" i="6"/>
  <c r="AE280" i="6"/>
  <c r="AV280" i="6"/>
  <c r="AE277" i="6"/>
  <c r="AV277" i="6"/>
  <c r="AE276" i="6"/>
  <c r="AV276" i="6"/>
  <c r="AE273" i="6"/>
  <c r="AV273" i="6"/>
  <c r="AE258" i="6"/>
  <c r="AV258" i="6"/>
  <c r="AE279" i="6"/>
  <c r="AV279" i="6"/>
  <c r="AE271" i="6"/>
  <c r="AV271" i="6"/>
  <c r="AE270" i="6"/>
  <c r="AV270" i="6"/>
  <c r="AE281" i="6"/>
  <c r="AV281" i="6"/>
  <c r="AE278" i="6"/>
  <c r="AV278" i="6"/>
  <c r="AV152" i="6"/>
  <c r="BQ152" i="6" s="1"/>
  <c r="AZ192" i="6"/>
  <c r="BF256" i="6"/>
  <c r="AZ256" i="6"/>
  <c r="AK263" i="6"/>
  <c r="AE263" i="6"/>
  <c r="AK264" i="6"/>
  <c r="AE264" i="6"/>
  <c r="AK266" i="6"/>
  <c r="AE266" i="6"/>
  <c r="AK265" i="6"/>
  <c r="AE265" i="6"/>
  <c r="AK262" i="6"/>
  <c r="AE262" i="6"/>
  <c r="AK261" i="6"/>
  <c r="AE261" i="6"/>
  <c r="AE151" i="6"/>
  <c r="AZ151" i="6" s="1"/>
  <c r="AK267" i="6"/>
  <c r="AE267" i="6"/>
  <c r="AE152" i="6"/>
  <c r="AZ152" i="6" s="1"/>
  <c r="BL192" i="6"/>
  <c r="BF192" i="6"/>
  <c r="BF133" i="6"/>
  <c r="AQ273" i="6"/>
  <c r="AK273" i="6"/>
  <c r="AQ286" i="6"/>
  <c r="AK286" i="6"/>
  <c r="AQ272" i="6"/>
  <c r="AK272" i="6"/>
  <c r="AQ285" i="6"/>
  <c r="AK285" i="6"/>
  <c r="AQ271" i="6"/>
  <c r="AK271" i="6"/>
  <c r="AQ283" i="6"/>
  <c r="AK283" i="6"/>
  <c r="AQ269" i="6"/>
  <c r="AK269" i="6"/>
  <c r="AQ270" i="6"/>
  <c r="AK270" i="6"/>
  <c r="AQ281" i="6"/>
  <c r="AK281" i="6"/>
  <c r="AQ280" i="6"/>
  <c r="AK280" i="6"/>
  <c r="AK151" i="6"/>
  <c r="BF151" i="6" s="1"/>
  <c r="AQ284" i="6"/>
  <c r="AK284" i="6"/>
  <c r="AQ282" i="6"/>
  <c r="AK282" i="6"/>
  <c r="AQ258" i="6"/>
  <c r="AK258" i="6"/>
  <c r="AQ259" i="6"/>
  <c r="AK259" i="6"/>
  <c r="AQ279" i="6"/>
  <c r="AK279" i="6"/>
  <c r="AK152" i="6"/>
  <c r="BF152" i="6" s="1"/>
  <c r="AQ278" i="6"/>
  <c r="AK278" i="6"/>
  <c r="AQ277" i="6"/>
  <c r="AK277" i="6"/>
  <c r="AQ276" i="6"/>
  <c r="AK276" i="6"/>
  <c r="AQ287" i="6"/>
  <c r="AK287" i="6"/>
  <c r="AQ151" i="6"/>
  <c r="BL151" i="6" s="1"/>
  <c r="AQ268" i="6"/>
  <c r="AK268" i="6"/>
  <c r="AQ275" i="6"/>
  <c r="AK275" i="6"/>
  <c r="AQ274" i="6"/>
  <c r="AK274" i="6"/>
  <c r="BL256" i="6"/>
  <c r="AD151" i="6"/>
  <c r="AY151" i="6" s="1"/>
  <c r="AG261" i="6"/>
  <c r="AQ261" i="6"/>
  <c r="AG267" i="6"/>
  <c r="AQ267" i="6"/>
  <c r="AN151" i="6"/>
  <c r="BI151" i="6" s="1"/>
  <c r="AG266" i="6"/>
  <c r="AQ266" i="6"/>
  <c r="AJ151" i="6"/>
  <c r="BE151" i="6" s="1"/>
  <c r="AQ152" i="6"/>
  <c r="BL152" i="6" s="1"/>
  <c r="AG262" i="6"/>
  <c r="AQ262" i="6"/>
  <c r="AI151" i="6"/>
  <c r="BD151" i="6" s="1"/>
  <c r="BB192" i="6"/>
  <c r="AG265" i="6"/>
  <c r="AQ265" i="6"/>
  <c r="AU151" i="6"/>
  <c r="BP151" i="6" s="1"/>
  <c r="AG264" i="6"/>
  <c r="AQ264" i="6"/>
  <c r="AG263" i="6"/>
  <c r="AQ263" i="6"/>
  <c r="AW151" i="6"/>
  <c r="BR151" i="6" s="1"/>
  <c r="AC151" i="6"/>
  <c r="AG151" i="6"/>
  <c r="BB151" i="6" s="1"/>
  <c r="BH192" i="6"/>
  <c r="AO152" i="6"/>
  <c r="BJ152" i="6" s="1"/>
  <c r="BB256" i="6"/>
  <c r="BI192" i="6"/>
  <c r="BK192" i="6"/>
  <c r="AR152" i="6"/>
  <c r="BM152" i="6" s="1"/>
  <c r="BP192" i="6"/>
  <c r="AS151" i="6"/>
  <c r="BN151" i="6" s="1"/>
  <c r="AD271" i="6"/>
  <c r="AG271" i="6"/>
  <c r="AD270" i="6"/>
  <c r="AG270" i="6"/>
  <c r="AD268" i="6"/>
  <c r="AG268" i="6"/>
  <c r="AS152" i="6"/>
  <c r="BN152" i="6" s="1"/>
  <c r="AJ152" i="6"/>
  <c r="BE152" i="6" s="1"/>
  <c r="AI152" i="6"/>
  <c r="BD152" i="6" s="1"/>
  <c r="AG152" i="6"/>
  <c r="BB152" i="6" s="1"/>
  <c r="AD258" i="6"/>
  <c r="AG258" i="6"/>
  <c r="AD276" i="6"/>
  <c r="AG276" i="6"/>
  <c r="AD285" i="6"/>
  <c r="AG285" i="6"/>
  <c r="AD284" i="6"/>
  <c r="AG284" i="6"/>
  <c r="AD269" i="6"/>
  <c r="AG269" i="6"/>
  <c r="AM152" i="6"/>
  <c r="BH152" i="6" s="1"/>
  <c r="AD278" i="6"/>
  <c r="AG278" i="6"/>
  <c r="AD275" i="6"/>
  <c r="AG275" i="6"/>
  <c r="AD283" i="6"/>
  <c r="AG283" i="6"/>
  <c r="AD274" i="6"/>
  <c r="AG274" i="6"/>
  <c r="AD282" i="6"/>
  <c r="AG282" i="6"/>
  <c r="AD281" i="6"/>
  <c r="AG281" i="6"/>
  <c r="AD279" i="6"/>
  <c r="AG279" i="6"/>
  <c r="AD277" i="6"/>
  <c r="AG277" i="6"/>
  <c r="AD287" i="6"/>
  <c r="AG287" i="6"/>
  <c r="AD273" i="6"/>
  <c r="AG273" i="6"/>
  <c r="AU152" i="6"/>
  <c r="BP152" i="6" s="1"/>
  <c r="AD259" i="6"/>
  <c r="AG259" i="6"/>
  <c r="AD280" i="6"/>
  <c r="AG280" i="6"/>
  <c r="AD286" i="6"/>
  <c r="AG286" i="6"/>
  <c r="AD272" i="6"/>
  <c r="AG272" i="6"/>
  <c r="AY256" i="6"/>
  <c r="BE192" i="6"/>
  <c r="AY192" i="6"/>
  <c r="AN152" i="6"/>
  <c r="BI152" i="6" s="1"/>
  <c r="AP152" i="6"/>
  <c r="BK152" i="6" s="1"/>
  <c r="AH152" i="6"/>
  <c r="BC152" i="6" s="1"/>
  <c r="AC152" i="6"/>
  <c r="BI31" i="6"/>
  <c r="AD152" i="6"/>
  <c r="AY152" i="6" s="1"/>
  <c r="AF152" i="6"/>
  <c r="BA152" i="6" s="1"/>
  <c r="AF151" i="6"/>
  <c r="BA151" i="6" s="1"/>
  <c r="AH151" i="6"/>
  <c r="BC151" i="6" s="1"/>
  <c r="AR151" i="6"/>
  <c r="BM151" i="6" s="1"/>
  <c r="AC263" i="6"/>
  <c r="AD263" i="6"/>
  <c r="AC261" i="6"/>
  <c r="AD261" i="6"/>
  <c r="AC264" i="6"/>
  <c r="AD264" i="6"/>
  <c r="AC262" i="6"/>
  <c r="AD262" i="6"/>
  <c r="AX260" i="6"/>
  <c r="AM151" i="6"/>
  <c r="AC267" i="6"/>
  <c r="AD267" i="6"/>
  <c r="AC266" i="6"/>
  <c r="AD266" i="6"/>
  <c r="AC265" i="6"/>
  <c r="AD265" i="6"/>
  <c r="AP151" i="6"/>
  <c r="BK151" i="6" s="1"/>
  <c r="BA256" i="6"/>
  <c r="BM192" i="6"/>
  <c r="BE133" i="6"/>
  <c r="BD192" i="6"/>
  <c r="BD256" i="6"/>
  <c r="BE256" i="6"/>
  <c r="BJ256" i="6"/>
  <c r="BN256" i="6"/>
  <c r="BI256" i="6"/>
  <c r="BP256" i="6"/>
  <c r="BN192" i="6"/>
  <c r="BM256" i="6"/>
  <c r="BH133" i="6"/>
  <c r="BR256" i="6"/>
  <c r="BR192" i="6"/>
  <c r="BA192" i="6"/>
  <c r="BH256" i="6"/>
  <c r="BC192" i="6"/>
  <c r="BC256" i="6"/>
  <c r="BJ151" i="6"/>
  <c r="BK256" i="6"/>
  <c r="BC133" i="6"/>
  <c r="BA133" i="6"/>
  <c r="AX256" i="6"/>
  <c r="AX192" i="6"/>
  <c r="F287" i="6"/>
  <c r="BR152" i="6"/>
  <c r="AW264" i="6"/>
  <c r="AU264" i="6"/>
  <c r="F265" i="6"/>
  <c r="BG265" i="6" s="1"/>
  <c r="AW263" i="6"/>
  <c r="AW261" i="6"/>
  <c r="AU261" i="6"/>
  <c r="AS263" i="6"/>
  <c r="AU262" i="6"/>
  <c r="AS261" i="6"/>
  <c r="AR261" i="6"/>
  <c r="AU263" i="6"/>
  <c r="AW262" i="6"/>
  <c r="F262" i="6"/>
  <c r="BG262" i="6" s="1"/>
  <c r="AS262" i="6"/>
  <c r="AR262" i="6"/>
  <c r="AW265" i="6"/>
  <c r="AP261" i="6"/>
  <c r="AS265" i="6"/>
  <c r="AO267" i="6"/>
  <c r="AO266" i="6"/>
  <c r="AO265" i="6"/>
  <c r="AO264" i="6"/>
  <c r="AO263" i="6"/>
  <c r="AO262" i="6"/>
  <c r="AO261" i="6"/>
  <c r="AW266" i="6"/>
  <c r="AU265" i="6"/>
  <c r="AS266" i="6"/>
  <c r="AR267" i="6"/>
  <c r="AR264" i="6"/>
  <c r="AP267" i="6"/>
  <c r="AU267" i="6"/>
  <c r="AP266" i="6"/>
  <c r="AP265" i="6"/>
  <c r="AP264" i="6"/>
  <c r="AP262" i="6"/>
  <c r="AN266" i="6"/>
  <c r="AN262" i="6"/>
  <c r="AJ263" i="6"/>
  <c r="F263" i="6"/>
  <c r="BG263" i="6" s="1"/>
  <c r="AR266" i="6"/>
  <c r="AP263" i="6"/>
  <c r="AM266" i="6"/>
  <c r="AI267" i="6"/>
  <c r="AI265" i="6"/>
  <c r="AI263" i="6"/>
  <c r="AI261" i="6"/>
  <c r="AH267" i="6"/>
  <c r="AH266" i="6"/>
  <c r="AH265" i="6"/>
  <c r="AH264" i="6"/>
  <c r="AH263" i="6"/>
  <c r="AH262" i="6"/>
  <c r="AH261" i="6"/>
  <c r="AS264" i="6"/>
  <c r="AR263" i="6"/>
  <c r="AN265" i="6"/>
  <c r="F261" i="6"/>
  <c r="BG261" i="6" s="1"/>
  <c r="AJ266" i="6"/>
  <c r="AJ265" i="6"/>
  <c r="AJ261" i="6"/>
  <c r="AF267" i="6"/>
  <c r="AF266" i="6"/>
  <c r="AF265" i="6"/>
  <c r="AF264" i="6"/>
  <c r="AF263" i="6"/>
  <c r="AF262" i="6"/>
  <c r="AF261" i="6"/>
  <c r="AW267" i="6"/>
  <c r="AU266" i="6"/>
  <c r="AS267" i="6"/>
  <c r="AR265" i="6"/>
  <c r="AN267" i="6"/>
  <c r="AN264" i="6"/>
  <c r="AN263" i="6"/>
  <c r="AN261" i="6"/>
  <c r="AM267" i="6"/>
  <c r="AM265" i="6"/>
  <c r="AM264" i="6"/>
  <c r="AM263" i="6"/>
  <c r="AM262" i="6"/>
  <c r="AM261" i="6"/>
  <c r="AJ267" i="6"/>
  <c r="AJ264" i="6"/>
  <c r="AJ262" i="6"/>
  <c r="AI266" i="6"/>
  <c r="AI264" i="6"/>
  <c r="AI262" i="6"/>
  <c r="AW287" i="6"/>
  <c r="AF287" i="6"/>
  <c r="AI287" i="6"/>
  <c r="AM287" i="6"/>
  <c r="AO287" i="6"/>
  <c r="AR287" i="6"/>
  <c r="AS287" i="6"/>
  <c r="AC287" i="6"/>
  <c r="AH287" i="6"/>
  <c r="AJ287" i="6"/>
  <c r="AN287" i="6"/>
  <c r="AP287" i="6"/>
  <c r="AU287" i="6"/>
  <c r="F267" i="6"/>
  <c r="BG267" i="6" s="1"/>
  <c r="F266" i="6"/>
  <c r="F264" i="6"/>
  <c r="BG264" i="6" s="1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B28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B15" i="8"/>
  <c r="AB134" i="6"/>
  <c r="E135" i="6"/>
  <c r="E139" i="6"/>
  <c r="E142" i="6"/>
  <c r="E145" i="6"/>
  <c r="E141" i="6"/>
  <c r="E137" i="6"/>
  <c r="E144" i="6"/>
  <c r="E143" i="6"/>
  <c r="E138" i="6"/>
  <c r="E140" i="6"/>
  <c r="E136" i="6"/>
  <c r="E147" i="6"/>
  <c r="E146" i="6"/>
  <c r="E148" i="6"/>
  <c r="E149" i="6"/>
  <c r="E150" i="6"/>
  <c r="E134" i="6"/>
  <c r="J37" i="7"/>
  <c r="I37" i="7"/>
  <c r="G37" i="7"/>
  <c r="H37" i="7"/>
  <c r="E26" i="6"/>
  <c r="E24" i="6"/>
  <c r="E27" i="6"/>
  <c r="E28" i="6"/>
  <c r="E25" i="6"/>
  <c r="E29" i="6"/>
  <c r="E30" i="6"/>
  <c r="AX133" i="6" l="1"/>
  <c r="BG133" i="6"/>
  <c r="AX31" i="6"/>
  <c r="BG31" i="6"/>
  <c r="F204" i="6"/>
  <c r="F205" i="6"/>
  <c r="F206" i="6"/>
  <c r="F196" i="6"/>
  <c r="F197" i="6"/>
  <c r="F207" i="6"/>
  <c r="F199" i="6"/>
  <c r="F200" i="6"/>
  <c r="F203" i="6"/>
  <c r="F202" i="6"/>
  <c r="F198" i="6"/>
  <c r="F201" i="6"/>
  <c r="F218" i="6"/>
  <c r="F219" i="6"/>
  <c r="F210" i="6"/>
  <c r="F213" i="6"/>
  <c r="F217" i="6"/>
  <c r="F211" i="6"/>
  <c r="F208" i="6"/>
  <c r="F209" i="6"/>
  <c r="F214" i="6"/>
  <c r="F212" i="6"/>
  <c r="F215" i="6"/>
  <c r="F216" i="6"/>
  <c r="F225" i="6"/>
  <c r="F220" i="6"/>
  <c r="F221" i="6"/>
  <c r="F222" i="6"/>
  <c r="F223" i="6"/>
  <c r="F224" i="6"/>
  <c r="F193" i="6"/>
  <c r="F194" i="6"/>
  <c r="F195" i="6"/>
  <c r="BO266" i="6"/>
  <c r="BG266" i="6"/>
  <c r="BO287" i="6"/>
  <c r="BG287" i="6"/>
  <c r="AT134" i="6"/>
  <c r="AL134" i="6"/>
  <c r="BO261" i="6"/>
  <c r="BO264" i="6"/>
  <c r="BQ262" i="6"/>
  <c r="BO262" i="6"/>
  <c r="BQ263" i="6"/>
  <c r="BO263" i="6"/>
  <c r="BQ267" i="6"/>
  <c r="BO267" i="6"/>
  <c r="BQ265" i="6"/>
  <c r="BO265" i="6"/>
  <c r="BQ264" i="6"/>
  <c r="BQ266" i="6"/>
  <c r="AZ261" i="6"/>
  <c r="BQ261" i="6"/>
  <c r="BQ287" i="6"/>
  <c r="AE134" i="6"/>
  <c r="AV134" i="6"/>
  <c r="AZ263" i="6"/>
  <c r="AZ265" i="6"/>
  <c r="BF262" i="6"/>
  <c r="AZ262" i="6"/>
  <c r="BF267" i="6"/>
  <c r="AZ267" i="6"/>
  <c r="BF287" i="6"/>
  <c r="AZ287" i="6"/>
  <c r="BF264" i="6"/>
  <c r="AZ264" i="6"/>
  <c r="BF266" i="6"/>
  <c r="AZ266" i="6"/>
  <c r="BF261" i="6"/>
  <c r="BL263" i="6"/>
  <c r="BF263" i="6"/>
  <c r="BL265" i="6"/>
  <c r="BF265" i="6"/>
  <c r="BL261" i="6"/>
  <c r="BL287" i="6"/>
  <c r="AQ134" i="6"/>
  <c r="AK134" i="6"/>
  <c r="BL267" i="6"/>
  <c r="BB264" i="6"/>
  <c r="BL264" i="6"/>
  <c r="BL266" i="6"/>
  <c r="BL262" i="6"/>
  <c r="BB265" i="6"/>
  <c r="AX152" i="6"/>
  <c r="AY263" i="6"/>
  <c r="BB263" i="6"/>
  <c r="AD134" i="6"/>
  <c r="AG134" i="6"/>
  <c r="BB287" i="6"/>
  <c r="AY266" i="6"/>
  <c r="BB266" i="6"/>
  <c r="AY267" i="6"/>
  <c r="BB267" i="6"/>
  <c r="AY262" i="6"/>
  <c r="BB262" i="6"/>
  <c r="AY287" i="6"/>
  <c r="AY261" i="6"/>
  <c r="BB261" i="6"/>
  <c r="AX151" i="6"/>
  <c r="AY264" i="6"/>
  <c r="AY265" i="6"/>
  <c r="BH151" i="6"/>
  <c r="BC287" i="6"/>
  <c r="AF214" i="6"/>
  <c r="AB139" i="6"/>
  <c r="AF139" i="6" s="1"/>
  <c r="AB64" i="6"/>
  <c r="AH64" i="6" s="1"/>
  <c r="AC50" i="6"/>
  <c r="AB137" i="6"/>
  <c r="AC137" i="6" s="1"/>
  <c r="AW49" i="6"/>
  <c r="AB202" i="6"/>
  <c r="AH202" i="6" s="1"/>
  <c r="AB145" i="6"/>
  <c r="AC145" i="6" s="1"/>
  <c r="AB201" i="6"/>
  <c r="AH201" i="6" s="1"/>
  <c r="AB142" i="6"/>
  <c r="AW142" i="6" s="1"/>
  <c r="AB32" i="6"/>
  <c r="AW32" i="6" s="1"/>
  <c r="AB63" i="6"/>
  <c r="AI63" i="6" s="1"/>
  <c r="AM212" i="6"/>
  <c r="AD148" i="6"/>
  <c r="AD57" i="6"/>
  <c r="AB43" i="6"/>
  <c r="AC43" i="6" s="1"/>
  <c r="AB62" i="6"/>
  <c r="AS62" i="6" s="1"/>
  <c r="AB205" i="6"/>
  <c r="AC205" i="6" s="1"/>
  <c r="AB225" i="6"/>
  <c r="AR225" i="6" s="1"/>
  <c r="AB197" i="6"/>
  <c r="AR197" i="6" s="1"/>
  <c r="AU146" i="6"/>
  <c r="AW56" i="6"/>
  <c r="AB42" i="6"/>
  <c r="AF42" i="6" s="1"/>
  <c r="AB61" i="6"/>
  <c r="AN61" i="6" s="1"/>
  <c r="AD219" i="6"/>
  <c r="AN218" i="6"/>
  <c r="AB224" i="6"/>
  <c r="AI224" i="6" s="1"/>
  <c r="AD55" i="6"/>
  <c r="AB60" i="6"/>
  <c r="AI60" i="6" s="1"/>
  <c r="AB206" i="6"/>
  <c r="AC206" i="6" s="1"/>
  <c r="AB203" i="6"/>
  <c r="AC203" i="6" s="1"/>
  <c r="AB46" i="6"/>
  <c r="AS46" i="6" s="1"/>
  <c r="AB199" i="6"/>
  <c r="AR199" i="6" s="1"/>
  <c r="AB223" i="6"/>
  <c r="AD223" i="6" s="1"/>
  <c r="AB136" i="6"/>
  <c r="AU136" i="6" s="1"/>
  <c r="AI54" i="6"/>
  <c r="AB220" i="6"/>
  <c r="AC220" i="6" s="1"/>
  <c r="AB144" i="6"/>
  <c r="AR144" i="6" s="1"/>
  <c r="AB36" i="6"/>
  <c r="AC36" i="6" s="1"/>
  <c r="AI208" i="6"/>
  <c r="AB140" i="6"/>
  <c r="AM140" i="6" s="1"/>
  <c r="AM53" i="6"/>
  <c r="AB39" i="6"/>
  <c r="AI39" i="6" s="1"/>
  <c r="AB207" i="6"/>
  <c r="AW207" i="6" s="1"/>
  <c r="AB193" i="6"/>
  <c r="AC193" i="6" s="1"/>
  <c r="BH287" i="6"/>
  <c r="BA287" i="6"/>
  <c r="BJ287" i="6"/>
  <c r="BD287" i="6"/>
  <c r="BP287" i="6"/>
  <c r="BK287" i="6"/>
  <c r="BR287" i="6"/>
  <c r="BI287" i="6"/>
  <c r="BE287" i="6"/>
  <c r="BN287" i="6"/>
  <c r="BM287" i="6"/>
  <c r="BA261" i="6"/>
  <c r="BD261" i="6"/>
  <c r="BE261" i="6"/>
  <c r="BH261" i="6"/>
  <c r="BJ261" i="6"/>
  <c r="BC261" i="6"/>
  <c r="BI261" i="6"/>
  <c r="BN261" i="6"/>
  <c r="BP261" i="6"/>
  <c r="BR261" i="6"/>
  <c r="BK261" i="6"/>
  <c r="BM261" i="6"/>
  <c r="BD262" i="6"/>
  <c r="BH262" i="6"/>
  <c r="BI262" i="6"/>
  <c r="BJ262" i="6"/>
  <c r="BM262" i="6"/>
  <c r="BP262" i="6"/>
  <c r="BR262" i="6"/>
  <c r="BA262" i="6"/>
  <c r="BC262" i="6"/>
  <c r="BE262" i="6"/>
  <c r="BK262" i="6"/>
  <c r="BN262" i="6"/>
  <c r="BJ264" i="6"/>
  <c r="BM264" i="6"/>
  <c r="BN264" i="6"/>
  <c r="BP264" i="6"/>
  <c r="BI264" i="6"/>
  <c r="BK264" i="6"/>
  <c r="BR264" i="6"/>
  <c r="BC264" i="6"/>
  <c r="BD264" i="6"/>
  <c r="BE264" i="6"/>
  <c r="BH264" i="6"/>
  <c r="BA264" i="6"/>
  <c r="BP266" i="6"/>
  <c r="BA266" i="6"/>
  <c r="BD266" i="6"/>
  <c r="BI266" i="6"/>
  <c r="BJ266" i="6"/>
  <c r="BK266" i="6"/>
  <c r="BM266" i="6"/>
  <c r="BN266" i="6"/>
  <c r="BR266" i="6"/>
  <c r="BH266" i="6"/>
  <c r="BC266" i="6"/>
  <c r="BE266" i="6"/>
  <c r="BA267" i="6"/>
  <c r="BC267" i="6"/>
  <c r="BD267" i="6"/>
  <c r="BH267" i="6"/>
  <c r="BE267" i="6"/>
  <c r="BI267" i="6"/>
  <c r="BJ267" i="6"/>
  <c r="BN267" i="6"/>
  <c r="BK267" i="6"/>
  <c r="BM267" i="6"/>
  <c r="BP267" i="6"/>
  <c r="BR267" i="6"/>
  <c r="BH263" i="6"/>
  <c r="BJ263" i="6"/>
  <c r="BK263" i="6"/>
  <c r="BM263" i="6"/>
  <c r="BP263" i="6"/>
  <c r="BA263" i="6"/>
  <c r="BC263" i="6"/>
  <c r="BD263" i="6"/>
  <c r="BR263" i="6"/>
  <c r="BI263" i="6"/>
  <c r="BE263" i="6"/>
  <c r="BN263" i="6"/>
  <c r="BM265" i="6"/>
  <c r="BP265" i="6"/>
  <c r="BR265" i="6"/>
  <c r="BA265" i="6"/>
  <c r="BC265" i="6"/>
  <c r="BD265" i="6"/>
  <c r="BE265" i="6"/>
  <c r="BI265" i="6"/>
  <c r="BH265" i="6"/>
  <c r="BJ265" i="6"/>
  <c r="BK265" i="6"/>
  <c r="BN265" i="6"/>
  <c r="AX262" i="6"/>
  <c r="AX261" i="6"/>
  <c r="AX264" i="6"/>
  <c r="AX265" i="6"/>
  <c r="F63" i="6"/>
  <c r="AX266" i="6"/>
  <c r="AX263" i="6"/>
  <c r="F150" i="6"/>
  <c r="F58" i="6"/>
  <c r="AX267" i="6"/>
  <c r="AX287" i="6"/>
  <c r="F147" i="6"/>
  <c r="F48" i="6"/>
  <c r="F34" i="6"/>
  <c r="F54" i="6"/>
  <c r="F47" i="6"/>
  <c r="F42" i="6"/>
  <c r="F139" i="6"/>
  <c r="F46" i="6"/>
  <c r="F39" i="6"/>
  <c r="F143" i="6"/>
  <c r="F57" i="6"/>
  <c r="AB59" i="6"/>
  <c r="AO59" i="6" s="1"/>
  <c r="F62" i="6"/>
  <c r="F35" i="6"/>
  <c r="F61" i="6"/>
  <c r="F144" i="6"/>
  <c r="F60" i="6"/>
  <c r="F146" i="6"/>
  <c r="F40" i="6"/>
  <c r="F59" i="6"/>
  <c r="F53" i="6"/>
  <c r="F33" i="6"/>
  <c r="F64" i="6"/>
  <c r="F45" i="6"/>
  <c r="F44" i="6"/>
  <c r="F32" i="6"/>
  <c r="F136" i="6"/>
  <c r="F51" i="6"/>
  <c r="F138" i="6"/>
  <c r="F43" i="6"/>
  <c r="F142" i="6"/>
  <c r="F56" i="6"/>
  <c r="F135" i="6"/>
  <c r="F37" i="6"/>
  <c r="F36" i="6"/>
  <c r="F52" i="6"/>
  <c r="F41" i="6"/>
  <c r="F148" i="6"/>
  <c r="F50" i="6"/>
  <c r="F55" i="6"/>
  <c r="F49" i="6"/>
  <c r="F145" i="6"/>
  <c r="F38" i="6"/>
  <c r="AB35" i="6"/>
  <c r="AU35" i="6" s="1"/>
  <c r="AM52" i="6"/>
  <c r="AB45" i="6"/>
  <c r="AI45" i="6" s="1"/>
  <c r="AB38" i="6"/>
  <c r="AN38" i="6" s="1"/>
  <c r="AC58" i="6"/>
  <c r="AC51" i="6"/>
  <c r="AB44" i="6"/>
  <c r="AC44" i="6" s="1"/>
  <c r="AB37" i="6"/>
  <c r="AC37" i="6" s="1"/>
  <c r="AP48" i="6"/>
  <c r="AB41" i="6"/>
  <c r="AR41" i="6" s="1"/>
  <c r="AB34" i="6"/>
  <c r="AD34" i="6" s="1"/>
  <c r="AU47" i="6"/>
  <c r="AB40" i="6"/>
  <c r="AF40" i="6" s="1"/>
  <c r="AB33" i="6"/>
  <c r="AU33" i="6" s="1"/>
  <c r="F141" i="6"/>
  <c r="F149" i="6"/>
  <c r="F140" i="6"/>
  <c r="AS211" i="6"/>
  <c r="AS209" i="6"/>
  <c r="F134" i="6"/>
  <c r="F137" i="6"/>
  <c r="AW134" i="6"/>
  <c r="AC134" i="6"/>
  <c r="AM134" i="6"/>
  <c r="AJ134" i="6"/>
  <c r="AP134" i="6"/>
  <c r="AN134" i="6"/>
  <c r="AO134" i="6"/>
  <c r="AR134" i="6"/>
  <c r="AS134" i="6"/>
  <c r="AU134" i="6"/>
  <c r="AF147" i="6"/>
  <c r="AB141" i="6"/>
  <c r="AP141" i="6" s="1"/>
  <c r="AP150" i="6"/>
  <c r="AB138" i="6"/>
  <c r="AP138" i="6" s="1"/>
  <c r="AI134" i="6"/>
  <c r="AH134" i="6"/>
  <c r="AS149" i="6"/>
  <c r="AB143" i="6"/>
  <c r="AU143" i="6" s="1"/>
  <c r="AB135" i="6"/>
  <c r="AS135" i="6" s="1"/>
  <c r="AF134" i="6"/>
  <c r="AB221" i="6"/>
  <c r="AC221" i="6" s="1"/>
  <c r="AM213" i="6"/>
  <c r="AP210" i="6"/>
  <c r="AB196" i="6"/>
  <c r="AW196" i="6" s="1"/>
  <c r="AB195" i="6"/>
  <c r="AC195" i="6" s="1"/>
  <c r="F30" i="6"/>
  <c r="AB194" i="6"/>
  <c r="AU194" i="6" s="1"/>
  <c r="AB222" i="6"/>
  <c r="AH222" i="6" s="1"/>
  <c r="AB200" i="6"/>
  <c r="AM200" i="6" s="1"/>
  <c r="AF215" i="6"/>
  <c r="AB198" i="6"/>
  <c r="AP198" i="6" s="1"/>
  <c r="AS217" i="6"/>
  <c r="AB204" i="6"/>
  <c r="AF204" i="6" s="1"/>
  <c r="BA204" i="6" s="1"/>
  <c r="AH216" i="6"/>
  <c r="F26" i="6"/>
  <c r="F27" i="6"/>
  <c r="F24" i="6"/>
  <c r="F29" i="6"/>
  <c r="F25" i="6"/>
  <c r="F28" i="6"/>
  <c r="BP194" i="6" l="1"/>
  <c r="BN209" i="6"/>
  <c r="BM197" i="6"/>
  <c r="BA215" i="6"/>
  <c r="BC202" i="6"/>
  <c r="BD208" i="6"/>
  <c r="BC216" i="6"/>
  <c r="BK198" i="6"/>
  <c r="BG134" i="6"/>
  <c r="BH200" i="6"/>
  <c r="BM199" i="6"/>
  <c r="BC201" i="6"/>
  <c r="BN211" i="6"/>
  <c r="BR207" i="6"/>
  <c r="AY223" i="6"/>
  <c r="BR196" i="6"/>
  <c r="BK210" i="6"/>
  <c r="BI218" i="6"/>
  <c r="BC222" i="6"/>
  <c r="BM225" i="6"/>
  <c r="BN217" i="6"/>
  <c r="BA214" i="6"/>
  <c r="BH213" i="6"/>
  <c r="BD224" i="6"/>
  <c r="BH212" i="6"/>
  <c r="AY219" i="6"/>
  <c r="AL220" i="6"/>
  <c r="BG220" i="6" s="1"/>
  <c r="AL219" i="6"/>
  <c r="BG219" i="6" s="1"/>
  <c r="AL37" i="6"/>
  <c r="BG37" i="6" s="1"/>
  <c r="AL199" i="6"/>
  <c r="BG199" i="6" s="1"/>
  <c r="AT199" i="6"/>
  <c r="BO199" i="6" s="1"/>
  <c r="AL40" i="6"/>
  <c r="BG40" i="6" s="1"/>
  <c r="AL214" i="6"/>
  <c r="BG214" i="6" s="1"/>
  <c r="AL145" i="6"/>
  <c r="BG145" i="6" s="1"/>
  <c r="AL51" i="6"/>
  <c r="BG51" i="6" s="1"/>
  <c r="AT50" i="6"/>
  <c r="BO50" i="6" s="1"/>
  <c r="AL216" i="6"/>
  <c r="BG216" i="6" s="1"/>
  <c r="AL207" i="6"/>
  <c r="BG207" i="6" s="1"/>
  <c r="AL54" i="6"/>
  <c r="BG54" i="6" s="1"/>
  <c r="AL202" i="6"/>
  <c r="BG202" i="6" s="1"/>
  <c r="AL221" i="6"/>
  <c r="BG221" i="6" s="1"/>
  <c r="AL136" i="6"/>
  <c r="BG136" i="6" s="1"/>
  <c r="AV37" i="6"/>
  <c r="BQ37" i="6" s="1"/>
  <c r="AL217" i="6"/>
  <c r="BG217" i="6" s="1"/>
  <c r="AL60" i="6"/>
  <c r="BG60" i="6" s="1"/>
  <c r="AL197" i="6"/>
  <c r="BG197" i="6" s="1"/>
  <c r="AL56" i="6"/>
  <c r="BG56" i="6" s="1"/>
  <c r="AL49" i="6"/>
  <c r="BG49" i="6" s="1"/>
  <c r="AL44" i="6"/>
  <c r="BG44" i="6" s="1"/>
  <c r="AL137" i="6"/>
  <c r="BG137" i="6" s="1"/>
  <c r="AL59" i="6"/>
  <c r="BG59" i="6" s="1"/>
  <c r="AL150" i="6"/>
  <c r="BG150" i="6" s="1"/>
  <c r="AT47" i="6"/>
  <c r="BO47" i="6" s="1"/>
  <c r="AL205" i="6"/>
  <c r="BG205" i="6" s="1"/>
  <c r="AL194" i="6"/>
  <c r="BG194" i="6" s="1"/>
  <c r="AL222" i="6"/>
  <c r="BG222" i="6" s="1"/>
  <c r="AT194" i="6"/>
  <c r="BO194" i="6" s="1"/>
  <c r="AL46" i="6"/>
  <c r="BG46" i="6" s="1"/>
  <c r="AL223" i="6"/>
  <c r="BG223" i="6" s="1"/>
  <c r="AL148" i="6"/>
  <c r="BG148" i="6" s="1"/>
  <c r="AT222" i="6"/>
  <c r="BO222" i="6" s="1"/>
  <c r="AL47" i="6"/>
  <c r="BG47" i="6" s="1"/>
  <c r="AL41" i="6"/>
  <c r="BG41" i="6" s="1"/>
  <c r="AL149" i="6"/>
  <c r="BG149" i="6" s="1"/>
  <c r="AL39" i="6"/>
  <c r="BG39" i="6" s="1"/>
  <c r="AL139" i="6"/>
  <c r="BG139" i="6" s="1"/>
  <c r="AL35" i="6"/>
  <c r="BG35" i="6" s="1"/>
  <c r="AL55" i="6"/>
  <c r="BG55" i="6" s="1"/>
  <c r="AL210" i="6"/>
  <c r="BG210" i="6" s="1"/>
  <c r="AL212" i="6"/>
  <c r="BG212" i="6" s="1"/>
  <c r="AL204" i="6"/>
  <c r="BG204" i="6" s="1"/>
  <c r="AL53" i="6"/>
  <c r="BG53" i="6" s="1"/>
  <c r="AL142" i="6"/>
  <c r="BG142" i="6" s="1"/>
  <c r="AL218" i="6"/>
  <c r="BG218" i="6" s="1"/>
  <c r="AL143" i="6"/>
  <c r="BG143" i="6" s="1"/>
  <c r="AL147" i="6"/>
  <c r="BG147" i="6" s="1"/>
  <c r="AL32" i="6"/>
  <c r="BG32" i="6" s="1"/>
  <c r="AL206" i="6"/>
  <c r="BG206" i="6" s="1"/>
  <c r="AL215" i="6"/>
  <c r="BG215" i="6" s="1"/>
  <c r="AL64" i="6"/>
  <c r="BG64" i="6" s="1"/>
  <c r="AL38" i="6"/>
  <c r="BG38" i="6" s="1"/>
  <c r="AL61" i="6"/>
  <c r="BG61" i="6" s="1"/>
  <c r="AL45" i="6"/>
  <c r="BG45" i="6" s="1"/>
  <c r="AL195" i="6"/>
  <c r="BG195" i="6" s="1"/>
  <c r="AL211" i="6"/>
  <c r="BG211" i="6" s="1"/>
  <c r="AL63" i="6"/>
  <c r="BG63" i="6" s="1"/>
  <c r="AL43" i="6"/>
  <c r="BG43" i="6" s="1"/>
  <c r="AL196" i="6"/>
  <c r="BG196" i="6" s="1"/>
  <c r="AL209" i="6"/>
  <c r="BG209" i="6" s="1"/>
  <c r="AL34" i="6"/>
  <c r="BG34" i="6" s="1"/>
  <c r="AL36" i="6"/>
  <c r="BG36" i="6" s="1"/>
  <c r="AL52" i="6"/>
  <c r="BG52" i="6" s="1"/>
  <c r="AL135" i="6"/>
  <c r="BG135" i="6" s="1"/>
  <c r="AL146" i="6"/>
  <c r="BG146" i="6" s="1"/>
  <c r="AL200" i="6"/>
  <c r="BG200" i="6" s="1"/>
  <c r="AL140" i="6"/>
  <c r="BG140" i="6" s="1"/>
  <c r="AT203" i="6"/>
  <c r="BO203" i="6" s="1"/>
  <c r="AL208" i="6"/>
  <c r="BG208" i="6" s="1"/>
  <c r="AL48" i="6"/>
  <c r="BG48" i="6" s="1"/>
  <c r="AL50" i="6"/>
  <c r="BG50" i="6" s="1"/>
  <c r="AL138" i="6"/>
  <c r="BG138" i="6" s="1"/>
  <c r="AL213" i="6"/>
  <c r="BG213" i="6" s="1"/>
  <c r="AL225" i="6"/>
  <c r="BG225" i="6" s="1"/>
  <c r="AL42" i="6"/>
  <c r="BG42" i="6" s="1"/>
  <c r="AL203" i="6"/>
  <c r="BG203" i="6" s="1"/>
  <c r="AL224" i="6"/>
  <c r="BG224" i="6" s="1"/>
  <c r="AL57" i="6"/>
  <c r="BG57" i="6" s="1"/>
  <c r="AT144" i="6"/>
  <c r="BO144" i="6" s="1"/>
  <c r="AL201" i="6"/>
  <c r="BG201" i="6" s="1"/>
  <c r="AL58" i="6"/>
  <c r="BG58" i="6" s="1"/>
  <c r="BO134" i="6"/>
  <c r="AL33" i="6"/>
  <c r="BG33" i="6" s="1"/>
  <c r="AL141" i="6"/>
  <c r="BG141" i="6" s="1"/>
  <c r="AL144" i="6"/>
  <c r="BG144" i="6" s="1"/>
  <c r="AL193" i="6"/>
  <c r="BG193" i="6" s="1"/>
  <c r="AL62" i="6"/>
  <c r="BG62" i="6" s="1"/>
  <c r="AL198" i="6"/>
  <c r="BG198" i="6" s="1"/>
  <c r="AT210" i="6"/>
  <c r="BO210" i="6" s="1"/>
  <c r="AV223" i="6"/>
  <c r="BQ223" i="6" s="1"/>
  <c r="AT43" i="6"/>
  <c r="BO43" i="6" s="1"/>
  <c r="AT148" i="6"/>
  <c r="BO148" i="6" s="1"/>
  <c r="AT45" i="6"/>
  <c r="BO45" i="6" s="1"/>
  <c r="AT60" i="6"/>
  <c r="BO60" i="6" s="1"/>
  <c r="AT150" i="6"/>
  <c r="BO150" i="6" s="1"/>
  <c r="AT46" i="6"/>
  <c r="BO46" i="6" s="1"/>
  <c r="AT208" i="6"/>
  <c r="BO208" i="6" s="1"/>
  <c r="AT139" i="6"/>
  <c r="BO139" i="6" s="1"/>
  <c r="AT40" i="6"/>
  <c r="BO40" i="6" s="1"/>
  <c r="AT214" i="6"/>
  <c r="BO214" i="6" s="1"/>
  <c r="AT142" i="6"/>
  <c r="BO142" i="6" s="1"/>
  <c r="AT55" i="6"/>
  <c r="BO55" i="6" s="1"/>
  <c r="AT32" i="6"/>
  <c r="BO32" i="6" s="1"/>
  <c r="AT52" i="6"/>
  <c r="BO52" i="6" s="1"/>
  <c r="AT224" i="6"/>
  <c r="BO224" i="6" s="1"/>
  <c r="AT51" i="6"/>
  <c r="BO51" i="6" s="1"/>
  <c r="AT195" i="6"/>
  <c r="BO195" i="6" s="1"/>
  <c r="AT61" i="6"/>
  <c r="BO61" i="6" s="1"/>
  <c r="AT216" i="6"/>
  <c r="BO216" i="6" s="1"/>
  <c r="AT209" i="6"/>
  <c r="BO209" i="6" s="1"/>
  <c r="AT211" i="6"/>
  <c r="BO211" i="6" s="1"/>
  <c r="AT36" i="6"/>
  <c r="BO36" i="6" s="1"/>
  <c r="AT147" i="6"/>
  <c r="BO147" i="6" s="1"/>
  <c r="AT196" i="6"/>
  <c r="BO196" i="6" s="1"/>
  <c r="AT62" i="6"/>
  <c r="BO62" i="6" s="1"/>
  <c r="AT33" i="6"/>
  <c r="BO33" i="6" s="1"/>
  <c r="AT59" i="6"/>
  <c r="BO59" i="6" s="1"/>
  <c r="AT146" i="6"/>
  <c r="BO146" i="6" s="1"/>
  <c r="AT41" i="6"/>
  <c r="BO41" i="6" s="1"/>
  <c r="AT215" i="6"/>
  <c r="BO215" i="6" s="1"/>
  <c r="AT42" i="6"/>
  <c r="BO42" i="6" s="1"/>
  <c r="AT145" i="6"/>
  <c r="BO145" i="6" s="1"/>
  <c r="AT38" i="6"/>
  <c r="BO38" i="6" s="1"/>
  <c r="AT57" i="6"/>
  <c r="BO57" i="6" s="1"/>
  <c r="AT217" i="6"/>
  <c r="BO217" i="6" s="1"/>
  <c r="AT48" i="6"/>
  <c r="BO48" i="6" s="1"/>
  <c r="AT197" i="6"/>
  <c r="BO197" i="6" s="1"/>
  <c r="AT201" i="6"/>
  <c r="BO201" i="6" s="1"/>
  <c r="AT56" i="6"/>
  <c r="BO56" i="6" s="1"/>
  <c r="AT63" i="6"/>
  <c r="BO63" i="6" s="1"/>
  <c r="AT141" i="6"/>
  <c r="BO141" i="6" s="1"/>
  <c r="AT205" i="6"/>
  <c r="BO205" i="6" s="1"/>
  <c r="AT136" i="6"/>
  <c r="BO136" i="6" s="1"/>
  <c r="AT138" i="6"/>
  <c r="BO138" i="6" s="1"/>
  <c r="AT34" i="6"/>
  <c r="BO34" i="6" s="1"/>
  <c r="AT225" i="6"/>
  <c r="BO225" i="6" s="1"/>
  <c r="AT198" i="6"/>
  <c r="BO198" i="6" s="1"/>
  <c r="AT44" i="6"/>
  <c r="BO44" i="6" s="1"/>
  <c r="AT35" i="6"/>
  <c r="BO35" i="6" s="1"/>
  <c r="AT219" i="6"/>
  <c r="BO219" i="6" s="1"/>
  <c r="AT143" i="6"/>
  <c r="BO143" i="6" s="1"/>
  <c r="AT193" i="6"/>
  <c r="BO193" i="6" s="1"/>
  <c r="AT212" i="6"/>
  <c r="BO212" i="6" s="1"/>
  <c r="AT149" i="6"/>
  <c r="BO149" i="6" s="1"/>
  <c r="AT49" i="6"/>
  <c r="BO49" i="6" s="1"/>
  <c r="AT207" i="6"/>
  <c r="BO207" i="6" s="1"/>
  <c r="AT39" i="6"/>
  <c r="BO39" i="6" s="1"/>
  <c r="AT213" i="6"/>
  <c r="BO213" i="6" s="1"/>
  <c r="AT137" i="6"/>
  <c r="BO137" i="6" s="1"/>
  <c r="AT206" i="6"/>
  <c r="BO206" i="6" s="1"/>
  <c r="AT221" i="6"/>
  <c r="BO221" i="6" s="1"/>
  <c r="AT53" i="6"/>
  <c r="BO53" i="6" s="1"/>
  <c r="AT54" i="6"/>
  <c r="BO54" i="6" s="1"/>
  <c r="AT58" i="6"/>
  <c r="BO58" i="6" s="1"/>
  <c r="AT204" i="6"/>
  <c r="BO204" i="6" s="1"/>
  <c r="AT220" i="6"/>
  <c r="BO220" i="6" s="1"/>
  <c r="AT200" i="6"/>
  <c r="BO200" i="6" s="1"/>
  <c r="AT37" i="6"/>
  <c r="BO37" i="6" s="1"/>
  <c r="AT140" i="6"/>
  <c r="BO140" i="6" s="1"/>
  <c r="AT223" i="6"/>
  <c r="BO223" i="6" s="1"/>
  <c r="AT135" i="6"/>
  <c r="BO135" i="6" s="1"/>
  <c r="AT64" i="6"/>
  <c r="BO64" i="6" s="1"/>
  <c r="AT218" i="6"/>
  <c r="BO218" i="6" s="1"/>
  <c r="AT202" i="6"/>
  <c r="BO202" i="6" s="1"/>
  <c r="AV143" i="6"/>
  <c r="BQ143" i="6" s="1"/>
  <c r="AV137" i="6"/>
  <c r="BQ137" i="6" s="1"/>
  <c r="AV225" i="6"/>
  <c r="BQ225" i="6" s="1"/>
  <c r="AV200" i="6"/>
  <c r="BQ200" i="6" s="1"/>
  <c r="AV41" i="6"/>
  <c r="BQ41" i="6" s="1"/>
  <c r="AV44" i="6"/>
  <c r="BQ44" i="6" s="1"/>
  <c r="AV55" i="6"/>
  <c r="BQ55" i="6" s="1"/>
  <c r="AV215" i="6"/>
  <c r="BQ215" i="6" s="1"/>
  <c r="AV53" i="6"/>
  <c r="BQ53" i="6" s="1"/>
  <c r="AV148" i="6"/>
  <c r="BQ148" i="6" s="1"/>
  <c r="AV198" i="6"/>
  <c r="BQ198" i="6" s="1"/>
  <c r="AV47" i="6"/>
  <c r="BQ47" i="6" s="1"/>
  <c r="AV145" i="6"/>
  <c r="BQ145" i="6" s="1"/>
  <c r="AV40" i="6"/>
  <c r="BQ40" i="6" s="1"/>
  <c r="AV34" i="6"/>
  <c r="BQ34" i="6" s="1"/>
  <c r="AV54" i="6"/>
  <c r="BQ54" i="6" s="1"/>
  <c r="AV199" i="6"/>
  <c r="BQ199" i="6" s="1"/>
  <c r="AV144" i="6"/>
  <c r="BQ144" i="6" s="1"/>
  <c r="AV61" i="6"/>
  <c r="BQ61" i="6" s="1"/>
  <c r="AV60" i="6"/>
  <c r="BQ60" i="6" s="1"/>
  <c r="AV42" i="6"/>
  <c r="BQ42" i="6" s="1"/>
  <c r="AV57" i="6"/>
  <c r="BQ57" i="6" s="1"/>
  <c r="AV142" i="6"/>
  <c r="BQ142" i="6" s="1"/>
  <c r="AZ134" i="6"/>
  <c r="BQ134" i="6"/>
  <c r="AV49" i="6"/>
  <c r="BQ49" i="6" s="1"/>
  <c r="AV146" i="6"/>
  <c r="BQ146" i="6" s="1"/>
  <c r="AV138" i="6"/>
  <c r="BQ138" i="6" s="1"/>
  <c r="AV135" i="6"/>
  <c r="BQ135" i="6" s="1"/>
  <c r="AV221" i="6"/>
  <c r="BQ221" i="6" s="1"/>
  <c r="AV149" i="6"/>
  <c r="BQ149" i="6" s="1"/>
  <c r="AV208" i="6"/>
  <c r="BQ208" i="6" s="1"/>
  <c r="AV195" i="6"/>
  <c r="BQ195" i="6" s="1"/>
  <c r="AV33" i="6"/>
  <c r="BQ33" i="6" s="1"/>
  <c r="AV204" i="6"/>
  <c r="BQ204" i="6" s="1"/>
  <c r="AV222" i="6"/>
  <c r="BQ222" i="6" s="1"/>
  <c r="AV211" i="6"/>
  <c r="BQ211" i="6" s="1"/>
  <c r="AV202" i="6"/>
  <c r="BQ202" i="6" s="1"/>
  <c r="AV147" i="6"/>
  <c r="BQ147" i="6" s="1"/>
  <c r="AV216" i="6"/>
  <c r="BQ216" i="6" s="1"/>
  <c r="AV196" i="6"/>
  <c r="BQ196" i="6" s="1"/>
  <c r="AV212" i="6"/>
  <c r="BQ212" i="6" s="1"/>
  <c r="AV213" i="6"/>
  <c r="BQ213" i="6" s="1"/>
  <c r="AV45" i="6"/>
  <c r="BQ45" i="6" s="1"/>
  <c r="AV36" i="6"/>
  <c r="BQ36" i="6" s="1"/>
  <c r="AV220" i="6"/>
  <c r="BQ220" i="6" s="1"/>
  <c r="AV209" i="6"/>
  <c r="BQ209" i="6" s="1"/>
  <c r="AV63" i="6"/>
  <c r="BQ63" i="6" s="1"/>
  <c r="AV51" i="6"/>
  <c r="BQ51" i="6" s="1"/>
  <c r="AV64" i="6"/>
  <c r="BQ64" i="6" s="1"/>
  <c r="AV206" i="6"/>
  <c r="BQ206" i="6" s="1"/>
  <c r="AV224" i="6"/>
  <c r="BQ224" i="6" s="1"/>
  <c r="AV136" i="6"/>
  <c r="BQ136" i="6" s="1"/>
  <c r="AV59" i="6"/>
  <c r="BQ59" i="6" s="1"/>
  <c r="AV50" i="6"/>
  <c r="BQ50" i="6" s="1"/>
  <c r="AV38" i="6"/>
  <c r="BQ38" i="6" s="1"/>
  <c r="AV35" i="6"/>
  <c r="BQ35" i="6" s="1"/>
  <c r="AV210" i="6"/>
  <c r="BQ210" i="6" s="1"/>
  <c r="AV139" i="6"/>
  <c r="BQ139" i="6" s="1"/>
  <c r="AV58" i="6"/>
  <c r="BQ58" i="6" s="1"/>
  <c r="AV194" i="6"/>
  <c r="BQ194" i="6" s="1"/>
  <c r="AV52" i="6"/>
  <c r="BQ52" i="6" s="1"/>
  <c r="AV32" i="6"/>
  <c r="BQ32" i="6" s="1"/>
  <c r="AV205" i="6"/>
  <c r="BQ205" i="6" s="1"/>
  <c r="AV218" i="6"/>
  <c r="BQ218" i="6" s="1"/>
  <c r="AV48" i="6"/>
  <c r="BQ48" i="6" s="1"/>
  <c r="AV150" i="6"/>
  <c r="BQ150" i="6" s="1"/>
  <c r="AV46" i="6"/>
  <c r="BQ46" i="6" s="1"/>
  <c r="AV219" i="6"/>
  <c r="BQ219" i="6" s="1"/>
  <c r="AV193" i="6"/>
  <c r="BQ193" i="6" s="1"/>
  <c r="AV39" i="6"/>
  <c r="BQ39" i="6" s="1"/>
  <c r="AV56" i="6"/>
  <c r="BQ56" i="6" s="1"/>
  <c r="AV203" i="6"/>
  <c r="BQ203" i="6" s="1"/>
  <c r="AV214" i="6"/>
  <c r="BQ214" i="6" s="1"/>
  <c r="AV207" i="6"/>
  <c r="BQ207" i="6" s="1"/>
  <c r="AV62" i="6"/>
  <c r="BQ62" i="6" s="1"/>
  <c r="AV141" i="6"/>
  <c r="BQ141" i="6" s="1"/>
  <c r="AV201" i="6"/>
  <c r="BQ201" i="6" s="1"/>
  <c r="AV140" i="6"/>
  <c r="BQ140" i="6" s="1"/>
  <c r="AV197" i="6"/>
  <c r="BQ197" i="6" s="1"/>
  <c r="AV43" i="6"/>
  <c r="BQ43" i="6" s="1"/>
  <c r="AV217" i="6"/>
  <c r="BQ217" i="6" s="1"/>
  <c r="AK218" i="6"/>
  <c r="BF218" i="6" s="1"/>
  <c r="AE36" i="6"/>
  <c r="AZ36" i="6" s="1"/>
  <c r="AE144" i="6"/>
  <c r="AZ144" i="6" s="1"/>
  <c r="AE60" i="6"/>
  <c r="AZ60" i="6" s="1"/>
  <c r="AE55" i="6"/>
  <c r="AZ55" i="6" s="1"/>
  <c r="AE218" i="6"/>
  <c r="AZ218" i="6" s="1"/>
  <c r="AE61" i="6"/>
  <c r="AZ61" i="6" s="1"/>
  <c r="AE52" i="6"/>
  <c r="AZ52" i="6" s="1"/>
  <c r="AE63" i="6"/>
  <c r="AZ63" i="6" s="1"/>
  <c r="AE203" i="6"/>
  <c r="AZ203" i="6" s="1"/>
  <c r="AE35" i="6"/>
  <c r="AZ35" i="6" s="1"/>
  <c r="AE62" i="6"/>
  <c r="AZ62" i="6" s="1"/>
  <c r="AE193" i="6"/>
  <c r="AZ193" i="6" s="1"/>
  <c r="AE150" i="6"/>
  <c r="AZ150" i="6" s="1"/>
  <c r="AE47" i="6"/>
  <c r="AZ47" i="6" s="1"/>
  <c r="AE33" i="6"/>
  <c r="AZ33" i="6" s="1"/>
  <c r="AE200" i="6"/>
  <c r="AZ200" i="6" s="1"/>
  <c r="AE148" i="6"/>
  <c r="AZ148" i="6" s="1"/>
  <c r="AE214" i="6"/>
  <c r="AZ214" i="6" s="1"/>
  <c r="AE40" i="6"/>
  <c r="AZ40" i="6" s="1"/>
  <c r="AE142" i="6"/>
  <c r="AZ142" i="6" s="1"/>
  <c r="AE204" i="6"/>
  <c r="AZ204" i="6" s="1"/>
  <c r="AE57" i="6"/>
  <c r="AZ57" i="6" s="1"/>
  <c r="AE212" i="6"/>
  <c r="AZ212" i="6" s="1"/>
  <c r="AE216" i="6"/>
  <c r="AZ216" i="6" s="1"/>
  <c r="AE53" i="6"/>
  <c r="AZ53" i="6" s="1"/>
  <c r="AE135" i="6"/>
  <c r="AZ135" i="6" s="1"/>
  <c r="AE207" i="6"/>
  <c r="AZ207" i="6" s="1"/>
  <c r="AE141" i="6"/>
  <c r="AZ141" i="6" s="1"/>
  <c r="AE208" i="6"/>
  <c r="AZ208" i="6" s="1"/>
  <c r="AE138" i="6"/>
  <c r="AZ138" i="6" s="1"/>
  <c r="AE140" i="6"/>
  <c r="AZ140" i="6" s="1"/>
  <c r="AE219" i="6"/>
  <c r="AZ219" i="6" s="1"/>
  <c r="AE206" i="6"/>
  <c r="AZ206" i="6" s="1"/>
  <c r="AE221" i="6"/>
  <c r="AZ221" i="6" s="1"/>
  <c r="AE139" i="6"/>
  <c r="AZ139" i="6" s="1"/>
  <c r="AE48" i="6"/>
  <c r="AZ48" i="6" s="1"/>
  <c r="AE202" i="6"/>
  <c r="AZ202" i="6" s="1"/>
  <c r="AE198" i="6"/>
  <c r="AZ198" i="6" s="1"/>
  <c r="AE147" i="6"/>
  <c r="AZ147" i="6" s="1"/>
  <c r="AE56" i="6"/>
  <c r="AZ56" i="6" s="1"/>
  <c r="AE217" i="6"/>
  <c r="AZ217" i="6" s="1"/>
  <c r="AE220" i="6"/>
  <c r="AZ220" i="6" s="1"/>
  <c r="AE201" i="6"/>
  <c r="AZ201" i="6" s="1"/>
  <c r="AE41" i="6"/>
  <c r="AZ41" i="6" s="1"/>
  <c r="AE44" i="6"/>
  <c r="AZ44" i="6" s="1"/>
  <c r="AE58" i="6"/>
  <c r="AZ58" i="6" s="1"/>
  <c r="AE34" i="6"/>
  <c r="AZ34" i="6" s="1"/>
  <c r="AE54" i="6"/>
  <c r="AZ54" i="6" s="1"/>
  <c r="AE196" i="6"/>
  <c r="AZ196" i="6" s="1"/>
  <c r="AE146" i="6"/>
  <c r="AZ146" i="6" s="1"/>
  <c r="AE149" i="6"/>
  <c r="AZ149" i="6" s="1"/>
  <c r="AE49" i="6"/>
  <c r="AZ49" i="6" s="1"/>
  <c r="AE205" i="6"/>
  <c r="AZ205" i="6" s="1"/>
  <c r="AE211" i="6"/>
  <c r="AZ211" i="6" s="1"/>
  <c r="AE213" i="6"/>
  <c r="AZ213" i="6" s="1"/>
  <c r="AE64" i="6"/>
  <c r="AZ64" i="6" s="1"/>
  <c r="AE39" i="6"/>
  <c r="AZ39" i="6" s="1"/>
  <c r="AE37" i="6"/>
  <c r="AZ37" i="6" s="1"/>
  <c r="AE137" i="6"/>
  <c r="AZ137" i="6" s="1"/>
  <c r="AE38" i="6"/>
  <c r="AZ38" i="6" s="1"/>
  <c r="AK34" i="6"/>
  <c r="BF34" i="6" s="1"/>
  <c r="AE209" i="6"/>
  <c r="AZ209" i="6" s="1"/>
  <c r="AE225" i="6"/>
  <c r="AZ225" i="6" s="1"/>
  <c r="AE45" i="6"/>
  <c r="AZ45" i="6" s="1"/>
  <c r="AE32" i="6"/>
  <c r="AZ32" i="6" s="1"/>
  <c r="AE51" i="6"/>
  <c r="AZ51" i="6" s="1"/>
  <c r="AK41" i="6"/>
  <c r="BF41" i="6" s="1"/>
  <c r="AE222" i="6"/>
  <c r="AZ222" i="6" s="1"/>
  <c r="AE215" i="6"/>
  <c r="AZ215" i="6" s="1"/>
  <c r="AE42" i="6"/>
  <c r="AZ42" i="6" s="1"/>
  <c r="AE50" i="6"/>
  <c r="AZ50" i="6" s="1"/>
  <c r="AK149" i="6"/>
  <c r="BF149" i="6" s="1"/>
  <c r="AE136" i="6"/>
  <c r="AZ136" i="6" s="1"/>
  <c r="AE210" i="6"/>
  <c r="AZ210" i="6" s="1"/>
  <c r="AE197" i="6"/>
  <c r="AZ197" i="6" s="1"/>
  <c r="AE199" i="6"/>
  <c r="AZ199" i="6" s="1"/>
  <c r="AE194" i="6"/>
  <c r="AZ194" i="6" s="1"/>
  <c r="AK215" i="6"/>
  <c r="BF215" i="6" s="1"/>
  <c r="AE195" i="6"/>
  <c r="AZ195" i="6" s="1"/>
  <c r="AE224" i="6"/>
  <c r="AZ224" i="6" s="1"/>
  <c r="AK204" i="6"/>
  <c r="BF204" i="6" s="1"/>
  <c r="AE223" i="6"/>
  <c r="AZ223" i="6" s="1"/>
  <c r="AE43" i="6"/>
  <c r="AZ43" i="6" s="1"/>
  <c r="AE145" i="6"/>
  <c r="AZ145" i="6" s="1"/>
  <c r="AE59" i="6"/>
  <c r="AZ59" i="6" s="1"/>
  <c r="AE46" i="6"/>
  <c r="AZ46" i="6" s="1"/>
  <c r="AE143" i="6"/>
  <c r="AZ143" i="6" s="1"/>
  <c r="AI207" i="6"/>
  <c r="BD207" i="6" s="1"/>
  <c r="AK43" i="6"/>
  <c r="BF43" i="6" s="1"/>
  <c r="AK143" i="6"/>
  <c r="BF143" i="6" s="1"/>
  <c r="AK39" i="6"/>
  <c r="BF39" i="6" s="1"/>
  <c r="AK37" i="6"/>
  <c r="BF37" i="6" s="1"/>
  <c r="AS206" i="6"/>
  <c r="BN206" i="6" s="1"/>
  <c r="AK135" i="6"/>
  <c r="BF135" i="6" s="1"/>
  <c r="AQ199" i="6"/>
  <c r="BL199" i="6" s="1"/>
  <c r="AD199" i="6"/>
  <c r="AY199" i="6" s="1"/>
  <c r="AQ207" i="6"/>
  <c r="BL207" i="6" s="1"/>
  <c r="AK35" i="6"/>
  <c r="BF35" i="6" s="1"/>
  <c r="AK46" i="6"/>
  <c r="BF46" i="6" s="1"/>
  <c r="AD46" i="6"/>
  <c r="AY46" i="6" s="1"/>
  <c r="AK142" i="6"/>
  <c r="BF142" i="6" s="1"/>
  <c r="AK209" i="6"/>
  <c r="BF209" i="6" s="1"/>
  <c r="AK199" i="6"/>
  <c r="BF199" i="6" s="1"/>
  <c r="AK40" i="6"/>
  <c r="BF40" i="6" s="1"/>
  <c r="AK49" i="6"/>
  <c r="BF49" i="6" s="1"/>
  <c r="AK64" i="6"/>
  <c r="BF64" i="6" s="1"/>
  <c r="AK216" i="6"/>
  <c r="BF216" i="6" s="1"/>
  <c r="AK208" i="6"/>
  <c r="BF208" i="6" s="1"/>
  <c r="AK205" i="6"/>
  <c r="BF205" i="6" s="1"/>
  <c r="AK59" i="6"/>
  <c r="BF59" i="6" s="1"/>
  <c r="AK48" i="6"/>
  <c r="BF48" i="6" s="1"/>
  <c r="AK193" i="6"/>
  <c r="BF193" i="6" s="1"/>
  <c r="AK223" i="6"/>
  <c r="BF223" i="6" s="1"/>
  <c r="AK139" i="6"/>
  <c r="BF139" i="6" s="1"/>
  <c r="AK217" i="6"/>
  <c r="BF217" i="6" s="1"/>
  <c r="BL134" i="6"/>
  <c r="BF134" i="6"/>
  <c r="AF62" i="6"/>
  <c r="BA62" i="6" s="1"/>
  <c r="AK224" i="6"/>
  <c r="BF224" i="6" s="1"/>
  <c r="AK200" i="6"/>
  <c r="BF200" i="6" s="1"/>
  <c r="AK137" i="6"/>
  <c r="BF137" i="6" s="1"/>
  <c r="AK53" i="6"/>
  <c r="BF53" i="6" s="1"/>
  <c r="AK62" i="6"/>
  <c r="BF62" i="6" s="1"/>
  <c r="AK203" i="6"/>
  <c r="BF203" i="6" s="1"/>
  <c r="AK194" i="6"/>
  <c r="BF194" i="6" s="1"/>
  <c r="AK45" i="6"/>
  <c r="BF45" i="6" s="1"/>
  <c r="AK201" i="6"/>
  <c r="BF201" i="6" s="1"/>
  <c r="AK141" i="6"/>
  <c r="BF141" i="6" s="1"/>
  <c r="AK51" i="6"/>
  <c r="BF51" i="6" s="1"/>
  <c r="AK138" i="6"/>
  <c r="BF138" i="6" s="1"/>
  <c r="AK196" i="6"/>
  <c r="BF196" i="6" s="1"/>
  <c r="AK44" i="6"/>
  <c r="BF44" i="6" s="1"/>
  <c r="AK150" i="6"/>
  <c r="BF150" i="6" s="1"/>
  <c r="AF60" i="6"/>
  <c r="BA60" i="6" s="1"/>
  <c r="AK57" i="6"/>
  <c r="BF57" i="6" s="1"/>
  <c r="AS60" i="6"/>
  <c r="BN60" i="6" s="1"/>
  <c r="AK56" i="6"/>
  <c r="BF56" i="6" s="1"/>
  <c r="AK213" i="6"/>
  <c r="BF213" i="6" s="1"/>
  <c r="AK207" i="6"/>
  <c r="BF207" i="6" s="1"/>
  <c r="AK63" i="6"/>
  <c r="BF63" i="6" s="1"/>
  <c r="AU54" i="6"/>
  <c r="BP54" i="6" s="1"/>
  <c r="AK52" i="6"/>
  <c r="BF52" i="6" s="1"/>
  <c r="AP60" i="6"/>
  <c r="BK60" i="6" s="1"/>
  <c r="AQ140" i="6"/>
  <c r="BL140" i="6" s="1"/>
  <c r="AK146" i="6"/>
  <c r="BF146" i="6" s="1"/>
  <c r="AK148" i="6"/>
  <c r="BF148" i="6" s="1"/>
  <c r="AK219" i="6"/>
  <c r="BF219" i="6" s="1"/>
  <c r="AK33" i="6"/>
  <c r="BF33" i="6" s="1"/>
  <c r="AK140" i="6"/>
  <c r="BF140" i="6" s="1"/>
  <c r="AK221" i="6"/>
  <c r="BF221" i="6" s="1"/>
  <c r="AK58" i="6"/>
  <c r="BF58" i="6" s="1"/>
  <c r="AK61" i="6"/>
  <c r="BF61" i="6" s="1"/>
  <c r="AK42" i="6"/>
  <c r="BF42" i="6" s="1"/>
  <c r="AR60" i="6"/>
  <c r="BM60" i="6" s="1"/>
  <c r="AQ146" i="6"/>
  <c r="BL146" i="6" s="1"/>
  <c r="AK197" i="6"/>
  <c r="BF197" i="6" s="1"/>
  <c r="AK198" i="6"/>
  <c r="BF198" i="6" s="1"/>
  <c r="AK50" i="6"/>
  <c r="BF50" i="6" s="1"/>
  <c r="AK220" i="6"/>
  <c r="BF220" i="6" s="1"/>
  <c r="AK47" i="6"/>
  <c r="BF47" i="6" s="1"/>
  <c r="AK222" i="6"/>
  <c r="BF222" i="6" s="1"/>
  <c r="AK38" i="6"/>
  <c r="BF38" i="6" s="1"/>
  <c r="AK210" i="6"/>
  <c r="BF210" i="6" s="1"/>
  <c r="AJ214" i="6"/>
  <c r="BE214" i="6" s="1"/>
  <c r="AH60" i="6"/>
  <c r="BC60" i="6" s="1"/>
  <c r="AC60" i="6"/>
  <c r="AK211" i="6"/>
  <c r="BF211" i="6" s="1"/>
  <c r="AK212" i="6"/>
  <c r="BF212" i="6" s="1"/>
  <c r="AK144" i="6"/>
  <c r="BF144" i="6" s="1"/>
  <c r="AK145" i="6"/>
  <c r="BF145" i="6" s="1"/>
  <c r="AK54" i="6"/>
  <c r="BF54" i="6" s="1"/>
  <c r="AK195" i="6"/>
  <c r="BF195" i="6" s="1"/>
  <c r="AK60" i="6"/>
  <c r="BF60" i="6" s="1"/>
  <c r="AK55" i="6"/>
  <c r="BF55" i="6" s="1"/>
  <c r="AK36" i="6"/>
  <c r="BF36" i="6" s="1"/>
  <c r="AK214" i="6"/>
  <c r="BF214" i="6" s="1"/>
  <c r="AK225" i="6"/>
  <c r="BF225" i="6" s="1"/>
  <c r="AK206" i="6"/>
  <c r="BF206" i="6" s="1"/>
  <c r="AK32" i="6"/>
  <c r="BF32" i="6" s="1"/>
  <c r="AK202" i="6"/>
  <c r="BF202" i="6" s="1"/>
  <c r="AK136" i="6"/>
  <c r="BF136" i="6" s="1"/>
  <c r="AK147" i="6"/>
  <c r="BF147" i="6" s="1"/>
  <c r="AS142" i="6"/>
  <c r="BN142" i="6" s="1"/>
  <c r="AQ206" i="6"/>
  <c r="BL206" i="6" s="1"/>
  <c r="AP62" i="6"/>
  <c r="BK62" i="6" s="1"/>
  <c r="AG58" i="6"/>
  <c r="BB58" i="6" s="1"/>
  <c r="AR54" i="6"/>
  <c r="BM54" i="6" s="1"/>
  <c r="AC201" i="6"/>
  <c r="AC54" i="6"/>
  <c r="AQ60" i="6"/>
  <c r="BL60" i="6" s="1"/>
  <c r="AN201" i="6"/>
  <c r="BI201" i="6" s="1"/>
  <c r="AQ45" i="6"/>
  <c r="BL45" i="6" s="1"/>
  <c r="AI219" i="6"/>
  <c r="BD219" i="6" s="1"/>
  <c r="AQ214" i="6"/>
  <c r="BL214" i="6" s="1"/>
  <c r="AR201" i="6"/>
  <c r="BM201" i="6" s="1"/>
  <c r="AF57" i="6"/>
  <c r="BA57" i="6" s="1"/>
  <c r="AO60" i="6"/>
  <c r="BJ60" i="6" s="1"/>
  <c r="AQ61" i="6"/>
  <c r="BL61" i="6" s="1"/>
  <c r="AQ201" i="6"/>
  <c r="BL201" i="6" s="1"/>
  <c r="AQ51" i="6"/>
  <c r="BL51" i="6" s="1"/>
  <c r="AQ143" i="6"/>
  <c r="BL143" i="6" s="1"/>
  <c r="AQ215" i="6"/>
  <c r="BL215" i="6" s="1"/>
  <c r="AP219" i="6"/>
  <c r="BK219" i="6" s="1"/>
  <c r="AW219" i="6"/>
  <c r="BR219" i="6" s="1"/>
  <c r="AQ41" i="6"/>
  <c r="BL41" i="6" s="1"/>
  <c r="AQ145" i="6"/>
  <c r="BL145" i="6" s="1"/>
  <c r="AG224" i="6"/>
  <c r="BB224" i="6" s="1"/>
  <c r="AP144" i="6"/>
  <c r="BK144" i="6" s="1"/>
  <c r="AQ194" i="6"/>
  <c r="BL194" i="6" s="1"/>
  <c r="AQ148" i="6"/>
  <c r="BL148" i="6" s="1"/>
  <c r="AQ54" i="6"/>
  <c r="BL54" i="6" s="1"/>
  <c r="AG47" i="6"/>
  <c r="BB47" i="6" s="1"/>
  <c r="AW144" i="6"/>
  <c r="BR144" i="6" s="1"/>
  <c r="AG62" i="6"/>
  <c r="BB62" i="6" s="1"/>
  <c r="AQ198" i="6"/>
  <c r="BL198" i="6" s="1"/>
  <c r="AQ48" i="6"/>
  <c r="BL48" i="6" s="1"/>
  <c r="AU219" i="6"/>
  <c r="BP219" i="6" s="1"/>
  <c r="AJ201" i="6"/>
  <c r="BE201" i="6" s="1"/>
  <c r="AG142" i="6"/>
  <c r="BB142" i="6" s="1"/>
  <c r="AQ63" i="6"/>
  <c r="BL63" i="6" s="1"/>
  <c r="AQ138" i="6"/>
  <c r="BL138" i="6" s="1"/>
  <c r="AN203" i="6"/>
  <c r="BI203" i="6" s="1"/>
  <c r="AQ141" i="6"/>
  <c r="BL141" i="6" s="1"/>
  <c r="AH36" i="6"/>
  <c r="BC36" i="6" s="1"/>
  <c r="AQ44" i="6"/>
  <c r="BL44" i="6" s="1"/>
  <c r="AQ222" i="6"/>
  <c r="BL222" i="6" s="1"/>
  <c r="AO203" i="6"/>
  <c r="BJ203" i="6" s="1"/>
  <c r="AH43" i="6"/>
  <c r="BC43" i="6" s="1"/>
  <c r="AQ58" i="6"/>
  <c r="BL58" i="6" s="1"/>
  <c r="AQ59" i="6"/>
  <c r="BL59" i="6" s="1"/>
  <c r="AQ42" i="6"/>
  <c r="BL42" i="6" s="1"/>
  <c r="AQ217" i="6"/>
  <c r="BL217" i="6" s="1"/>
  <c r="AQ223" i="6"/>
  <c r="BL223" i="6" s="1"/>
  <c r="AQ40" i="6"/>
  <c r="BL40" i="6" s="1"/>
  <c r="AQ203" i="6"/>
  <c r="BL203" i="6" s="1"/>
  <c r="AQ208" i="6"/>
  <c r="BL208" i="6" s="1"/>
  <c r="AM205" i="6"/>
  <c r="BH205" i="6" s="1"/>
  <c r="AS144" i="6"/>
  <c r="BN144" i="6" s="1"/>
  <c r="AD61" i="6"/>
  <c r="AY61" i="6" s="1"/>
  <c r="AQ135" i="6"/>
  <c r="BL135" i="6" s="1"/>
  <c r="AQ150" i="6"/>
  <c r="BL150" i="6" s="1"/>
  <c r="AQ33" i="6"/>
  <c r="BL33" i="6" s="1"/>
  <c r="AQ38" i="6"/>
  <c r="BL38" i="6" s="1"/>
  <c r="AQ55" i="6"/>
  <c r="BL55" i="6" s="1"/>
  <c r="AQ136" i="6"/>
  <c r="BL136" i="6" s="1"/>
  <c r="AF208" i="6"/>
  <c r="BA208" i="6" s="1"/>
  <c r="AD32" i="6"/>
  <c r="AY32" i="6" s="1"/>
  <c r="AG32" i="6"/>
  <c r="BB32" i="6" s="1"/>
  <c r="AQ149" i="6"/>
  <c r="BL149" i="6" s="1"/>
  <c r="AQ47" i="6"/>
  <c r="BL47" i="6" s="1"/>
  <c r="AQ53" i="6"/>
  <c r="BL53" i="6" s="1"/>
  <c r="AQ36" i="6"/>
  <c r="BL36" i="6" s="1"/>
  <c r="AQ195" i="6"/>
  <c r="BL195" i="6" s="1"/>
  <c r="AQ213" i="6"/>
  <c r="BL213" i="6" s="1"/>
  <c r="AQ197" i="6"/>
  <c r="BL197" i="6" s="1"/>
  <c r="AQ216" i="6"/>
  <c r="BL216" i="6" s="1"/>
  <c r="AQ196" i="6"/>
  <c r="BL196" i="6" s="1"/>
  <c r="AQ144" i="6"/>
  <c r="BL144" i="6" s="1"/>
  <c r="AQ147" i="6"/>
  <c r="BL147" i="6" s="1"/>
  <c r="AQ39" i="6"/>
  <c r="BL39" i="6" s="1"/>
  <c r="AG141" i="6"/>
  <c r="BB141" i="6" s="1"/>
  <c r="AQ50" i="6"/>
  <c r="BL50" i="6" s="1"/>
  <c r="AN208" i="6"/>
  <c r="BI208" i="6" s="1"/>
  <c r="AI144" i="6"/>
  <c r="BD144" i="6" s="1"/>
  <c r="AJ54" i="6"/>
  <c r="BE54" i="6" s="1"/>
  <c r="AD207" i="6"/>
  <c r="AY207" i="6" s="1"/>
  <c r="AD146" i="6"/>
  <c r="AY146" i="6" s="1"/>
  <c r="AD201" i="6"/>
  <c r="AY201" i="6" s="1"/>
  <c r="AG54" i="6"/>
  <c r="BB54" i="6" s="1"/>
  <c r="AQ62" i="6"/>
  <c r="BL62" i="6" s="1"/>
  <c r="AQ32" i="6"/>
  <c r="BL32" i="6" s="1"/>
  <c r="AQ37" i="6"/>
  <c r="BL37" i="6" s="1"/>
  <c r="AQ35" i="6"/>
  <c r="BL35" i="6" s="1"/>
  <c r="AQ205" i="6"/>
  <c r="BL205" i="6" s="1"/>
  <c r="AQ210" i="6"/>
  <c r="BL210" i="6" s="1"/>
  <c r="AQ225" i="6"/>
  <c r="BL225" i="6" s="1"/>
  <c r="AQ64" i="6"/>
  <c r="BL64" i="6" s="1"/>
  <c r="AW57" i="6"/>
  <c r="BR57" i="6" s="1"/>
  <c r="AG195" i="6"/>
  <c r="BB195" i="6" s="1"/>
  <c r="AQ43" i="6"/>
  <c r="BL43" i="6" s="1"/>
  <c r="AQ139" i="6"/>
  <c r="BL139" i="6" s="1"/>
  <c r="AQ46" i="6"/>
  <c r="BL46" i="6" s="1"/>
  <c r="AQ220" i="6"/>
  <c r="BL220" i="6" s="1"/>
  <c r="AQ49" i="6"/>
  <c r="BL49" i="6" s="1"/>
  <c r="AQ219" i="6"/>
  <c r="BL219" i="6" s="1"/>
  <c r="AR206" i="6"/>
  <c r="BM206" i="6" s="1"/>
  <c r="AW54" i="6"/>
  <c r="BR54" i="6" s="1"/>
  <c r="AD39" i="6"/>
  <c r="AY39" i="6" s="1"/>
  <c r="AG57" i="6"/>
  <c r="BB57" i="6" s="1"/>
  <c r="AQ57" i="6"/>
  <c r="BL57" i="6" s="1"/>
  <c r="AQ200" i="6"/>
  <c r="BL200" i="6" s="1"/>
  <c r="AQ142" i="6"/>
  <c r="BL142" i="6" s="1"/>
  <c r="AQ193" i="6"/>
  <c r="BL193" i="6" s="1"/>
  <c r="AQ137" i="6"/>
  <c r="BL137" i="6" s="1"/>
  <c r="AQ56" i="6"/>
  <c r="BL56" i="6" s="1"/>
  <c r="AQ209" i="6"/>
  <c r="BL209" i="6" s="1"/>
  <c r="AQ204" i="6"/>
  <c r="BL204" i="6" s="1"/>
  <c r="AS208" i="6"/>
  <c r="BN208" i="6" s="1"/>
  <c r="AW39" i="6"/>
  <c r="BR39" i="6" s="1"/>
  <c r="AQ218" i="6"/>
  <c r="BL218" i="6" s="1"/>
  <c r="AQ221" i="6"/>
  <c r="BL221" i="6" s="1"/>
  <c r="AQ211" i="6"/>
  <c r="BL211" i="6" s="1"/>
  <c r="AU208" i="6"/>
  <c r="BP208" i="6" s="1"/>
  <c r="AO144" i="6"/>
  <c r="BJ144" i="6" s="1"/>
  <c r="AO55" i="6"/>
  <c r="BJ55" i="6" s="1"/>
  <c r="AG206" i="6"/>
  <c r="BB206" i="6" s="1"/>
  <c r="AQ212" i="6"/>
  <c r="BL212" i="6" s="1"/>
  <c r="AQ224" i="6"/>
  <c r="BL224" i="6" s="1"/>
  <c r="AQ202" i="6"/>
  <c r="BL202" i="6" s="1"/>
  <c r="AQ34" i="6"/>
  <c r="BL34" i="6" s="1"/>
  <c r="AQ52" i="6"/>
  <c r="BL52" i="6" s="1"/>
  <c r="AG51" i="6"/>
  <c r="BB51" i="6" s="1"/>
  <c r="AM148" i="6"/>
  <c r="BH148" i="6" s="1"/>
  <c r="AS54" i="6"/>
  <c r="BN54" i="6" s="1"/>
  <c r="AG223" i="6"/>
  <c r="BB223" i="6" s="1"/>
  <c r="AG43" i="6"/>
  <c r="BB43" i="6" s="1"/>
  <c r="AG61" i="6"/>
  <c r="BB61" i="6" s="1"/>
  <c r="AO148" i="6"/>
  <c r="BJ148" i="6" s="1"/>
  <c r="AH63" i="6"/>
  <c r="BC63" i="6" s="1"/>
  <c r="AG218" i="6"/>
  <c r="BB218" i="6" s="1"/>
  <c r="AN219" i="6"/>
  <c r="BI219" i="6" s="1"/>
  <c r="AH214" i="6"/>
  <c r="BC214" i="6" s="1"/>
  <c r="AN55" i="6"/>
  <c r="BI55" i="6" s="1"/>
  <c r="AG214" i="6"/>
  <c r="BB214" i="6" s="1"/>
  <c r="AG220" i="6"/>
  <c r="BB220" i="6" s="1"/>
  <c r="AP218" i="6"/>
  <c r="BK218" i="6" s="1"/>
  <c r="AS139" i="6"/>
  <c r="BN139" i="6" s="1"/>
  <c r="AY55" i="6"/>
  <c r="AO219" i="6"/>
  <c r="BJ219" i="6" s="1"/>
  <c r="AS146" i="6"/>
  <c r="BN146" i="6" s="1"/>
  <c r="AD53" i="6"/>
  <c r="AY53" i="6" s="1"/>
  <c r="AD203" i="6"/>
  <c r="AY203" i="6" s="1"/>
  <c r="AG215" i="6"/>
  <c r="BB215" i="6" s="1"/>
  <c r="AG198" i="6"/>
  <c r="BB198" i="6" s="1"/>
  <c r="AJ203" i="6"/>
  <c r="BE203" i="6" s="1"/>
  <c r="AR219" i="6"/>
  <c r="BM219" i="6" s="1"/>
  <c r="AW146" i="6"/>
  <c r="BR146" i="6" s="1"/>
  <c r="AO32" i="6"/>
  <c r="BJ32" i="6" s="1"/>
  <c r="AG205" i="6"/>
  <c r="BB205" i="6" s="1"/>
  <c r="AG44" i="6"/>
  <c r="BB44" i="6" s="1"/>
  <c r="AG145" i="6"/>
  <c r="BB145" i="6" s="1"/>
  <c r="AU220" i="6"/>
  <c r="BP220" i="6" s="1"/>
  <c r="AJ218" i="6"/>
  <c r="BE218" i="6" s="1"/>
  <c r="AW203" i="6"/>
  <c r="BR203" i="6" s="1"/>
  <c r="AI203" i="6"/>
  <c r="BD203" i="6" s="1"/>
  <c r="AR43" i="6"/>
  <c r="BM43" i="6" s="1"/>
  <c r="AU53" i="6"/>
  <c r="BP53" i="6" s="1"/>
  <c r="AG219" i="6"/>
  <c r="BB219" i="6" s="1"/>
  <c r="AG64" i="6"/>
  <c r="BB64" i="6" s="1"/>
  <c r="AG216" i="6"/>
  <c r="BB216" i="6" s="1"/>
  <c r="AG35" i="6"/>
  <c r="BB35" i="6" s="1"/>
  <c r="AH148" i="6"/>
  <c r="BC148" i="6" s="1"/>
  <c r="AS219" i="6"/>
  <c r="BN219" i="6" s="1"/>
  <c r="AS220" i="6"/>
  <c r="BN220" i="6" s="1"/>
  <c r="AI146" i="6"/>
  <c r="BD146" i="6" s="1"/>
  <c r="AW43" i="6"/>
  <c r="BR43" i="6" s="1"/>
  <c r="AH54" i="6"/>
  <c r="BC54" i="6" s="1"/>
  <c r="AG37" i="6"/>
  <c r="BB37" i="6" s="1"/>
  <c r="AG202" i="6"/>
  <c r="BB202" i="6" s="1"/>
  <c r="AY134" i="6"/>
  <c r="BB134" i="6"/>
  <c r="AY34" i="6"/>
  <c r="AG212" i="6"/>
  <c r="BB212" i="6" s="1"/>
  <c r="AG143" i="6"/>
  <c r="BB143" i="6" s="1"/>
  <c r="AG34" i="6"/>
  <c r="BB34" i="6" s="1"/>
  <c r="AU42" i="6"/>
  <c r="BP42" i="6" s="1"/>
  <c r="AG38" i="6"/>
  <c r="BB38" i="6" s="1"/>
  <c r="AG53" i="6"/>
  <c r="BB53" i="6" s="1"/>
  <c r="AG146" i="6"/>
  <c r="BB146" i="6" s="1"/>
  <c r="AG63" i="6"/>
  <c r="BB63" i="6" s="1"/>
  <c r="AG48" i="6"/>
  <c r="BB48" i="6" s="1"/>
  <c r="AG39" i="6"/>
  <c r="BB39" i="6" s="1"/>
  <c r="AU201" i="6"/>
  <c r="BP201" i="6" s="1"/>
  <c r="AO193" i="6"/>
  <c r="BJ193" i="6" s="1"/>
  <c r="AG52" i="6"/>
  <c r="BB52" i="6" s="1"/>
  <c r="AG149" i="6"/>
  <c r="BB149" i="6" s="1"/>
  <c r="AG140" i="6"/>
  <c r="BB140" i="6" s="1"/>
  <c r="AG60" i="6"/>
  <c r="BB60" i="6" s="1"/>
  <c r="AG197" i="6"/>
  <c r="BB197" i="6" s="1"/>
  <c r="AG135" i="6"/>
  <c r="BB135" i="6" s="1"/>
  <c r="AC197" i="6"/>
  <c r="AM203" i="6"/>
  <c r="BH203" i="6" s="1"/>
  <c r="AM197" i="6"/>
  <c r="BH197" i="6" s="1"/>
  <c r="AM60" i="6"/>
  <c r="BH60" i="6" s="1"/>
  <c r="AY57" i="6"/>
  <c r="AG138" i="6"/>
  <c r="BB138" i="6" s="1"/>
  <c r="AG213" i="6"/>
  <c r="BB213" i="6" s="1"/>
  <c r="AG194" i="6"/>
  <c r="BB194" i="6" s="1"/>
  <c r="AG41" i="6"/>
  <c r="BB41" i="6" s="1"/>
  <c r="AG211" i="6"/>
  <c r="BB211" i="6" s="1"/>
  <c r="AG199" i="6"/>
  <c r="BB199" i="6" s="1"/>
  <c r="AG217" i="6"/>
  <c r="BB217" i="6" s="1"/>
  <c r="AG40" i="6"/>
  <c r="BB40" i="6" s="1"/>
  <c r="AF203" i="6"/>
  <c r="BA203" i="6" s="1"/>
  <c r="AY148" i="6"/>
  <c r="AN207" i="6"/>
  <c r="BI207" i="6" s="1"/>
  <c r="AW201" i="6"/>
  <c r="BR201" i="6" s="1"/>
  <c r="AP197" i="6"/>
  <c r="BK197" i="6" s="1"/>
  <c r="AO140" i="6"/>
  <c r="BJ140" i="6" s="1"/>
  <c r="AI142" i="6"/>
  <c r="BD142" i="6" s="1"/>
  <c r="AO139" i="6"/>
  <c r="BJ139" i="6" s="1"/>
  <c r="AW60" i="6"/>
  <c r="BR60" i="6" s="1"/>
  <c r="AG36" i="6"/>
  <c r="BB36" i="6" s="1"/>
  <c r="AG148" i="6"/>
  <c r="BB148" i="6" s="1"/>
  <c r="AG193" i="6"/>
  <c r="BB193" i="6" s="1"/>
  <c r="AG208" i="6"/>
  <c r="BB208" i="6" s="1"/>
  <c r="AG33" i="6"/>
  <c r="BB33" i="6" s="1"/>
  <c r="AG55" i="6"/>
  <c r="BB55" i="6" s="1"/>
  <c r="AG225" i="6"/>
  <c r="BB225" i="6" s="1"/>
  <c r="AG209" i="6"/>
  <c r="BB209" i="6" s="1"/>
  <c r="AF197" i="6"/>
  <c r="BA197" i="6" s="1"/>
  <c r="AP203" i="6"/>
  <c r="BK203" i="6" s="1"/>
  <c r="AO201" i="6"/>
  <c r="BJ201" i="6" s="1"/>
  <c r="AH197" i="6"/>
  <c r="BC197" i="6" s="1"/>
  <c r="AS203" i="6"/>
  <c r="BN203" i="6" s="1"/>
  <c r="AU197" i="6"/>
  <c r="BP197" i="6" s="1"/>
  <c r="AN145" i="6"/>
  <c r="BI145" i="6" s="1"/>
  <c r="AM139" i="6"/>
  <c r="BH139" i="6" s="1"/>
  <c r="AG50" i="6"/>
  <c r="BB50" i="6" s="1"/>
  <c r="AG59" i="6"/>
  <c r="BB59" i="6" s="1"/>
  <c r="AG207" i="6"/>
  <c r="BB207" i="6" s="1"/>
  <c r="AG200" i="6"/>
  <c r="BB200" i="6" s="1"/>
  <c r="AG222" i="6"/>
  <c r="BB222" i="6" s="1"/>
  <c r="AG203" i="6"/>
  <c r="BB203" i="6" s="1"/>
  <c r="AG147" i="6"/>
  <c r="BB147" i="6" s="1"/>
  <c r="AG45" i="6"/>
  <c r="BB45" i="6" s="1"/>
  <c r="AG137" i="6"/>
  <c r="BB137" i="6" s="1"/>
  <c r="AG42" i="6"/>
  <c r="BB42" i="6" s="1"/>
  <c r="AO197" i="6"/>
  <c r="BJ197" i="6" s="1"/>
  <c r="AG56" i="6"/>
  <c r="BB56" i="6" s="1"/>
  <c r="AH142" i="6"/>
  <c r="BC142" i="6" s="1"/>
  <c r="AM206" i="6"/>
  <c r="BH206" i="6" s="1"/>
  <c r="AJ139" i="6"/>
  <c r="BE139" i="6" s="1"/>
  <c r="AC39" i="6"/>
  <c r="AD212" i="6"/>
  <c r="AY212" i="6" s="1"/>
  <c r="AG144" i="6"/>
  <c r="BB144" i="6" s="1"/>
  <c r="AG150" i="6"/>
  <c r="BB150" i="6" s="1"/>
  <c r="AG221" i="6"/>
  <c r="BB221" i="6" s="1"/>
  <c r="AG46" i="6"/>
  <c r="BB46" i="6" s="1"/>
  <c r="AG49" i="6"/>
  <c r="BB49" i="6" s="1"/>
  <c r="AG196" i="6"/>
  <c r="BB196" i="6" s="1"/>
  <c r="AG139" i="6"/>
  <c r="BB139" i="6" s="1"/>
  <c r="AG204" i="6"/>
  <c r="BB204" i="6" s="1"/>
  <c r="AG210" i="6"/>
  <c r="BB210" i="6" s="1"/>
  <c r="AI199" i="6"/>
  <c r="BD199" i="6" s="1"/>
  <c r="AD63" i="6"/>
  <c r="AY63" i="6" s="1"/>
  <c r="AG201" i="6"/>
  <c r="BB201" i="6" s="1"/>
  <c r="AG136" i="6"/>
  <c r="BB136" i="6" s="1"/>
  <c r="AU212" i="6"/>
  <c r="BP212" i="6" s="1"/>
  <c r="AC214" i="6"/>
  <c r="AO214" i="6"/>
  <c r="BJ214" i="6" s="1"/>
  <c r="AR214" i="6"/>
  <c r="BM214" i="6" s="1"/>
  <c r="AH212" i="6"/>
  <c r="BC212" i="6" s="1"/>
  <c r="AI214" i="6"/>
  <c r="BD214" i="6" s="1"/>
  <c r="AI197" i="6"/>
  <c r="BD197" i="6" s="1"/>
  <c r="AJ142" i="6"/>
  <c r="BE142" i="6" s="1"/>
  <c r="AN139" i="6"/>
  <c r="BI139" i="6" s="1"/>
  <c r="AO39" i="6"/>
  <c r="BJ39" i="6" s="1"/>
  <c r="AD214" i="6"/>
  <c r="AY214" i="6" s="1"/>
  <c r="AC136" i="6"/>
  <c r="AH136" i="6"/>
  <c r="BC136" i="6" s="1"/>
  <c r="AM136" i="6"/>
  <c r="BH136" i="6" s="1"/>
  <c r="AS212" i="6"/>
  <c r="BN212" i="6" s="1"/>
  <c r="AO212" i="6"/>
  <c r="BJ212" i="6" s="1"/>
  <c r="AR50" i="6"/>
  <c r="BM50" i="6" s="1"/>
  <c r="AP214" i="6"/>
  <c r="BK214" i="6" s="1"/>
  <c r="AU203" i="6"/>
  <c r="BP203" i="6" s="1"/>
  <c r="AI212" i="6"/>
  <c r="BD212" i="6" s="1"/>
  <c r="AP139" i="6"/>
  <c r="BK139" i="6" s="1"/>
  <c r="AS53" i="6"/>
  <c r="BN53" i="6" s="1"/>
  <c r="AF55" i="6"/>
  <c r="BA55" i="6" s="1"/>
  <c r="AM142" i="6"/>
  <c r="BH142" i="6" s="1"/>
  <c r="AJ212" i="6"/>
  <c r="BE212" i="6" s="1"/>
  <c r="AN212" i="6"/>
  <c r="BI212" i="6" s="1"/>
  <c r="AN136" i="6"/>
  <c r="BI136" i="6" s="1"/>
  <c r="AR136" i="6"/>
  <c r="BM136" i="6" s="1"/>
  <c r="AU144" i="6"/>
  <c r="BP144" i="6" s="1"/>
  <c r="AW140" i="6"/>
  <c r="BR140" i="6" s="1"/>
  <c r="AJ46" i="6"/>
  <c r="BE46" i="6" s="1"/>
  <c r="AR62" i="6"/>
  <c r="BM62" i="6" s="1"/>
  <c r="AN56" i="6"/>
  <c r="BI56" i="6" s="1"/>
  <c r="AD62" i="6"/>
  <c r="AY62" i="6" s="1"/>
  <c r="AR139" i="6"/>
  <c r="BM139" i="6" s="1"/>
  <c r="AP212" i="6"/>
  <c r="BK212" i="6" s="1"/>
  <c r="AU214" i="6"/>
  <c r="BP214" i="6" s="1"/>
  <c r="AS214" i="6"/>
  <c r="BN214" i="6" s="1"/>
  <c r="AP142" i="6"/>
  <c r="BK142" i="6" s="1"/>
  <c r="AS197" i="6"/>
  <c r="BN197" i="6" s="1"/>
  <c r="AH146" i="6"/>
  <c r="BC146" i="6" s="1"/>
  <c r="AN50" i="6"/>
  <c r="BI50" i="6" s="1"/>
  <c r="AU62" i="6"/>
  <c r="BP62" i="6" s="1"/>
  <c r="AN206" i="6"/>
  <c r="BI206" i="6" s="1"/>
  <c r="AN197" i="6"/>
  <c r="BI197" i="6" s="1"/>
  <c r="AM201" i="6"/>
  <c r="BH201" i="6" s="1"/>
  <c r="AC142" i="6"/>
  <c r="AO36" i="6"/>
  <c r="BJ36" i="6" s="1"/>
  <c r="AU60" i="6"/>
  <c r="BP60" i="6" s="1"/>
  <c r="AJ50" i="6"/>
  <c r="BE50" i="6" s="1"/>
  <c r="AN62" i="6"/>
  <c r="BI62" i="6" s="1"/>
  <c r="AM214" i="6"/>
  <c r="BH214" i="6" s="1"/>
  <c r="AN214" i="6"/>
  <c r="BI214" i="6" s="1"/>
  <c r="AS32" i="6"/>
  <c r="BN32" i="6" s="1"/>
  <c r="AM146" i="6"/>
  <c r="BH146" i="6" s="1"/>
  <c r="AR203" i="6"/>
  <c r="BM203" i="6" s="1"/>
  <c r="AP206" i="6"/>
  <c r="BK206" i="6" s="1"/>
  <c r="AW214" i="6"/>
  <c r="BR214" i="6" s="1"/>
  <c r="AH203" i="6"/>
  <c r="BC203" i="6" s="1"/>
  <c r="AR142" i="6"/>
  <c r="BM142" i="6" s="1"/>
  <c r="AP146" i="6"/>
  <c r="BK146" i="6" s="1"/>
  <c r="AF39" i="6"/>
  <c r="BA39" i="6" s="1"/>
  <c r="AM62" i="6"/>
  <c r="BH62" i="6" s="1"/>
  <c r="AD50" i="6"/>
  <c r="AY50" i="6" s="1"/>
  <c r="AD37" i="6"/>
  <c r="AY37" i="6" s="1"/>
  <c r="AI193" i="6"/>
  <c r="BD193" i="6" s="1"/>
  <c r="AU199" i="6"/>
  <c r="BP199" i="6" s="1"/>
  <c r="AJ193" i="6"/>
  <c r="BE193" i="6" s="1"/>
  <c r="AJ207" i="6"/>
  <c r="BE207" i="6" s="1"/>
  <c r="AW199" i="6"/>
  <c r="BR199" i="6" s="1"/>
  <c r="AJ49" i="6"/>
  <c r="BE49" i="6" s="1"/>
  <c r="AM202" i="6"/>
  <c r="BH202" i="6" s="1"/>
  <c r="AP202" i="6"/>
  <c r="BK202" i="6" s="1"/>
  <c r="AS207" i="6"/>
  <c r="BN207" i="6" s="1"/>
  <c r="AN199" i="6"/>
  <c r="BI199" i="6" s="1"/>
  <c r="AS193" i="6"/>
  <c r="BN193" i="6" s="1"/>
  <c r="AS148" i="6"/>
  <c r="BN148" i="6" s="1"/>
  <c r="AP148" i="6"/>
  <c r="BK148" i="6" s="1"/>
  <c r="AH50" i="6"/>
  <c r="BC50" i="6" s="1"/>
  <c r="AR207" i="6"/>
  <c r="BM207" i="6" s="1"/>
  <c r="AF199" i="6"/>
  <c r="BA199" i="6" s="1"/>
  <c r="AM199" i="6"/>
  <c r="BH199" i="6" s="1"/>
  <c r="AH207" i="6"/>
  <c r="BC207" i="6" s="1"/>
  <c r="AC207" i="6"/>
  <c r="AI148" i="6"/>
  <c r="BD148" i="6" s="1"/>
  <c r="AW148" i="6"/>
  <c r="BR148" i="6" s="1"/>
  <c r="AS50" i="6"/>
  <c r="BN50" i="6" s="1"/>
  <c r="AH57" i="6"/>
  <c r="BC57" i="6" s="1"/>
  <c r="AO61" i="6"/>
  <c r="BJ61" i="6" s="1"/>
  <c r="AD44" i="6"/>
  <c r="AY44" i="6" s="1"/>
  <c r="AD64" i="6"/>
  <c r="AY64" i="6" s="1"/>
  <c r="AS202" i="6"/>
  <c r="BN202" i="6" s="1"/>
  <c r="AR148" i="6"/>
  <c r="BM148" i="6" s="1"/>
  <c r="AW193" i="6"/>
  <c r="BR193" i="6" s="1"/>
  <c r="AJ206" i="6"/>
  <c r="BE206" i="6" s="1"/>
  <c r="AJ199" i="6"/>
  <c r="BE199" i="6" s="1"/>
  <c r="AR223" i="6"/>
  <c r="BM223" i="6" s="1"/>
  <c r="AF148" i="6"/>
  <c r="BA148" i="6" s="1"/>
  <c r="AH225" i="6"/>
  <c r="BC225" i="6" s="1"/>
  <c r="AU57" i="6"/>
  <c r="BP57" i="6" s="1"/>
  <c r="AO57" i="6"/>
  <c r="BJ57" i="6" s="1"/>
  <c r="AU50" i="6"/>
  <c r="BP50" i="6" s="1"/>
  <c r="AI61" i="6"/>
  <c r="BD61" i="6" s="1"/>
  <c r="AD47" i="6"/>
  <c r="AY47" i="6" s="1"/>
  <c r="AD45" i="6"/>
  <c r="AY45" i="6" s="1"/>
  <c r="AP199" i="6"/>
  <c r="BK199" i="6" s="1"/>
  <c r="AC212" i="6"/>
  <c r="AJ148" i="6"/>
  <c r="BE148" i="6" s="1"/>
  <c r="AR57" i="6"/>
  <c r="BM57" i="6" s="1"/>
  <c r="AO207" i="6"/>
  <c r="BJ207" i="6" s="1"/>
  <c r="AC199" i="6"/>
  <c r="AS57" i="6"/>
  <c r="BN57" i="6" s="1"/>
  <c r="AJ57" i="6"/>
  <c r="BE57" i="6" s="1"/>
  <c r="AH193" i="6"/>
  <c r="BC193" i="6" s="1"/>
  <c r="AS199" i="6"/>
  <c r="BN199" i="6" s="1"/>
  <c r="AW212" i="6"/>
  <c r="BR212" i="6" s="1"/>
  <c r="AU202" i="6"/>
  <c r="BP202" i="6" s="1"/>
  <c r="AM207" i="6"/>
  <c r="BH207" i="6" s="1"/>
  <c r="AU207" i="6"/>
  <c r="BP207" i="6" s="1"/>
  <c r="AO199" i="6"/>
  <c r="BJ199" i="6" s="1"/>
  <c r="AO136" i="6"/>
  <c r="BJ136" i="6" s="1"/>
  <c r="AW136" i="6"/>
  <c r="BR136" i="6" s="1"/>
  <c r="AN140" i="6"/>
  <c r="BI140" i="6" s="1"/>
  <c r="AF146" i="6"/>
  <c r="BA146" i="6" s="1"/>
  <c r="AM43" i="6"/>
  <c r="BH43" i="6" s="1"/>
  <c r="AS49" i="6"/>
  <c r="BN49" i="6" s="1"/>
  <c r="AW50" i="6"/>
  <c r="BR50" i="6" s="1"/>
  <c r="AM49" i="6"/>
  <c r="BH49" i="6" s="1"/>
  <c r="AO64" i="6"/>
  <c r="BJ64" i="6" s="1"/>
  <c r="AH61" i="6"/>
  <c r="BC61" i="6" s="1"/>
  <c r="AC202" i="6"/>
  <c r="AF193" i="6"/>
  <c r="BA193" i="6" s="1"/>
  <c r="AO202" i="6"/>
  <c r="BJ202" i="6" s="1"/>
  <c r="AF212" i="6"/>
  <c r="BA212" i="6" s="1"/>
  <c r="AH199" i="6"/>
  <c r="BC199" i="6" s="1"/>
  <c r="AR193" i="6"/>
  <c r="BM193" i="6" s="1"/>
  <c r="AU148" i="6"/>
  <c r="BP148" i="6" s="1"/>
  <c r="AO49" i="6"/>
  <c r="BJ49" i="6" s="1"/>
  <c r="AP50" i="6"/>
  <c r="BK50" i="6" s="1"/>
  <c r="AU39" i="6"/>
  <c r="BP39" i="6" s="1"/>
  <c r="AU64" i="6"/>
  <c r="BP64" i="6" s="1"/>
  <c r="AF61" i="6"/>
  <c r="BA61" i="6" s="1"/>
  <c r="AJ64" i="6"/>
  <c r="BE64" i="6" s="1"/>
  <c r="AD143" i="6"/>
  <c r="AY143" i="6" s="1"/>
  <c r="AN57" i="6"/>
  <c r="BI57" i="6" s="1"/>
  <c r="AN148" i="6"/>
  <c r="BI148" i="6" s="1"/>
  <c r="AN49" i="6"/>
  <c r="BI49" i="6" s="1"/>
  <c r="AR212" i="6"/>
  <c r="BM212" i="6" s="1"/>
  <c r="AO50" i="6"/>
  <c r="BJ50" i="6" s="1"/>
  <c r="AR202" i="6"/>
  <c r="BM202" i="6" s="1"/>
  <c r="AM50" i="6"/>
  <c r="BH50" i="6" s="1"/>
  <c r="AP57" i="6"/>
  <c r="BK57" i="6" s="1"/>
  <c r="AI57" i="6"/>
  <c r="BD57" i="6" s="1"/>
  <c r="AP39" i="6"/>
  <c r="BK39" i="6" s="1"/>
  <c r="AI64" i="6"/>
  <c r="BD64" i="6" s="1"/>
  <c r="AD35" i="6"/>
  <c r="AY35" i="6" s="1"/>
  <c r="AI202" i="6"/>
  <c r="BD202" i="6" s="1"/>
  <c r="AJ202" i="6"/>
  <c r="BE202" i="6" s="1"/>
  <c r="AF207" i="6"/>
  <c r="BA207" i="6" s="1"/>
  <c r="AM61" i="6"/>
  <c r="BH61" i="6" s="1"/>
  <c r="AI206" i="6"/>
  <c r="BD206" i="6" s="1"/>
  <c r="AN225" i="6"/>
  <c r="BI225" i="6" s="1"/>
  <c r="AP207" i="6"/>
  <c r="BK207" i="6" s="1"/>
  <c r="AU193" i="6"/>
  <c r="BP193" i="6" s="1"/>
  <c r="AN193" i="6"/>
  <c r="BI193" i="6" s="1"/>
  <c r="AM57" i="6"/>
  <c r="BH57" i="6" s="1"/>
  <c r="AF50" i="6"/>
  <c r="AR39" i="6"/>
  <c r="BM39" i="6" s="1"/>
  <c r="AH49" i="6"/>
  <c r="BC49" i="6" s="1"/>
  <c r="AC64" i="6"/>
  <c r="AJ223" i="6"/>
  <c r="BE223" i="6" s="1"/>
  <c r="AC148" i="6"/>
  <c r="AN202" i="6"/>
  <c r="BI202" i="6" s="1"/>
  <c r="AP193" i="6"/>
  <c r="BK193" i="6" s="1"/>
  <c r="AP49" i="6"/>
  <c r="BK49" i="6" s="1"/>
  <c r="AH39" i="6"/>
  <c r="BC39" i="6" s="1"/>
  <c r="AC57" i="6"/>
  <c r="AD202" i="6"/>
  <c r="AY202" i="6" s="1"/>
  <c r="AW137" i="6"/>
  <c r="BR137" i="6" s="1"/>
  <c r="AM223" i="6"/>
  <c r="BH223" i="6" s="1"/>
  <c r="AJ140" i="6"/>
  <c r="BE140" i="6" s="1"/>
  <c r="AM36" i="6"/>
  <c r="BH36" i="6" s="1"/>
  <c r="AU32" i="6"/>
  <c r="BP32" i="6" s="1"/>
  <c r="AN46" i="6"/>
  <c r="BI46" i="6" s="1"/>
  <c r="AR63" i="6"/>
  <c r="BM63" i="6" s="1"/>
  <c r="AD140" i="6"/>
  <c r="AY140" i="6" s="1"/>
  <c r="AD218" i="6"/>
  <c r="AY218" i="6" s="1"/>
  <c r="AD205" i="6"/>
  <c r="AY205" i="6" s="1"/>
  <c r="AF225" i="6"/>
  <c r="BA225" i="6" s="1"/>
  <c r="AI223" i="6"/>
  <c r="BD223" i="6" s="1"/>
  <c r="AH137" i="6"/>
  <c r="BC137" i="6" s="1"/>
  <c r="AI218" i="6"/>
  <c r="BD218" i="6" s="1"/>
  <c r="AM219" i="6"/>
  <c r="BH219" i="6" s="1"/>
  <c r="AJ224" i="6"/>
  <c r="BE224" i="6" s="1"/>
  <c r="AJ137" i="6"/>
  <c r="BE137" i="6" s="1"/>
  <c r="AH219" i="6"/>
  <c r="BC219" i="6" s="1"/>
  <c r="AJ219" i="6"/>
  <c r="BE219" i="6" s="1"/>
  <c r="AP225" i="6"/>
  <c r="BK225" i="6" s="1"/>
  <c r="AO225" i="6"/>
  <c r="BJ225" i="6" s="1"/>
  <c r="AC224" i="6"/>
  <c r="AM208" i="6"/>
  <c r="BH208" i="6" s="1"/>
  <c r="AS140" i="6"/>
  <c r="BN140" i="6" s="1"/>
  <c r="AP137" i="6"/>
  <c r="BK137" i="6" s="1"/>
  <c r="AW36" i="6"/>
  <c r="BR36" i="6" s="1"/>
  <c r="AS36" i="6"/>
  <c r="BN36" i="6" s="1"/>
  <c r="AM32" i="6"/>
  <c r="BH32" i="6" s="1"/>
  <c r="AJ36" i="6"/>
  <c r="BE36" i="6" s="1"/>
  <c r="AD144" i="6"/>
  <c r="AY144" i="6" s="1"/>
  <c r="AW224" i="6"/>
  <c r="BR224" i="6" s="1"/>
  <c r="AC223" i="6"/>
  <c r="AU225" i="6"/>
  <c r="BP225" i="6" s="1"/>
  <c r="AO218" i="6"/>
  <c r="BJ218" i="6" s="1"/>
  <c r="AC219" i="6"/>
  <c r="AJ208" i="6"/>
  <c r="BE208" i="6" s="1"/>
  <c r="AC140" i="6"/>
  <c r="AU36" i="6"/>
  <c r="BP36" i="6" s="1"/>
  <c r="AP36" i="6"/>
  <c r="BK36" i="6" s="1"/>
  <c r="AJ32" i="6"/>
  <c r="BE32" i="6" s="1"/>
  <c r="AS63" i="6"/>
  <c r="BN63" i="6" s="1"/>
  <c r="AD38" i="6"/>
  <c r="AY38" i="6" s="1"/>
  <c r="AD59" i="6"/>
  <c r="AY59" i="6" s="1"/>
  <c r="AN223" i="6"/>
  <c r="BI223" i="6" s="1"/>
  <c r="AM218" i="6"/>
  <c r="BH218" i="6" s="1"/>
  <c r="AP140" i="6"/>
  <c r="BK140" i="6" s="1"/>
  <c r="AR32" i="6"/>
  <c r="BM32" i="6" s="1"/>
  <c r="AS225" i="6"/>
  <c r="BN225" i="6" s="1"/>
  <c r="AW225" i="6"/>
  <c r="BR225" i="6" s="1"/>
  <c r="AF223" i="6"/>
  <c r="BA223" i="6" s="1"/>
  <c r="AS218" i="6"/>
  <c r="BN218" i="6" s="1"/>
  <c r="AU218" i="6"/>
  <c r="BP218" i="6" s="1"/>
  <c r="AW218" i="6"/>
  <c r="BR218" i="6" s="1"/>
  <c r="AR218" i="6"/>
  <c r="BM218" i="6" s="1"/>
  <c r="AM225" i="6"/>
  <c r="BH225" i="6" s="1"/>
  <c r="AF219" i="6"/>
  <c r="BA219" i="6" s="1"/>
  <c r="AH208" i="6"/>
  <c r="BC208" i="6" s="1"/>
  <c r="AF137" i="6"/>
  <c r="BA137" i="6" s="1"/>
  <c r="AN36" i="6"/>
  <c r="BI36" i="6" s="1"/>
  <c r="AP32" i="6"/>
  <c r="BK32" i="6" s="1"/>
  <c r="AP64" i="6"/>
  <c r="BK64" i="6" s="1"/>
  <c r="AS61" i="6"/>
  <c r="BN61" i="6" s="1"/>
  <c r="AO62" i="6"/>
  <c r="BJ62" i="6" s="1"/>
  <c r="AD193" i="6"/>
  <c r="AY193" i="6" s="1"/>
  <c r="AD220" i="6"/>
  <c r="AY220" i="6" s="1"/>
  <c r="AD60" i="6"/>
  <c r="AY60" i="6" s="1"/>
  <c r="AD56" i="6"/>
  <c r="AY56" i="6" s="1"/>
  <c r="AD145" i="6"/>
  <c r="AY145" i="6" s="1"/>
  <c r="AD139" i="6"/>
  <c r="AY139" i="6" s="1"/>
  <c r="AH223" i="6"/>
  <c r="BC223" i="6" s="1"/>
  <c r="AW208" i="6"/>
  <c r="BR208" i="6" s="1"/>
  <c r="AC218" i="6"/>
  <c r="AU142" i="6"/>
  <c r="BP142" i="6" s="1"/>
  <c r="AI36" i="6"/>
  <c r="BD36" i="6" s="1"/>
  <c r="AN32" i="6"/>
  <c r="BI32" i="6" s="1"/>
  <c r="AU63" i="6"/>
  <c r="BP63" i="6" s="1"/>
  <c r="AD40" i="6"/>
  <c r="AY40" i="6" s="1"/>
  <c r="AP223" i="6"/>
  <c r="BK223" i="6" s="1"/>
  <c r="AI225" i="6"/>
  <c r="BD225" i="6" s="1"/>
  <c r="AU223" i="6"/>
  <c r="BP223" i="6" s="1"/>
  <c r="AM137" i="6"/>
  <c r="AI32" i="6"/>
  <c r="BD32" i="6" s="1"/>
  <c r="AS137" i="6"/>
  <c r="BN137" i="6" s="1"/>
  <c r="AS223" i="6"/>
  <c r="BN223" i="6" s="1"/>
  <c r="AH218" i="6"/>
  <c r="BC218" i="6" s="1"/>
  <c r="AI137" i="6"/>
  <c r="BD137" i="6" s="1"/>
  <c r="AR137" i="6"/>
  <c r="BM137" i="6" s="1"/>
  <c r="AF36" i="6"/>
  <c r="BA36" i="6" s="1"/>
  <c r="AH32" i="6"/>
  <c r="BC32" i="6" s="1"/>
  <c r="AW62" i="6"/>
  <c r="BR62" i="6" s="1"/>
  <c r="AN60" i="6"/>
  <c r="BI60" i="6" s="1"/>
  <c r="AJ62" i="6"/>
  <c r="BE62" i="6" s="1"/>
  <c r="AD54" i="6"/>
  <c r="AY54" i="6" s="1"/>
  <c r="AD147" i="6"/>
  <c r="AY147" i="6" s="1"/>
  <c r="AD198" i="6"/>
  <c r="AY198" i="6" s="1"/>
  <c r="AF218" i="6"/>
  <c r="BA218" i="6" s="1"/>
  <c r="AO223" i="6"/>
  <c r="BJ223" i="6" s="1"/>
  <c r="AO137" i="6"/>
  <c r="BJ137" i="6" s="1"/>
  <c r="AU137" i="6"/>
  <c r="BP137" i="6" s="1"/>
  <c r="AF32" i="6"/>
  <c r="BA32" i="6" s="1"/>
  <c r="AR36" i="6"/>
  <c r="BM36" i="6" s="1"/>
  <c r="AC32" i="6"/>
  <c r="AN64" i="6"/>
  <c r="BI64" i="6" s="1"/>
  <c r="AJ60" i="6"/>
  <c r="BE60" i="6" s="1"/>
  <c r="AI62" i="6"/>
  <c r="BD62" i="6" s="1"/>
  <c r="AH62" i="6"/>
  <c r="BC62" i="6" s="1"/>
  <c r="AD210" i="6"/>
  <c r="AY210" i="6" s="1"/>
  <c r="AN137" i="6"/>
  <c r="BI137" i="6" s="1"/>
  <c r="AO208" i="6"/>
  <c r="BJ208" i="6" s="1"/>
  <c r="AW205" i="6"/>
  <c r="BR205" i="6" s="1"/>
  <c r="AJ225" i="6"/>
  <c r="BE225" i="6" s="1"/>
  <c r="AC225" i="6"/>
  <c r="AW223" i="6"/>
  <c r="BR223" i="6" s="1"/>
  <c r="AO142" i="6"/>
  <c r="BJ142" i="6" s="1"/>
  <c r="AR140" i="6"/>
  <c r="BM140" i="6" s="1"/>
  <c r="AU140" i="6"/>
  <c r="BP140" i="6" s="1"/>
  <c r="AN142" i="6"/>
  <c r="BI142" i="6" s="1"/>
  <c r="AM193" i="6"/>
  <c r="BH193" i="6" s="1"/>
  <c r="AF140" i="6"/>
  <c r="BA140" i="6" s="1"/>
  <c r="AI50" i="6"/>
  <c r="BD50" i="6" s="1"/>
  <c r="AW64" i="6"/>
  <c r="BR64" i="6" s="1"/>
  <c r="AF142" i="6"/>
  <c r="BA142" i="6" s="1"/>
  <c r="AC62" i="6"/>
  <c r="AD224" i="6"/>
  <c r="AY224" i="6" s="1"/>
  <c r="AD225" i="6"/>
  <c r="AY225" i="6" s="1"/>
  <c r="AD137" i="6"/>
  <c r="AY137" i="6" s="1"/>
  <c r="AJ42" i="6"/>
  <c r="BE42" i="6" s="1"/>
  <c r="AN220" i="6"/>
  <c r="BI220" i="6" s="1"/>
  <c r="AR220" i="6"/>
  <c r="BM220" i="6" s="1"/>
  <c r="AR145" i="6"/>
  <c r="BM145" i="6" s="1"/>
  <c r="AW145" i="6"/>
  <c r="BR145" i="6" s="1"/>
  <c r="AH145" i="6"/>
  <c r="BC145" i="6" s="1"/>
  <c r="AJ145" i="6"/>
  <c r="BE145" i="6" s="1"/>
  <c r="AF53" i="6"/>
  <c r="BA53" i="6" s="1"/>
  <c r="AP46" i="6"/>
  <c r="BK46" i="6" s="1"/>
  <c r="AR55" i="6"/>
  <c r="BM55" i="6" s="1"/>
  <c r="AI56" i="6"/>
  <c r="BD56" i="6" s="1"/>
  <c r="AM63" i="6"/>
  <c r="BH63" i="6" s="1"/>
  <c r="AD48" i="6"/>
  <c r="AY48" i="6" s="1"/>
  <c r="AS205" i="6"/>
  <c r="BN205" i="6" s="1"/>
  <c r="AR46" i="6"/>
  <c r="BM46" i="6" s="1"/>
  <c r="AU145" i="6"/>
  <c r="BP145" i="6" s="1"/>
  <c r="AF220" i="6"/>
  <c r="BA220" i="6" s="1"/>
  <c r="AN205" i="6"/>
  <c r="BI205" i="6" s="1"/>
  <c r="AH224" i="6"/>
  <c r="BC224" i="6" s="1"/>
  <c r="AO224" i="6"/>
  <c r="BJ224" i="6" s="1"/>
  <c r="AP220" i="6"/>
  <c r="BK220" i="6" s="1"/>
  <c r="AH220" i="6"/>
  <c r="BC220" i="6" s="1"/>
  <c r="AJ205" i="6"/>
  <c r="BE205" i="6" s="1"/>
  <c r="AU205" i="6"/>
  <c r="BP205" i="6" s="1"/>
  <c r="AF224" i="6"/>
  <c r="BA224" i="6" s="1"/>
  <c r="AS224" i="6"/>
  <c r="BN224" i="6" s="1"/>
  <c r="AJ197" i="6"/>
  <c r="BE197" i="6" s="1"/>
  <c r="AP56" i="6"/>
  <c r="BK56" i="6" s="1"/>
  <c r="AR56" i="6"/>
  <c r="BM56" i="6" s="1"/>
  <c r="AS43" i="6"/>
  <c r="BN43" i="6" s="1"/>
  <c r="AO53" i="6"/>
  <c r="BJ53" i="6" s="1"/>
  <c r="AO46" i="6"/>
  <c r="BJ46" i="6" s="1"/>
  <c r="AP55" i="6"/>
  <c r="BK55" i="6" s="1"/>
  <c r="AU61" i="6"/>
  <c r="BP61" i="6" s="1"/>
  <c r="AD51" i="6"/>
  <c r="AY51" i="6" s="1"/>
  <c r="AD196" i="6"/>
  <c r="AY196" i="6" s="1"/>
  <c r="AD42" i="6"/>
  <c r="AY42" i="6" s="1"/>
  <c r="AD141" i="6"/>
  <c r="AY141" i="6" s="1"/>
  <c r="AD33" i="6"/>
  <c r="AY33" i="6" s="1"/>
  <c r="AW220" i="6"/>
  <c r="BR220" i="6" s="1"/>
  <c r="AF205" i="6"/>
  <c r="BA205" i="6" s="1"/>
  <c r="AC46" i="6"/>
  <c r="AN63" i="6"/>
  <c r="BI63" i="6" s="1"/>
  <c r="AS42" i="6"/>
  <c r="BN42" i="6" s="1"/>
  <c r="AP53" i="6"/>
  <c r="BK53" i="6" s="1"/>
  <c r="AJ55" i="6"/>
  <c r="BE55" i="6" s="1"/>
  <c r="AC63" i="6"/>
  <c r="AR208" i="6"/>
  <c r="BM208" i="6" s="1"/>
  <c r="AF145" i="6"/>
  <c r="BA145" i="6" s="1"/>
  <c r="AI136" i="6"/>
  <c r="BD136" i="6" s="1"/>
  <c r="AI139" i="6"/>
  <c r="BD139" i="6" s="1"/>
  <c r="AP43" i="6"/>
  <c r="BK43" i="6" s="1"/>
  <c r="AU49" i="6"/>
  <c r="BP49" i="6" s="1"/>
  <c r="AJ53" i="6"/>
  <c r="BE53" i="6" s="1"/>
  <c r="AW46" i="6"/>
  <c r="BR46" i="6" s="1"/>
  <c r="AM55" i="6"/>
  <c r="AO63" i="6"/>
  <c r="BJ63" i="6" s="1"/>
  <c r="AR61" i="6"/>
  <c r="BM61" i="6" s="1"/>
  <c r="AM144" i="6"/>
  <c r="BH144" i="6" s="1"/>
  <c r="AN42" i="6"/>
  <c r="BI42" i="6" s="1"/>
  <c r="AJ144" i="6"/>
  <c r="BE144" i="6" s="1"/>
  <c r="AD52" i="6"/>
  <c r="AY52" i="6" s="1"/>
  <c r="AD194" i="6"/>
  <c r="AY194" i="6" s="1"/>
  <c r="AD149" i="6"/>
  <c r="AY149" i="6" s="1"/>
  <c r="AD58" i="6"/>
  <c r="AY58" i="6" s="1"/>
  <c r="AD217" i="6"/>
  <c r="AY217" i="6" s="1"/>
  <c r="AD150" i="6"/>
  <c r="AY150" i="6" s="1"/>
  <c r="AI46" i="6"/>
  <c r="BD46" i="6" s="1"/>
  <c r="AM46" i="6"/>
  <c r="BH46" i="6" s="1"/>
  <c r="AP205" i="6"/>
  <c r="BK205" i="6" s="1"/>
  <c r="AP145" i="6"/>
  <c r="BK145" i="6" s="1"/>
  <c r="AI145" i="6"/>
  <c r="BD145" i="6" s="1"/>
  <c r="AW63" i="6"/>
  <c r="BR63" i="6" s="1"/>
  <c r="AH42" i="6"/>
  <c r="BC42" i="6" s="1"/>
  <c r="AR205" i="6"/>
  <c r="BM205" i="6" s="1"/>
  <c r="AO206" i="6"/>
  <c r="BJ206" i="6" s="1"/>
  <c r="AO205" i="6"/>
  <c r="BJ205" i="6" s="1"/>
  <c r="AI201" i="6"/>
  <c r="BD201" i="6" s="1"/>
  <c r="AF201" i="6"/>
  <c r="BA201" i="6" s="1"/>
  <c r="AN224" i="6"/>
  <c r="BI224" i="6" s="1"/>
  <c r="AH144" i="6"/>
  <c r="BC144" i="6" s="1"/>
  <c r="AH139" i="6"/>
  <c r="AO56" i="6"/>
  <c r="BJ56" i="6" s="1"/>
  <c r="AH46" i="6"/>
  <c r="AN53" i="6"/>
  <c r="BI53" i="6" s="1"/>
  <c r="AN54" i="6"/>
  <c r="BI54" i="6" s="1"/>
  <c r="AS39" i="6"/>
  <c r="BN39" i="6" s="1"/>
  <c r="AI55" i="6"/>
  <c r="BD55" i="6" s="1"/>
  <c r="AM64" i="6"/>
  <c r="BH64" i="6" s="1"/>
  <c r="AF64" i="6"/>
  <c r="BA64" i="6" s="1"/>
  <c r="AP61" i="6"/>
  <c r="BK61" i="6" s="1"/>
  <c r="AF49" i="6"/>
  <c r="BA49" i="6" s="1"/>
  <c r="AJ56" i="6"/>
  <c r="BE56" i="6" s="1"/>
  <c r="AC49" i="6"/>
  <c r="AC144" i="6"/>
  <c r="AD138" i="6"/>
  <c r="AY138" i="6" s="1"/>
  <c r="AD208" i="6"/>
  <c r="AY208" i="6" s="1"/>
  <c r="AD136" i="6"/>
  <c r="AY136" i="6" s="1"/>
  <c r="AD206" i="6"/>
  <c r="AY206" i="6" s="1"/>
  <c r="AD213" i="6"/>
  <c r="AY213" i="6" s="1"/>
  <c r="AD197" i="6"/>
  <c r="AY197" i="6" s="1"/>
  <c r="AD43" i="6"/>
  <c r="AY43" i="6" s="1"/>
  <c r="AD135" i="6"/>
  <c r="AY135" i="6" s="1"/>
  <c r="AD49" i="6"/>
  <c r="AY49" i="6" s="1"/>
  <c r="AD200" i="6"/>
  <c r="AY200" i="6" s="1"/>
  <c r="AR42" i="6"/>
  <c r="BM42" i="6" s="1"/>
  <c r="AH55" i="6"/>
  <c r="BC55" i="6" s="1"/>
  <c r="AH56" i="6"/>
  <c r="AF206" i="6"/>
  <c r="BA206" i="6" s="1"/>
  <c r="AH206" i="6"/>
  <c r="BC206" i="6" s="1"/>
  <c r="AJ220" i="6"/>
  <c r="BE220" i="6" s="1"/>
  <c r="AO220" i="6"/>
  <c r="BJ220" i="6" s="1"/>
  <c r="AW197" i="6"/>
  <c r="BR197" i="6" s="1"/>
  <c r="AU224" i="6"/>
  <c r="BP224" i="6" s="1"/>
  <c r="AP136" i="6"/>
  <c r="BK136" i="6" s="1"/>
  <c r="AS145" i="6"/>
  <c r="BN145" i="6" s="1"/>
  <c r="AI140" i="6"/>
  <c r="BD140" i="6" s="1"/>
  <c r="AC139" i="6"/>
  <c r="AO43" i="6"/>
  <c r="BJ43" i="6" s="1"/>
  <c r="AF54" i="6"/>
  <c r="BA54" i="6" s="1"/>
  <c r="AF43" i="6"/>
  <c r="BA43" i="6" s="1"/>
  <c r="AC53" i="6"/>
  <c r="AM54" i="6"/>
  <c r="BH54" i="6" s="1"/>
  <c r="AM39" i="6"/>
  <c r="BH39" i="6" s="1"/>
  <c r="AC55" i="6"/>
  <c r="AR64" i="6"/>
  <c r="BM64" i="6" s="1"/>
  <c r="AC61" i="6"/>
  <c r="AJ43" i="6"/>
  <c r="BE43" i="6" s="1"/>
  <c r="AF202" i="6"/>
  <c r="BA202" i="6" s="1"/>
  <c r="AC42" i="6"/>
  <c r="AF56" i="6"/>
  <c r="BA56" i="6" s="1"/>
  <c r="AD222" i="6"/>
  <c r="AY222" i="6" s="1"/>
  <c r="AD195" i="6"/>
  <c r="AY195" i="6" s="1"/>
  <c r="AD211" i="6"/>
  <c r="AY211" i="6" s="1"/>
  <c r="AO42" i="6"/>
  <c r="BJ42" i="6" s="1"/>
  <c r="AH205" i="6"/>
  <c r="BC205" i="6" s="1"/>
  <c r="AI220" i="6"/>
  <c r="BD220" i="6" s="1"/>
  <c r="AC208" i="6"/>
  <c r="AS201" i="6"/>
  <c r="BN201" i="6" s="1"/>
  <c r="AM220" i="6"/>
  <c r="BH220" i="6" s="1"/>
  <c r="AW202" i="6"/>
  <c r="BR202" i="6" s="1"/>
  <c r="AR224" i="6"/>
  <c r="BM224" i="6" s="1"/>
  <c r="AO146" i="6"/>
  <c r="BJ146" i="6" s="1"/>
  <c r="AO145" i="6"/>
  <c r="BJ145" i="6" s="1"/>
  <c r="AJ146" i="6"/>
  <c r="BE146" i="6" s="1"/>
  <c r="AF136" i="6"/>
  <c r="BA136" i="6" s="1"/>
  <c r="AW139" i="6"/>
  <c r="BR139" i="6" s="1"/>
  <c r="AJ136" i="6"/>
  <c r="BE136" i="6" s="1"/>
  <c r="AF46" i="6"/>
  <c r="BA46" i="6" s="1"/>
  <c r="AH53" i="6"/>
  <c r="BC53" i="6" s="1"/>
  <c r="AU56" i="6"/>
  <c r="BP56" i="6" s="1"/>
  <c r="AM42" i="6"/>
  <c r="BH42" i="6" s="1"/>
  <c r="AW53" i="6"/>
  <c r="BR53" i="6" s="1"/>
  <c r="AP54" i="6"/>
  <c r="BK54" i="6" s="1"/>
  <c r="AJ39" i="6"/>
  <c r="BE39" i="6" s="1"/>
  <c r="AW55" i="6"/>
  <c r="BR55" i="6" s="1"/>
  <c r="AS64" i="6"/>
  <c r="BN64" i="6" s="1"/>
  <c r="AJ61" i="6"/>
  <c r="BE61" i="6" s="1"/>
  <c r="AM56" i="6"/>
  <c r="BH56" i="6" s="1"/>
  <c r="AN144" i="6"/>
  <c r="BI144" i="6" s="1"/>
  <c r="AR146" i="6"/>
  <c r="BM146" i="6" s="1"/>
  <c r="AW42" i="6"/>
  <c r="BR42" i="6" s="1"/>
  <c r="AD209" i="6"/>
  <c r="AY209" i="6" s="1"/>
  <c r="AD215" i="6"/>
  <c r="AY215" i="6" s="1"/>
  <c r="AR53" i="6"/>
  <c r="BM53" i="6" s="1"/>
  <c r="AI205" i="6"/>
  <c r="BD205" i="6" s="1"/>
  <c r="AM224" i="6"/>
  <c r="BH224" i="6" s="1"/>
  <c r="AI42" i="6"/>
  <c r="AC56" i="6"/>
  <c r="AU206" i="6"/>
  <c r="BP206" i="6" s="1"/>
  <c r="AP208" i="6"/>
  <c r="BK208" i="6" s="1"/>
  <c r="AP224" i="6"/>
  <c r="BK224" i="6" s="1"/>
  <c r="AS136" i="6"/>
  <c r="BN136" i="6" s="1"/>
  <c r="AU139" i="6"/>
  <c r="BP139" i="6" s="1"/>
  <c r="AH140" i="6"/>
  <c r="BC140" i="6" s="1"/>
  <c r="AP42" i="6"/>
  <c r="BK42" i="6" s="1"/>
  <c r="AS56" i="6"/>
  <c r="BN56" i="6" s="1"/>
  <c r="AI49" i="6"/>
  <c r="BD49" i="6" s="1"/>
  <c r="AI43" i="6"/>
  <c r="AU46" i="6"/>
  <c r="BP46" i="6" s="1"/>
  <c r="AO54" i="6"/>
  <c r="BJ54" i="6" s="1"/>
  <c r="AN39" i="6"/>
  <c r="BI39" i="6" s="1"/>
  <c r="AU55" i="6"/>
  <c r="BP55" i="6" s="1"/>
  <c r="AW61" i="6"/>
  <c r="BR61" i="6" s="1"/>
  <c r="AF63" i="6"/>
  <c r="BA63" i="6" s="1"/>
  <c r="AC146" i="6"/>
  <c r="AD36" i="6"/>
  <c r="AY36" i="6" s="1"/>
  <c r="AD41" i="6"/>
  <c r="AY41" i="6" s="1"/>
  <c r="AD142" i="6"/>
  <c r="AY142" i="6" s="1"/>
  <c r="AD216" i="6"/>
  <c r="AY216" i="6" s="1"/>
  <c r="AI53" i="6"/>
  <c r="BD53" i="6" s="1"/>
  <c r="AJ63" i="6"/>
  <c r="BE63" i="6" s="1"/>
  <c r="AP201" i="6"/>
  <c r="BK201" i="6" s="1"/>
  <c r="AW206" i="6"/>
  <c r="BR206" i="6" s="1"/>
  <c r="AM145" i="6"/>
  <c r="BH145" i="6" s="1"/>
  <c r="AN146" i="6"/>
  <c r="BI146" i="6" s="1"/>
  <c r="AF144" i="6"/>
  <c r="BA144" i="6" s="1"/>
  <c r="AN43" i="6"/>
  <c r="BI43" i="6" s="1"/>
  <c r="AR49" i="6"/>
  <c r="BM49" i="6" s="1"/>
  <c r="AU43" i="6"/>
  <c r="BP43" i="6" s="1"/>
  <c r="AS55" i="6"/>
  <c r="BN55" i="6" s="1"/>
  <c r="AP63" i="6"/>
  <c r="BK63" i="6" s="1"/>
  <c r="AD221" i="6"/>
  <c r="AY221" i="6" s="1"/>
  <c r="AD204" i="6"/>
  <c r="AY204" i="6" s="1"/>
  <c r="BR49" i="6"/>
  <c r="BN135" i="6"/>
  <c r="BJ59" i="6"/>
  <c r="BN62" i="6"/>
  <c r="BR56" i="6"/>
  <c r="BA40" i="6"/>
  <c r="BM41" i="6"/>
  <c r="BR142" i="6"/>
  <c r="BP146" i="6"/>
  <c r="BK150" i="6"/>
  <c r="BP136" i="6"/>
  <c r="BA139" i="6"/>
  <c r="BR32" i="6"/>
  <c r="BA42" i="6"/>
  <c r="BK141" i="6"/>
  <c r="BD39" i="6"/>
  <c r="BN46" i="6"/>
  <c r="BD63" i="6"/>
  <c r="BP47" i="6"/>
  <c r="BK138" i="6"/>
  <c r="BM144" i="6"/>
  <c r="BN149" i="6"/>
  <c r="BI61" i="6"/>
  <c r="BK48" i="6"/>
  <c r="BP143" i="6"/>
  <c r="BH140" i="6"/>
  <c r="BH52" i="6"/>
  <c r="BI38" i="6"/>
  <c r="BD45" i="6"/>
  <c r="BD60" i="6"/>
  <c r="BD54" i="6"/>
  <c r="BC64" i="6"/>
  <c r="BC134" i="6"/>
  <c r="BD134" i="6"/>
  <c r="BE134" i="6"/>
  <c r="BH134" i="6"/>
  <c r="BI134" i="6"/>
  <c r="BJ134" i="6"/>
  <c r="BK134" i="6"/>
  <c r="BM134" i="6"/>
  <c r="BA134" i="6"/>
  <c r="BN134" i="6"/>
  <c r="BP134" i="6"/>
  <c r="BR134" i="6"/>
  <c r="BP33" i="6"/>
  <c r="BA147" i="6"/>
  <c r="BH53" i="6"/>
  <c r="BP35" i="6"/>
  <c r="AP147" i="6"/>
  <c r="BK147" i="6" s="1"/>
  <c r="AW211" i="6"/>
  <c r="BR211" i="6" s="1"/>
  <c r="AU204" i="6"/>
  <c r="BP204" i="6" s="1"/>
  <c r="AW59" i="6"/>
  <c r="BR59" i="6" s="1"/>
  <c r="AM59" i="6"/>
  <c r="BH59" i="6" s="1"/>
  <c r="AM38" i="6"/>
  <c r="BH38" i="6" s="1"/>
  <c r="AJ38" i="6"/>
  <c r="BE38" i="6" s="1"/>
  <c r="AN45" i="6"/>
  <c r="BI45" i="6" s="1"/>
  <c r="AH38" i="6"/>
  <c r="BC38" i="6" s="1"/>
  <c r="AR35" i="6"/>
  <c r="BM35" i="6" s="1"/>
  <c r="AM35" i="6"/>
  <c r="BH35" i="6" s="1"/>
  <c r="AP35" i="6"/>
  <c r="BK35" i="6" s="1"/>
  <c r="AU149" i="6"/>
  <c r="BP149" i="6" s="1"/>
  <c r="AJ45" i="6"/>
  <c r="BE45" i="6" s="1"/>
  <c r="AP44" i="6"/>
  <c r="BK44" i="6" s="1"/>
  <c r="AU150" i="6"/>
  <c r="BP150" i="6" s="1"/>
  <c r="AF59" i="6"/>
  <c r="BA59" i="6" s="1"/>
  <c r="AN59" i="6"/>
  <c r="BI59" i="6" s="1"/>
  <c r="AN141" i="6"/>
  <c r="BI141" i="6" s="1"/>
  <c r="AW195" i="6"/>
  <c r="BR195" i="6" s="1"/>
  <c r="AJ59" i="6"/>
  <c r="BE59" i="6" s="1"/>
  <c r="AI59" i="6"/>
  <c r="BD59" i="6" s="1"/>
  <c r="AR44" i="6"/>
  <c r="BM44" i="6" s="1"/>
  <c r="AF35" i="6"/>
  <c r="BA35" i="6" s="1"/>
  <c r="AI37" i="6"/>
  <c r="BD37" i="6" s="1"/>
  <c r="AS33" i="6"/>
  <c r="BN33" i="6" s="1"/>
  <c r="AN215" i="6"/>
  <c r="BI215" i="6" s="1"/>
  <c r="AH59" i="6"/>
  <c r="BC59" i="6" s="1"/>
  <c r="AP51" i="6"/>
  <c r="BK51" i="6" s="1"/>
  <c r="AM211" i="6"/>
  <c r="BH211" i="6" s="1"/>
  <c r="AO51" i="6"/>
  <c r="BJ51" i="6" s="1"/>
  <c r="AW37" i="6"/>
  <c r="BR37" i="6" s="1"/>
  <c r="AC59" i="6"/>
  <c r="AR59" i="6"/>
  <c r="BM59" i="6" s="1"/>
  <c r="AS59" i="6"/>
  <c r="BN59" i="6" s="1"/>
  <c r="AP59" i="6"/>
  <c r="BK59" i="6" s="1"/>
  <c r="AJ37" i="6"/>
  <c r="BE37" i="6" s="1"/>
  <c r="AF38" i="6"/>
  <c r="BA38" i="6" s="1"/>
  <c r="AU59" i="6"/>
  <c r="BP59" i="6" s="1"/>
  <c r="AS215" i="6"/>
  <c r="BN215" i="6" s="1"/>
  <c r="AJ204" i="6"/>
  <c r="BE204" i="6" s="1"/>
  <c r="AF143" i="6"/>
  <c r="BA143" i="6" s="1"/>
  <c r="AR37" i="6"/>
  <c r="BM37" i="6" s="1"/>
  <c r="AU40" i="6"/>
  <c r="BP40" i="6" s="1"/>
  <c r="AJ215" i="6"/>
  <c r="BE215" i="6" s="1"/>
  <c r="AW215" i="6"/>
  <c r="BR215" i="6" s="1"/>
  <c r="AO196" i="6"/>
  <c r="BJ196" i="6" s="1"/>
  <c r="AN211" i="6"/>
  <c r="BI211" i="6" s="1"/>
  <c r="AR48" i="6"/>
  <c r="BM48" i="6" s="1"/>
  <c r="AU215" i="6"/>
  <c r="BP215" i="6" s="1"/>
  <c r="AM216" i="6"/>
  <c r="BH216" i="6" s="1"/>
  <c r="AC222" i="6"/>
  <c r="AN196" i="6"/>
  <c r="BI196" i="6" s="1"/>
  <c r="AP37" i="6"/>
  <c r="BK37" i="6" s="1"/>
  <c r="AS200" i="6"/>
  <c r="BN200" i="6" s="1"/>
  <c r="AS204" i="6"/>
  <c r="BN204" i="6" s="1"/>
  <c r="AS37" i="6"/>
  <c r="BN37" i="6" s="1"/>
  <c r="AJ52" i="6"/>
  <c r="BE52" i="6" s="1"/>
  <c r="AP209" i="6"/>
  <c r="BK209" i="6" s="1"/>
  <c r="AR209" i="6"/>
  <c r="BM209" i="6" s="1"/>
  <c r="AN198" i="6"/>
  <c r="BI198" i="6" s="1"/>
  <c r="AU51" i="6"/>
  <c r="BP51" i="6" s="1"/>
  <c r="AS47" i="6"/>
  <c r="BN47" i="6" s="1"/>
  <c r="AI44" i="6"/>
  <c r="BD44" i="6" s="1"/>
  <c r="AM51" i="6"/>
  <c r="BH51" i="6" s="1"/>
  <c r="AF44" i="6"/>
  <c r="BA44" i="6" s="1"/>
  <c r="AW35" i="6"/>
  <c r="BR35" i="6" s="1"/>
  <c r="AC35" i="6"/>
  <c r="AO215" i="6"/>
  <c r="BJ215" i="6" s="1"/>
  <c r="AP215" i="6"/>
  <c r="BK215" i="6" s="1"/>
  <c r="AN204" i="6"/>
  <c r="BI204" i="6" s="1"/>
  <c r="AU221" i="6"/>
  <c r="BP221" i="6" s="1"/>
  <c r="AO211" i="6"/>
  <c r="BJ211" i="6" s="1"/>
  <c r="AO198" i="6"/>
  <c r="BJ198" i="6" s="1"/>
  <c r="AJ35" i="6"/>
  <c r="BE35" i="6" s="1"/>
  <c r="AN44" i="6"/>
  <c r="BI44" i="6" s="1"/>
  <c r="AR147" i="6"/>
  <c r="BM147" i="6" s="1"/>
  <c r="AJ44" i="6"/>
  <c r="BE44" i="6" s="1"/>
  <c r="AI38" i="6"/>
  <c r="BD38" i="6" s="1"/>
  <c r="AO216" i="6"/>
  <c r="BJ216" i="6" s="1"/>
  <c r="AH198" i="6"/>
  <c r="BC198" i="6" s="1"/>
  <c r="AU198" i="6"/>
  <c r="BP198" i="6" s="1"/>
  <c r="AW209" i="6"/>
  <c r="BR209" i="6" s="1"/>
  <c r="AH211" i="6"/>
  <c r="BC211" i="6" s="1"/>
  <c r="AS221" i="6"/>
  <c r="BN221" i="6" s="1"/>
  <c r="AI215" i="6"/>
  <c r="BD215" i="6" s="1"/>
  <c r="AN51" i="6"/>
  <c r="BI51" i="6" s="1"/>
  <c r="AS44" i="6"/>
  <c r="BN44" i="6" s="1"/>
  <c r="AW44" i="6"/>
  <c r="BR44" i="6" s="1"/>
  <c r="AI204" i="6"/>
  <c r="BD204" i="6" s="1"/>
  <c r="AS198" i="6"/>
  <c r="BN198" i="6" s="1"/>
  <c r="AC198" i="6"/>
  <c r="AF198" i="6"/>
  <c r="BA198" i="6" s="1"/>
  <c r="AO44" i="6"/>
  <c r="BJ44" i="6" s="1"/>
  <c r="AS51" i="6"/>
  <c r="BN51" i="6" s="1"/>
  <c r="AI35" i="6"/>
  <c r="BD35" i="6" s="1"/>
  <c r="AF51" i="6"/>
  <c r="BA51" i="6" s="1"/>
  <c r="AH35" i="6"/>
  <c r="BC35" i="6" s="1"/>
  <c r="AN35" i="6"/>
  <c r="BI35" i="6" s="1"/>
  <c r="AF210" i="6"/>
  <c r="BA210" i="6" s="1"/>
  <c r="AR200" i="6"/>
  <c r="BM200" i="6" s="1"/>
  <c r="AM195" i="6"/>
  <c r="BH195" i="6" s="1"/>
  <c r="AU209" i="6"/>
  <c r="BP209" i="6" s="1"/>
  <c r="AR51" i="6"/>
  <c r="BM51" i="6" s="1"/>
  <c r="AI51" i="6"/>
  <c r="BD51" i="6" s="1"/>
  <c r="AJ51" i="6"/>
  <c r="BE51" i="6" s="1"/>
  <c r="AU41" i="6"/>
  <c r="BP41" i="6" s="1"/>
  <c r="AR215" i="6"/>
  <c r="BM215" i="6" s="1"/>
  <c r="AJ211" i="6"/>
  <c r="BE211" i="6" s="1"/>
  <c r="AR221" i="6"/>
  <c r="BM221" i="6" s="1"/>
  <c r="AF209" i="6"/>
  <c r="BA209" i="6" s="1"/>
  <c r="AJ209" i="6"/>
  <c r="BE209" i="6" s="1"/>
  <c r="AI211" i="6"/>
  <c r="BD211" i="6" s="1"/>
  <c r="AH215" i="6"/>
  <c r="BC215" i="6" s="1"/>
  <c r="AM198" i="6"/>
  <c r="BH198" i="6" s="1"/>
  <c r="AI196" i="6"/>
  <c r="BD196" i="6" s="1"/>
  <c r="AS35" i="6"/>
  <c r="BN35" i="6" s="1"/>
  <c r="AR198" i="6"/>
  <c r="BM198" i="6" s="1"/>
  <c r="AR204" i="6"/>
  <c r="BM204" i="6" s="1"/>
  <c r="AJ200" i="6"/>
  <c r="BE200" i="6" s="1"/>
  <c r="AO35" i="6"/>
  <c r="BJ35" i="6" s="1"/>
  <c r="AI58" i="6"/>
  <c r="BD58" i="6" s="1"/>
  <c r="AM44" i="6"/>
  <c r="BH44" i="6" s="1"/>
  <c r="AN40" i="6"/>
  <c r="BI40" i="6" s="1"/>
  <c r="AW40" i="6"/>
  <c r="BR40" i="6" s="1"/>
  <c r="AC40" i="6"/>
  <c r="AI40" i="6"/>
  <c r="BD40" i="6" s="1"/>
  <c r="AH40" i="6"/>
  <c r="BC40" i="6" s="1"/>
  <c r="AJ40" i="6"/>
  <c r="BE40" i="6" s="1"/>
  <c r="AM40" i="6"/>
  <c r="BH40" i="6" s="1"/>
  <c r="AO40" i="6"/>
  <c r="BJ40" i="6" s="1"/>
  <c r="AP40" i="6"/>
  <c r="BK40" i="6" s="1"/>
  <c r="AR40" i="6"/>
  <c r="BM40" i="6" s="1"/>
  <c r="AJ58" i="6"/>
  <c r="BE58" i="6" s="1"/>
  <c r="AM58" i="6"/>
  <c r="BH58" i="6" s="1"/>
  <c r="AS34" i="6"/>
  <c r="BN34" i="6" s="1"/>
  <c r="AW34" i="6"/>
  <c r="BR34" i="6" s="1"/>
  <c r="AF34" i="6"/>
  <c r="BA34" i="6" s="1"/>
  <c r="AH34" i="6"/>
  <c r="BC34" i="6" s="1"/>
  <c r="AJ34" i="6"/>
  <c r="BE34" i="6" s="1"/>
  <c r="AC34" i="6"/>
  <c r="AI34" i="6"/>
  <c r="BD34" i="6" s="1"/>
  <c r="AM34" i="6"/>
  <c r="BH34" i="6" s="1"/>
  <c r="AN34" i="6"/>
  <c r="BI34" i="6" s="1"/>
  <c r="AO34" i="6"/>
  <c r="BJ34" i="6" s="1"/>
  <c r="AR58" i="6"/>
  <c r="BM58" i="6" s="1"/>
  <c r="AO37" i="6"/>
  <c r="BJ37" i="6" s="1"/>
  <c r="AW58" i="6"/>
  <c r="BR58" i="6" s="1"/>
  <c r="AC45" i="6"/>
  <c r="AO45" i="6"/>
  <c r="BJ45" i="6" s="1"/>
  <c r="AP45" i="6"/>
  <c r="BK45" i="6" s="1"/>
  <c r="AS45" i="6"/>
  <c r="BN45" i="6" s="1"/>
  <c r="AU45" i="6"/>
  <c r="BP45" i="6" s="1"/>
  <c r="AW45" i="6"/>
  <c r="BR45" i="6" s="1"/>
  <c r="AR45" i="6"/>
  <c r="BM45" i="6" s="1"/>
  <c r="AS41" i="6"/>
  <c r="BN41" i="6" s="1"/>
  <c r="AI41" i="6"/>
  <c r="BD41" i="6" s="1"/>
  <c r="AW41" i="6"/>
  <c r="BR41" i="6" s="1"/>
  <c r="AH41" i="6"/>
  <c r="BC41" i="6" s="1"/>
  <c r="AJ41" i="6"/>
  <c r="BE41" i="6" s="1"/>
  <c r="AC41" i="6"/>
  <c r="AF41" i="6"/>
  <c r="BA41" i="6" s="1"/>
  <c r="AM41" i="6"/>
  <c r="BH41" i="6" s="1"/>
  <c r="AN41" i="6"/>
  <c r="BI41" i="6" s="1"/>
  <c r="AO41" i="6"/>
  <c r="BJ41" i="6" s="1"/>
  <c r="AC52" i="6"/>
  <c r="AP52" i="6"/>
  <c r="BK52" i="6" s="1"/>
  <c r="AR52" i="6"/>
  <c r="BM52" i="6" s="1"/>
  <c r="AS52" i="6"/>
  <c r="BN52" i="6" s="1"/>
  <c r="AU52" i="6"/>
  <c r="BP52" i="6" s="1"/>
  <c r="AW52" i="6"/>
  <c r="BR52" i="6" s="1"/>
  <c r="AW33" i="6"/>
  <c r="BR33" i="6" s="1"/>
  <c r="AC33" i="6"/>
  <c r="AI33" i="6"/>
  <c r="BD33" i="6" s="1"/>
  <c r="AM33" i="6"/>
  <c r="BH33" i="6" s="1"/>
  <c r="AH33" i="6"/>
  <c r="BC33" i="6" s="1"/>
  <c r="AJ33" i="6"/>
  <c r="BE33" i="6" s="1"/>
  <c r="AN33" i="6"/>
  <c r="BI33" i="6" s="1"/>
  <c r="AO33" i="6"/>
  <c r="BJ33" i="6" s="1"/>
  <c r="AP33" i="6"/>
  <c r="BK33" i="6" s="1"/>
  <c r="AR33" i="6"/>
  <c r="BM33" i="6" s="1"/>
  <c r="AM47" i="6"/>
  <c r="BH47" i="6" s="1"/>
  <c r="AW47" i="6"/>
  <c r="BR47" i="6" s="1"/>
  <c r="AC47" i="6"/>
  <c r="AJ47" i="6"/>
  <c r="BE47" i="6" s="1"/>
  <c r="AN47" i="6"/>
  <c r="BI47" i="6" s="1"/>
  <c r="AH47" i="6"/>
  <c r="BC47" i="6" s="1"/>
  <c r="AI47" i="6"/>
  <c r="BD47" i="6" s="1"/>
  <c r="AO47" i="6"/>
  <c r="BJ47" i="6" s="1"/>
  <c r="AP47" i="6"/>
  <c r="BK47" i="6" s="1"/>
  <c r="AR47" i="6"/>
  <c r="BM47" i="6" s="1"/>
  <c r="AO58" i="6"/>
  <c r="BJ58" i="6" s="1"/>
  <c r="AP41" i="6"/>
  <c r="BK41" i="6" s="1"/>
  <c r="AP34" i="6"/>
  <c r="BK34" i="6" s="1"/>
  <c r="AH45" i="6"/>
  <c r="BC45" i="6" s="1"/>
  <c r="AU34" i="6"/>
  <c r="BP34" i="6" s="1"/>
  <c r="AN37" i="6"/>
  <c r="BI37" i="6" s="1"/>
  <c r="AN58" i="6"/>
  <c r="BI58" i="6" s="1"/>
  <c r="AN52" i="6"/>
  <c r="BI52" i="6" s="1"/>
  <c r="AW51" i="6"/>
  <c r="BR51" i="6" s="1"/>
  <c r="AF58" i="6"/>
  <c r="BA58" i="6" s="1"/>
  <c r="AS40" i="6"/>
  <c r="BN40" i="6" s="1"/>
  <c r="AF52" i="6"/>
  <c r="BA52" i="6" s="1"/>
  <c r="AU37" i="6"/>
  <c r="BP37" i="6" s="1"/>
  <c r="AM45" i="6"/>
  <c r="BH45" i="6" s="1"/>
  <c r="AU44" i="6"/>
  <c r="BP44" i="6" s="1"/>
  <c r="AU58" i="6"/>
  <c r="BP58" i="6" s="1"/>
  <c r="AO52" i="6"/>
  <c r="BJ52" i="6" s="1"/>
  <c r="AP58" i="6"/>
  <c r="BK58" i="6" s="1"/>
  <c r="AR34" i="6"/>
  <c r="BM34" i="6" s="1"/>
  <c r="AM37" i="6"/>
  <c r="BH37" i="6" s="1"/>
  <c r="AI52" i="6"/>
  <c r="BD52" i="6" s="1"/>
  <c r="AS58" i="6"/>
  <c r="BN58" i="6" s="1"/>
  <c r="AF47" i="6"/>
  <c r="BA47" i="6" s="1"/>
  <c r="AF37" i="6"/>
  <c r="BA37" i="6" s="1"/>
  <c r="AH51" i="6"/>
  <c r="BC51" i="6" s="1"/>
  <c r="AF45" i="6"/>
  <c r="BA45" i="6" s="1"/>
  <c r="AH52" i="6"/>
  <c r="BC52" i="6" s="1"/>
  <c r="AF33" i="6"/>
  <c r="BA33" i="6" s="1"/>
  <c r="AF48" i="6"/>
  <c r="BA48" i="6" s="1"/>
  <c r="AS48" i="6"/>
  <c r="BN48" i="6" s="1"/>
  <c r="AH48" i="6"/>
  <c r="BC48" i="6" s="1"/>
  <c r="AU48" i="6"/>
  <c r="BP48" i="6" s="1"/>
  <c r="AW48" i="6"/>
  <c r="BR48" i="6" s="1"/>
  <c r="AI48" i="6"/>
  <c r="BD48" i="6" s="1"/>
  <c r="AC48" i="6"/>
  <c r="AJ48" i="6"/>
  <c r="BE48" i="6" s="1"/>
  <c r="AM48" i="6"/>
  <c r="BH48" i="6" s="1"/>
  <c r="AN48" i="6"/>
  <c r="BI48" i="6" s="1"/>
  <c r="AO48" i="6"/>
  <c r="BJ48" i="6" s="1"/>
  <c r="AC38" i="6"/>
  <c r="AR38" i="6"/>
  <c r="BM38" i="6" s="1"/>
  <c r="AO38" i="6"/>
  <c r="BJ38" i="6" s="1"/>
  <c r="AP38" i="6"/>
  <c r="BK38" i="6" s="1"/>
  <c r="AU38" i="6"/>
  <c r="BP38" i="6" s="1"/>
  <c r="AS38" i="6"/>
  <c r="BN38" i="6" s="1"/>
  <c r="AW38" i="6"/>
  <c r="BR38" i="6" s="1"/>
  <c r="AH44" i="6"/>
  <c r="BC44" i="6" s="1"/>
  <c r="AH37" i="6"/>
  <c r="BC37" i="6" s="1"/>
  <c r="AH58" i="6"/>
  <c r="BC58" i="6" s="1"/>
  <c r="AH196" i="6"/>
  <c r="BC196" i="6" s="1"/>
  <c r="AO141" i="6"/>
  <c r="BJ141" i="6" s="1"/>
  <c r="AF196" i="6"/>
  <c r="BA196" i="6" s="1"/>
  <c r="AX134" i="6"/>
  <c r="AH210" i="6"/>
  <c r="BC210" i="6" s="1"/>
  <c r="AW200" i="6"/>
  <c r="BR200" i="6" s="1"/>
  <c r="AM204" i="6"/>
  <c r="BH204" i="6" s="1"/>
  <c r="AU210" i="6"/>
  <c r="BP210" i="6" s="1"/>
  <c r="AI147" i="6"/>
  <c r="BD147" i="6" s="1"/>
  <c r="AO209" i="6"/>
  <c r="BJ209" i="6" s="1"/>
  <c r="AC209" i="6"/>
  <c r="AH209" i="6"/>
  <c r="BC209" i="6" s="1"/>
  <c r="AN195" i="6"/>
  <c r="BI195" i="6" s="1"/>
  <c r="AH195" i="6"/>
  <c r="BC195" i="6" s="1"/>
  <c r="AM209" i="6"/>
  <c r="BH209" i="6" s="1"/>
  <c r="AI195" i="6"/>
  <c r="BD195" i="6" s="1"/>
  <c r="AU141" i="6"/>
  <c r="BP141" i="6" s="1"/>
  <c r="AR211" i="6"/>
  <c r="BM211" i="6" s="1"/>
  <c r="AC211" i="6"/>
  <c r="AF211" i="6"/>
  <c r="BA211" i="6" s="1"/>
  <c r="AH200" i="6"/>
  <c r="BC200" i="6" s="1"/>
  <c r="AP195" i="6"/>
  <c r="BK195" i="6" s="1"/>
  <c r="AU138" i="6"/>
  <c r="BP138" i="6" s="1"/>
  <c r="AM141" i="6"/>
  <c r="BH141" i="6" s="1"/>
  <c r="AW210" i="6"/>
  <c r="BR210" i="6" s="1"/>
  <c r="AF195" i="6"/>
  <c r="BA195" i="6" s="1"/>
  <c r="AW213" i="6"/>
  <c r="BR213" i="6" s="1"/>
  <c r="AU211" i="6"/>
  <c r="BP211" i="6" s="1"/>
  <c r="AO204" i="6"/>
  <c r="BJ204" i="6" s="1"/>
  <c r="AP204" i="6"/>
  <c r="BK204" i="6" s="1"/>
  <c r="AW204" i="6"/>
  <c r="BR204" i="6" s="1"/>
  <c r="AR195" i="6"/>
  <c r="BM195" i="6" s="1"/>
  <c r="AN209" i="6"/>
  <c r="BI209" i="6" s="1"/>
  <c r="AP211" i="6"/>
  <c r="BK211" i="6" s="1"/>
  <c r="AF141" i="6"/>
  <c r="BA141" i="6" s="1"/>
  <c r="AS195" i="6"/>
  <c r="BN195" i="6" s="1"/>
  <c r="AO195" i="6"/>
  <c r="BJ195" i="6" s="1"/>
  <c r="AI209" i="6"/>
  <c r="BD209" i="6" s="1"/>
  <c r="AF135" i="6"/>
  <c r="BA135" i="6" s="1"/>
  <c r="AM196" i="6"/>
  <c r="BH196" i="6" s="1"/>
  <c r="AU195" i="6"/>
  <c r="BP195" i="6" s="1"/>
  <c r="AI135" i="6"/>
  <c r="BD135" i="6" s="1"/>
  <c r="AW135" i="6"/>
  <c r="BR135" i="6" s="1"/>
  <c r="AC135" i="6"/>
  <c r="AH135" i="6"/>
  <c r="BC135" i="6" s="1"/>
  <c r="AN135" i="6"/>
  <c r="BI135" i="6" s="1"/>
  <c r="AJ135" i="6"/>
  <c r="BE135" i="6" s="1"/>
  <c r="AM135" i="6"/>
  <c r="BH135" i="6" s="1"/>
  <c r="AO135" i="6"/>
  <c r="BJ135" i="6" s="1"/>
  <c r="AR135" i="6"/>
  <c r="BM135" i="6" s="1"/>
  <c r="AP135" i="6"/>
  <c r="BK135" i="6" s="1"/>
  <c r="AW141" i="6"/>
  <c r="BR141" i="6" s="1"/>
  <c r="AC141" i="6"/>
  <c r="AJ141" i="6"/>
  <c r="BE141" i="6" s="1"/>
  <c r="AW143" i="6"/>
  <c r="BR143" i="6" s="1"/>
  <c r="AI143" i="6"/>
  <c r="BD143" i="6" s="1"/>
  <c r="AC143" i="6"/>
  <c r="AH143" i="6"/>
  <c r="BC143" i="6" s="1"/>
  <c r="AN143" i="6"/>
  <c r="BI143" i="6" s="1"/>
  <c r="AJ143" i="6"/>
  <c r="BE143" i="6" s="1"/>
  <c r="AM143" i="6"/>
  <c r="BH143" i="6" s="1"/>
  <c r="AO143" i="6"/>
  <c r="BJ143" i="6" s="1"/>
  <c r="AP143" i="6"/>
  <c r="BK143" i="6" s="1"/>
  <c r="AR143" i="6"/>
  <c r="BM143" i="6" s="1"/>
  <c r="AF138" i="6"/>
  <c r="BA138" i="6" s="1"/>
  <c r="AR138" i="6"/>
  <c r="BM138" i="6" s="1"/>
  <c r="AS138" i="6"/>
  <c r="BN138" i="6" s="1"/>
  <c r="AW138" i="6"/>
  <c r="BR138" i="6" s="1"/>
  <c r="AC138" i="6"/>
  <c r="AJ138" i="6"/>
  <c r="BE138" i="6" s="1"/>
  <c r="AH138" i="6"/>
  <c r="BC138" i="6" s="1"/>
  <c r="AI138" i="6"/>
  <c r="BD138" i="6" s="1"/>
  <c r="AM138" i="6"/>
  <c r="BH138" i="6" s="1"/>
  <c r="AN138" i="6"/>
  <c r="BI138" i="6" s="1"/>
  <c r="AO138" i="6"/>
  <c r="BJ138" i="6" s="1"/>
  <c r="AS143" i="6"/>
  <c r="BN143" i="6" s="1"/>
  <c r="AW147" i="6"/>
  <c r="BR147" i="6" s="1"/>
  <c r="AC147" i="6"/>
  <c r="AN147" i="6"/>
  <c r="BI147" i="6" s="1"/>
  <c r="AS141" i="6"/>
  <c r="BN141" i="6" s="1"/>
  <c r="AH147" i="6"/>
  <c r="BC147" i="6" s="1"/>
  <c r="AU135" i="6"/>
  <c r="BP135" i="6" s="1"/>
  <c r="AO147" i="6"/>
  <c r="BJ147" i="6" s="1"/>
  <c r="AH141" i="6"/>
  <c r="BC141" i="6" s="1"/>
  <c r="AJ147" i="6"/>
  <c r="BE147" i="6" s="1"/>
  <c r="AM147" i="6"/>
  <c r="BH147" i="6" s="1"/>
  <c r="AU147" i="6"/>
  <c r="BP147" i="6" s="1"/>
  <c r="AF150" i="6"/>
  <c r="BA150" i="6" s="1"/>
  <c r="AR150" i="6"/>
  <c r="BM150" i="6" s="1"/>
  <c r="AS150" i="6"/>
  <c r="BN150" i="6" s="1"/>
  <c r="AW150" i="6"/>
  <c r="BR150" i="6" s="1"/>
  <c r="AC150" i="6"/>
  <c r="AJ150" i="6"/>
  <c r="BE150" i="6" s="1"/>
  <c r="AH150" i="6"/>
  <c r="BC150" i="6" s="1"/>
  <c r="AI150" i="6"/>
  <c r="BD150" i="6" s="1"/>
  <c r="AM150" i="6"/>
  <c r="BH150" i="6" s="1"/>
  <c r="AN150" i="6"/>
  <c r="BI150" i="6" s="1"/>
  <c r="AO150" i="6"/>
  <c r="BJ150" i="6" s="1"/>
  <c r="AI141" i="6"/>
  <c r="BD141" i="6" s="1"/>
  <c r="AR141" i="6"/>
  <c r="BM141" i="6" s="1"/>
  <c r="AW149" i="6"/>
  <c r="BR149" i="6" s="1"/>
  <c r="AC149" i="6"/>
  <c r="AI149" i="6"/>
  <c r="BD149" i="6" s="1"/>
  <c r="AH149" i="6"/>
  <c r="BC149" i="6" s="1"/>
  <c r="AN149" i="6"/>
  <c r="BI149" i="6" s="1"/>
  <c r="AJ149" i="6"/>
  <c r="BE149" i="6" s="1"/>
  <c r="AM149" i="6"/>
  <c r="BH149" i="6" s="1"/>
  <c r="AO149" i="6"/>
  <c r="BJ149" i="6" s="1"/>
  <c r="AP149" i="6"/>
  <c r="BK149" i="6" s="1"/>
  <c r="AR149" i="6"/>
  <c r="BM149" i="6" s="1"/>
  <c r="AF149" i="6"/>
  <c r="BA149" i="6" s="1"/>
  <c r="AS147" i="6"/>
  <c r="BN147" i="6" s="1"/>
  <c r="AF216" i="6"/>
  <c r="BA216" i="6" s="1"/>
  <c r="AU213" i="6"/>
  <c r="BP213" i="6" s="1"/>
  <c r="AO200" i="6"/>
  <c r="BJ200" i="6" s="1"/>
  <c r="AU200" i="6"/>
  <c r="BP200" i="6" s="1"/>
  <c r="AR213" i="6"/>
  <c r="BM213" i="6" s="1"/>
  <c r="AR196" i="6"/>
  <c r="BM196" i="6" s="1"/>
  <c r="AW217" i="6"/>
  <c r="BR217" i="6" s="1"/>
  <c r="AR216" i="6"/>
  <c r="BM216" i="6" s="1"/>
  <c r="AW216" i="6"/>
  <c r="BR216" i="6" s="1"/>
  <c r="AO213" i="6"/>
  <c r="BJ213" i="6" s="1"/>
  <c r="AI213" i="6"/>
  <c r="BD213" i="6" s="1"/>
  <c r="AC213" i="6"/>
  <c r="AH213" i="6"/>
  <c r="BC213" i="6" s="1"/>
  <c r="AJ213" i="6"/>
  <c r="BE213" i="6" s="1"/>
  <c r="AW222" i="6"/>
  <c r="BR222" i="6" s="1"/>
  <c r="AI222" i="6"/>
  <c r="BD222" i="6" s="1"/>
  <c r="AR222" i="6"/>
  <c r="BM222" i="6" s="1"/>
  <c r="AP222" i="6"/>
  <c r="BK222" i="6" s="1"/>
  <c r="AS222" i="6"/>
  <c r="BN222" i="6" s="1"/>
  <c r="AM222" i="6"/>
  <c r="BH222" i="6" s="1"/>
  <c r="AN222" i="6"/>
  <c r="BI222" i="6" s="1"/>
  <c r="AO222" i="6"/>
  <c r="BJ222" i="6" s="1"/>
  <c r="AC194" i="6"/>
  <c r="AI194" i="6"/>
  <c r="BD194" i="6" s="1"/>
  <c r="AM194" i="6"/>
  <c r="BH194" i="6" s="1"/>
  <c r="AN194" i="6"/>
  <c r="BI194" i="6" s="1"/>
  <c r="AR194" i="6"/>
  <c r="BM194" i="6" s="1"/>
  <c r="AO194" i="6"/>
  <c r="BJ194" i="6" s="1"/>
  <c r="AP194" i="6"/>
  <c r="BK194" i="6" s="1"/>
  <c r="AS194" i="6"/>
  <c r="BN194" i="6" s="1"/>
  <c r="AF221" i="6"/>
  <c r="BA221" i="6" s="1"/>
  <c r="AP221" i="6"/>
  <c r="BK221" i="6" s="1"/>
  <c r="AH221" i="6"/>
  <c r="BC221" i="6" s="1"/>
  <c r="AI221" i="6"/>
  <c r="BD221" i="6" s="1"/>
  <c r="AN221" i="6"/>
  <c r="BI221" i="6" s="1"/>
  <c r="AJ221" i="6"/>
  <c r="BE221" i="6" s="1"/>
  <c r="AM221" i="6"/>
  <c r="BH221" i="6" s="1"/>
  <c r="AO221" i="6"/>
  <c r="BJ221" i="6" s="1"/>
  <c r="AJ222" i="6"/>
  <c r="BE222" i="6" s="1"/>
  <c r="AS210" i="6"/>
  <c r="BN210" i="6" s="1"/>
  <c r="AC210" i="6"/>
  <c r="AI210" i="6"/>
  <c r="BD210" i="6" s="1"/>
  <c r="AJ210" i="6"/>
  <c r="BE210" i="6" s="1"/>
  <c r="AM210" i="6"/>
  <c r="BH210" i="6" s="1"/>
  <c r="AN210" i="6"/>
  <c r="BI210" i="6" s="1"/>
  <c r="AN200" i="6"/>
  <c r="BI200" i="6" s="1"/>
  <c r="AC200" i="6"/>
  <c r="AJ194" i="6"/>
  <c r="BE194" i="6" s="1"/>
  <c r="AW194" i="6"/>
  <c r="BR194" i="6" s="1"/>
  <c r="AU222" i="6"/>
  <c r="BP222" i="6" s="1"/>
  <c r="AN213" i="6"/>
  <c r="BI213" i="6" s="1"/>
  <c r="AP196" i="6"/>
  <c r="BK196" i="6" s="1"/>
  <c r="AH194" i="6"/>
  <c r="BC194" i="6" s="1"/>
  <c r="AP217" i="6"/>
  <c r="BK217" i="6" s="1"/>
  <c r="AI200" i="6"/>
  <c r="BD200" i="6" s="1"/>
  <c r="AP200" i="6"/>
  <c r="BK200" i="6" s="1"/>
  <c r="AN216" i="6"/>
  <c r="BI216" i="6" s="1"/>
  <c r="AW221" i="6"/>
  <c r="BR221" i="6" s="1"/>
  <c r="AJ198" i="6"/>
  <c r="BE198" i="6" s="1"/>
  <c r="AF222" i="6"/>
  <c r="BA222" i="6" s="1"/>
  <c r="AF213" i="6"/>
  <c r="BA213" i="6" s="1"/>
  <c r="AF200" i="6"/>
  <c r="BA200" i="6" s="1"/>
  <c r="AM217" i="6"/>
  <c r="BH217" i="6" s="1"/>
  <c r="AC196" i="6"/>
  <c r="AP216" i="6"/>
  <c r="BK216" i="6" s="1"/>
  <c r="AS216" i="6"/>
  <c r="BN216" i="6" s="1"/>
  <c r="AP213" i="6"/>
  <c r="BK213" i="6" s="1"/>
  <c r="AS213" i="6"/>
  <c r="BN213" i="6" s="1"/>
  <c r="AW198" i="6"/>
  <c r="BR198" i="6" s="1"/>
  <c r="AO217" i="6"/>
  <c r="BJ217" i="6" s="1"/>
  <c r="AR217" i="6"/>
  <c r="BM217" i="6" s="1"/>
  <c r="AU216" i="6"/>
  <c r="BP216" i="6" s="1"/>
  <c r="AR210" i="6"/>
  <c r="BM210" i="6" s="1"/>
  <c r="AS196" i="6"/>
  <c r="BN196" i="6" s="1"/>
  <c r="AI198" i="6"/>
  <c r="BD198" i="6" s="1"/>
  <c r="AJ196" i="6"/>
  <c r="BE196" i="6" s="1"/>
  <c r="AF194" i="6"/>
  <c r="BA194" i="6" s="1"/>
  <c r="AJ195" i="6"/>
  <c r="BE195" i="6" s="1"/>
  <c r="AU196" i="6"/>
  <c r="BP196" i="6" s="1"/>
  <c r="AM215" i="6"/>
  <c r="BH215" i="6" s="1"/>
  <c r="AC215" i="6"/>
  <c r="AO210" i="6"/>
  <c r="BJ210" i="6" s="1"/>
  <c r="AI217" i="6"/>
  <c r="BD217" i="6" s="1"/>
  <c r="AC217" i="6"/>
  <c r="AH217" i="6"/>
  <c r="BC217" i="6" s="1"/>
  <c r="AN217" i="6"/>
  <c r="BI217" i="6" s="1"/>
  <c r="AJ217" i="6"/>
  <c r="BE217" i="6" s="1"/>
  <c r="AJ216" i="6"/>
  <c r="BE216" i="6" s="1"/>
  <c r="AC216" i="6"/>
  <c r="AU217" i="6"/>
  <c r="BP217" i="6" s="1"/>
  <c r="AF217" i="6"/>
  <c r="BA217" i="6" s="1"/>
  <c r="AI216" i="6"/>
  <c r="BD216" i="6" s="1"/>
  <c r="AH204" i="6"/>
  <c r="BC204" i="6" s="1"/>
  <c r="AC204" i="6"/>
  <c r="AX193" i="6" l="1"/>
  <c r="AX214" i="6"/>
  <c r="AX136" i="6"/>
  <c r="AX57" i="6"/>
  <c r="AX50" i="6"/>
  <c r="AX43" i="6"/>
  <c r="AX137" i="6"/>
  <c r="AX203" i="6"/>
  <c r="AX212" i="6"/>
  <c r="AX49" i="6"/>
  <c r="AX140" i="6"/>
  <c r="AX60" i="6"/>
  <c r="AX148" i="6"/>
  <c r="AX142" i="6"/>
  <c r="AX62" i="6"/>
  <c r="AX202" i="6"/>
  <c r="AX225" i="6"/>
  <c r="AX207" i="6"/>
  <c r="BA50" i="6"/>
  <c r="AX199" i="6"/>
  <c r="AX42" i="6"/>
  <c r="AX46" i="6"/>
  <c r="AX55" i="6"/>
  <c r="AX32" i="6"/>
  <c r="AX36" i="6"/>
  <c r="AX139" i="6"/>
  <c r="AX56" i="6"/>
  <c r="AX223" i="6"/>
  <c r="AX61" i="6"/>
  <c r="AX208" i="6"/>
  <c r="AX218" i="6"/>
  <c r="AX144" i="6"/>
  <c r="BH137" i="6"/>
  <c r="BC139" i="6"/>
  <c r="AX219" i="6"/>
  <c r="BC46" i="6"/>
  <c r="BD43" i="6"/>
  <c r="BH55" i="6"/>
  <c r="AX53" i="6"/>
  <c r="AX64" i="6"/>
  <c r="BD42" i="6"/>
  <c r="AX201" i="6"/>
  <c r="AX145" i="6"/>
  <c r="AX63" i="6"/>
  <c r="BC56" i="6"/>
  <c r="AX205" i="6"/>
  <c r="AX206" i="6"/>
  <c r="AX146" i="6"/>
  <c r="AX54" i="6"/>
  <c r="AX220" i="6"/>
  <c r="AX197" i="6"/>
  <c r="AX39" i="6"/>
  <c r="AX224" i="6"/>
  <c r="AX59" i="6"/>
  <c r="AX211" i="6"/>
  <c r="AX209" i="6"/>
  <c r="AX204" i="6"/>
  <c r="AX38" i="6"/>
  <c r="AX35" i="6"/>
  <c r="AX51" i="6"/>
  <c r="AX40" i="6"/>
  <c r="AX135" i="6"/>
  <c r="AX215" i="6"/>
  <c r="AX44" i="6"/>
  <c r="AX210" i="6"/>
  <c r="AX41" i="6"/>
  <c r="AX195" i="6"/>
  <c r="AX33" i="6"/>
  <c r="AX37" i="6"/>
  <c r="AX47" i="6"/>
  <c r="AX48" i="6"/>
  <c r="AX52" i="6"/>
  <c r="AX34" i="6"/>
  <c r="AX45" i="6"/>
  <c r="AX58" i="6"/>
  <c r="AX222" i="6"/>
  <c r="AX198" i="6"/>
  <c r="AX147" i="6"/>
  <c r="AX141" i="6"/>
  <c r="AX143" i="6"/>
  <c r="AX194" i="6"/>
  <c r="AX196" i="6"/>
  <c r="AX150" i="6"/>
  <c r="AX149" i="6"/>
  <c r="AX138" i="6"/>
  <c r="AX200" i="6"/>
  <c r="AX216" i="6"/>
  <c r="AX221" i="6"/>
  <c r="AX213" i="6"/>
  <c r="AX217" i="6"/>
  <c r="AR284" i="6" l="1"/>
  <c r="AN281" i="6"/>
  <c r="AC282" i="6"/>
  <c r="AI272" i="6"/>
  <c r="AF271" i="6"/>
  <c r="AC279" i="6"/>
  <c r="AC270" i="6"/>
  <c r="AP277" i="6"/>
  <c r="E259" i="6"/>
  <c r="E258" i="6"/>
  <c r="E275" i="6"/>
  <c r="E273" i="6"/>
  <c r="E268" i="6"/>
  <c r="E269" i="6"/>
  <c r="E278" i="6"/>
  <c r="E277" i="6"/>
  <c r="E276" i="6"/>
  <c r="E270" i="6"/>
  <c r="E279" i="6"/>
  <c r="E271" i="6"/>
  <c r="E272" i="6"/>
  <c r="E274" i="6"/>
  <c r="E280" i="6"/>
  <c r="E282" i="6"/>
  <c r="E285" i="6"/>
  <c r="E283" i="6"/>
  <c r="E286" i="6"/>
  <c r="E281" i="6"/>
  <c r="E284" i="6"/>
  <c r="F279" i="6" l="1"/>
  <c r="F273" i="6"/>
  <c r="F283" i="6"/>
  <c r="F271" i="6"/>
  <c r="F268" i="6"/>
  <c r="F269" i="6"/>
  <c r="F285" i="6"/>
  <c r="F275" i="6"/>
  <c r="F258" i="6"/>
  <c r="F272" i="6"/>
  <c r="F280" i="6"/>
  <c r="F276" i="6"/>
  <c r="AS281" i="6"/>
  <c r="F259" i="6"/>
  <c r="F281" i="6"/>
  <c r="F282" i="6"/>
  <c r="F284" i="6"/>
  <c r="F278" i="6"/>
  <c r="F286" i="6"/>
  <c r="AO286" i="6"/>
  <c r="F274" i="6"/>
  <c r="AO281" i="6"/>
  <c r="AH284" i="6"/>
  <c r="AI278" i="6"/>
  <c r="AH277" i="6"/>
  <c r="AW281" i="6"/>
  <c r="AI269" i="6"/>
  <c r="F277" i="6"/>
  <c r="AU281" i="6"/>
  <c r="AU268" i="6"/>
  <c r="AC285" i="6"/>
  <c r="AM285" i="6"/>
  <c r="AN285" i="6"/>
  <c r="AC273" i="6"/>
  <c r="AJ273" i="6"/>
  <c r="AM273" i="6"/>
  <c r="AN273" i="6"/>
  <c r="AP273" i="6"/>
  <c r="AS273" i="6"/>
  <c r="AU273" i="6"/>
  <c r="AW273" i="6"/>
  <c r="AO276" i="6"/>
  <c r="AF276" i="6"/>
  <c r="AH276" i="6"/>
  <c r="AJ276" i="6"/>
  <c r="AP284" i="6"/>
  <c r="AM281" i="6"/>
  <c r="AF277" i="6"/>
  <c r="AC280" i="6"/>
  <c r="AO284" i="6"/>
  <c r="AJ281" i="6"/>
  <c r="AW285" i="6"/>
  <c r="AI279" i="6"/>
  <c r="AC277" i="6"/>
  <c r="AJ274" i="6"/>
  <c r="AN284" i="6"/>
  <c r="AI281" i="6"/>
  <c r="AU285" i="6"/>
  <c r="AH279" i="6"/>
  <c r="AM284" i="6"/>
  <c r="AH281" i="6"/>
  <c r="AS285" i="6"/>
  <c r="AF279" i="6"/>
  <c r="AJ284" i="6"/>
  <c r="AC281" i="6"/>
  <c r="AR285" i="6"/>
  <c r="AN270" i="6"/>
  <c r="AR273" i="6"/>
  <c r="AI284" i="6"/>
  <c r="AF281" i="6"/>
  <c r="AP285" i="6"/>
  <c r="AO285" i="6"/>
  <c r="AI276" i="6"/>
  <c r="AO273" i="6"/>
  <c r="F270" i="6"/>
  <c r="AI285" i="6"/>
  <c r="AO277" i="6"/>
  <c r="AR281" i="6"/>
  <c r="AN277" i="6"/>
  <c r="AH273" i="6"/>
  <c r="AP281" i="6"/>
  <c r="AJ277" i="6"/>
  <c r="AF283" i="6"/>
  <c r="AI277" i="6"/>
  <c r="AN275" i="6"/>
  <c r="AC271" i="6"/>
  <c r="AJ271" i="6"/>
  <c r="AN276" i="6"/>
  <c r="AJ279" i="6"/>
  <c r="AM276" i="6"/>
  <c r="AM277" i="6"/>
  <c r="AH272" i="6"/>
  <c r="AM279" i="6"/>
  <c r="AC276" i="6"/>
  <c r="AF272" i="6"/>
  <c r="AM270" i="6"/>
  <c r="AC272" i="6"/>
  <c r="AJ270" i="6"/>
  <c r="AW277" i="6"/>
  <c r="AI270" i="6"/>
  <c r="AU277" i="6"/>
  <c r="AI271" i="6"/>
  <c r="AH270" i="6"/>
  <c r="AS277" i="6"/>
  <c r="AH271" i="6"/>
  <c r="AF270" i="6"/>
  <c r="AR277" i="6"/>
  <c r="AF284" i="6"/>
  <c r="AN282" i="6"/>
  <c r="AR272" i="6"/>
  <c r="AU279" i="6"/>
  <c r="AW270" i="6"/>
  <c r="AC284" i="6"/>
  <c r="AJ285" i="6"/>
  <c r="AM282" i="6"/>
  <c r="AP272" i="6"/>
  <c r="AR271" i="6"/>
  <c r="AS279" i="6"/>
  <c r="AU270" i="6"/>
  <c r="AW276" i="6"/>
  <c r="AI273" i="6"/>
  <c r="AW271" i="6"/>
  <c r="AO282" i="6"/>
  <c r="AW279" i="6"/>
  <c r="AP271" i="6"/>
  <c r="AW284" i="6"/>
  <c r="AH285" i="6"/>
  <c r="AI282" i="6"/>
  <c r="AN272" i="6"/>
  <c r="AO271" i="6"/>
  <c r="AP279" i="6"/>
  <c r="AR270" i="6"/>
  <c r="AS276" i="6"/>
  <c r="AF273" i="6"/>
  <c r="AU282" i="6"/>
  <c r="AS282" i="6"/>
  <c r="AR282" i="6"/>
  <c r="AS272" i="6"/>
  <c r="AS271" i="6"/>
  <c r="AU284" i="6"/>
  <c r="AF285" i="6"/>
  <c r="AH282" i="6"/>
  <c r="AM272" i="6"/>
  <c r="AN271" i="6"/>
  <c r="AO279" i="6"/>
  <c r="AP270" i="6"/>
  <c r="AR276" i="6"/>
  <c r="AW282" i="6"/>
  <c r="AP282" i="6"/>
  <c r="AU271" i="6"/>
  <c r="AJ282" i="6"/>
  <c r="AR279" i="6"/>
  <c r="AU276" i="6"/>
  <c r="AS284" i="6"/>
  <c r="AF282" i="6"/>
  <c r="AJ272" i="6"/>
  <c r="AM271" i="6"/>
  <c r="AN279" i="6"/>
  <c r="AO270" i="6"/>
  <c r="AP276" i="6"/>
  <c r="AW272" i="6"/>
  <c r="AU272" i="6"/>
  <c r="AO272" i="6"/>
  <c r="AS270" i="6"/>
  <c r="BO259" i="6" l="1"/>
  <c r="BG259" i="6"/>
  <c r="BO277" i="6"/>
  <c r="BG277" i="6"/>
  <c r="BO280" i="6"/>
  <c r="BG280" i="6"/>
  <c r="BO275" i="6"/>
  <c r="BG275" i="6"/>
  <c r="BO269" i="6"/>
  <c r="BG269" i="6"/>
  <c r="BO276" i="6"/>
  <c r="BG276" i="6"/>
  <c r="BO272" i="6"/>
  <c r="BG272" i="6"/>
  <c r="BO274" i="6"/>
  <c r="BG274" i="6"/>
  <c r="BO270" i="6"/>
  <c r="BG270" i="6"/>
  <c r="BO286" i="6"/>
  <c r="BG286" i="6"/>
  <c r="BO268" i="6"/>
  <c r="BG268" i="6"/>
  <c r="BO258" i="6"/>
  <c r="BG258" i="6"/>
  <c r="BO285" i="6"/>
  <c r="BG285" i="6"/>
  <c r="BO278" i="6"/>
  <c r="BG278" i="6"/>
  <c r="BO271" i="6"/>
  <c r="BG271" i="6"/>
  <c r="BO284" i="6"/>
  <c r="BG284" i="6"/>
  <c r="BO283" i="6"/>
  <c r="BG283" i="6"/>
  <c r="BO282" i="6"/>
  <c r="BG282" i="6"/>
  <c r="BO273" i="6"/>
  <c r="BG273" i="6"/>
  <c r="BO281" i="6"/>
  <c r="BG281" i="6"/>
  <c r="BO279" i="6"/>
  <c r="BG279" i="6"/>
  <c r="AZ277" i="6"/>
  <c r="BQ277" i="6"/>
  <c r="AZ259" i="6"/>
  <c r="BQ259" i="6"/>
  <c r="AZ272" i="6"/>
  <c r="BQ272" i="6"/>
  <c r="AZ276" i="6"/>
  <c r="BQ276" i="6"/>
  <c r="AZ285" i="6"/>
  <c r="BQ285" i="6"/>
  <c r="AZ270" i="6"/>
  <c r="BQ270" i="6"/>
  <c r="AZ286" i="6"/>
  <c r="BQ286" i="6"/>
  <c r="AZ278" i="6"/>
  <c r="BQ278" i="6"/>
  <c r="AZ271" i="6"/>
  <c r="BQ271" i="6"/>
  <c r="AZ284" i="6"/>
  <c r="BQ284" i="6"/>
  <c r="AZ283" i="6"/>
  <c r="BQ283" i="6"/>
  <c r="AZ275" i="6"/>
  <c r="BQ275" i="6"/>
  <c r="AZ268" i="6"/>
  <c r="BQ268" i="6"/>
  <c r="AZ282" i="6"/>
  <c r="BQ282" i="6"/>
  <c r="AZ273" i="6"/>
  <c r="BQ273" i="6"/>
  <c r="AZ280" i="6"/>
  <c r="BQ280" i="6"/>
  <c r="AZ258" i="6"/>
  <c r="BQ258" i="6"/>
  <c r="AZ274" i="6"/>
  <c r="BQ274" i="6"/>
  <c r="AZ269" i="6"/>
  <c r="BQ269" i="6"/>
  <c r="AZ281" i="6"/>
  <c r="BQ281" i="6"/>
  <c r="AZ279" i="6"/>
  <c r="BQ279" i="6"/>
  <c r="BL277" i="6"/>
  <c r="BF277" i="6"/>
  <c r="BL280" i="6"/>
  <c r="BF280" i="6"/>
  <c r="BL258" i="6"/>
  <c r="BF258" i="6"/>
  <c r="BL275" i="6"/>
  <c r="BF275" i="6"/>
  <c r="BL274" i="6"/>
  <c r="BF274" i="6"/>
  <c r="BL269" i="6"/>
  <c r="BF269" i="6"/>
  <c r="BL276" i="6"/>
  <c r="BF276" i="6"/>
  <c r="BL272" i="6"/>
  <c r="BF272" i="6"/>
  <c r="BL285" i="6"/>
  <c r="BF285" i="6"/>
  <c r="BL270" i="6"/>
  <c r="BF270" i="6"/>
  <c r="BL286" i="6"/>
  <c r="BF286" i="6"/>
  <c r="BL268" i="6"/>
  <c r="BF268" i="6"/>
  <c r="BL271" i="6"/>
  <c r="BF271" i="6"/>
  <c r="BL278" i="6"/>
  <c r="BF278" i="6"/>
  <c r="BL284" i="6"/>
  <c r="BF284" i="6"/>
  <c r="BL283" i="6"/>
  <c r="BF283" i="6"/>
  <c r="BL259" i="6"/>
  <c r="BF259" i="6"/>
  <c r="BL282" i="6"/>
  <c r="BF282" i="6"/>
  <c r="BL273" i="6"/>
  <c r="BF273" i="6"/>
  <c r="BL281" i="6"/>
  <c r="BF281" i="6"/>
  <c r="BL279" i="6"/>
  <c r="BF279" i="6"/>
  <c r="AY280" i="6"/>
  <c r="BB280" i="6"/>
  <c r="AY258" i="6"/>
  <c r="BB258" i="6"/>
  <c r="AY272" i="6"/>
  <c r="BB272" i="6"/>
  <c r="AY275" i="6"/>
  <c r="BB275" i="6"/>
  <c r="AY259" i="6"/>
  <c r="BB259" i="6"/>
  <c r="AY277" i="6"/>
  <c r="BB277" i="6"/>
  <c r="AY276" i="6"/>
  <c r="BB276" i="6"/>
  <c r="AY274" i="6"/>
  <c r="BB274" i="6"/>
  <c r="AY286" i="6"/>
  <c r="BB286" i="6"/>
  <c r="AY268" i="6"/>
  <c r="BB268" i="6"/>
  <c r="AY278" i="6"/>
  <c r="BB278" i="6"/>
  <c r="AY271" i="6"/>
  <c r="BB271" i="6"/>
  <c r="AY284" i="6"/>
  <c r="BB284" i="6"/>
  <c r="AY283" i="6"/>
  <c r="BB283" i="6"/>
  <c r="AY285" i="6"/>
  <c r="BB285" i="6"/>
  <c r="AY269" i="6"/>
  <c r="BB269" i="6"/>
  <c r="AY270" i="6"/>
  <c r="BB270" i="6"/>
  <c r="AY282" i="6"/>
  <c r="BB282" i="6"/>
  <c r="AY273" i="6"/>
  <c r="BB273" i="6"/>
  <c r="AY281" i="6"/>
  <c r="BB281" i="6"/>
  <c r="AY279" i="6"/>
  <c r="BB279" i="6"/>
  <c r="BN272" i="6"/>
  <c r="BA272" i="6"/>
  <c r="BC272" i="6"/>
  <c r="BD272" i="6"/>
  <c r="BH272" i="6"/>
  <c r="BE272" i="6"/>
  <c r="BK272" i="6"/>
  <c r="BM272" i="6"/>
  <c r="BP272" i="6"/>
  <c r="BR272" i="6"/>
  <c r="BI272" i="6"/>
  <c r="BJ272" i="6"/>
  <c r="BE276" i="6"/>
  <c r="BM276" i="6"/>
  <c r="BN276" i="6"/>
  <c r="BP276" i="6"/>
  <c r="BH276" i="6"/>
  <c r="BI276" i="6"/>
  <c r="BK276" i="6"/>
  <c r="BR276" i="6"/>
  <c r="BC276" i="6"/>
  <c r="BD276" i="6"/>
  <c r="BJ276" i="6"/>
  <c r="BA276" i="6"/>
  <c r="BI275" i="6"/>
  <c r="BE274" i="6"/>
  <c r="BK285" i="6"/>
  <c r="BM285" i="6"/>
  <c r="BP285" i="6"/>
  <c r="BR285" i="6"/>
  <c r="BA285" i="6"/>
  <c r="BN285" i="6"/>
  <c r="BC285" i="6"/>
  <c r="BD285" i="6"/>
  <c r="BE285" i="6"/>
  <c r="BH285" i="6"/>
  <c r="BJ285" i="6"/>
  <c r="BI285" i="6"/>
  <c r="BD269" i="6"/>
  <c r="BJ286" i="6"/>
  <c r="BK271" i="6"/>
  <c r="BA271" i="6"/>
  <c r="BI271" i="6"/>
  <c r="BJ271" i="6"/>
  <c r="BN271" i="6"/>
  <c r="BP271" i="6"/>
  <c r="BR271" i="6"/>
  <c r="BE271" i="6"/>
  <c r="BH271" i="6"/>
  <c r="BM271" i="6"/>
  <c r="BC271" i="6"/>
  <c r="BD271" i="6"/>
  <c r="BI284" i="6"/>
  <c r="BJ284" i="6"/>
  <c r="BM284" i="6"/>
  <c r="BN284" i="6"/>
  <c r="BP284" i="6"/>
  <c r="BC284" i="6"/>
  <c r="BD284" i="6"/>
  <c r="BE284" i="6"/>
  <c r="BH284" i="6"/>
  <c r="BA284" i="6"/>
  <c r="BR284" i="6"/>
  <c r="BK284" i="6"/>
  <c r="BA283" i="6"/>
  <c r="BI270" i="6"/>
  <c r="BP270" i="6"/>
  <c r="BR270" i="6"/>
  <c r="BA270" i="6"/>
  <c r="BD270" i="6"/>
  <c r="BE270" i="6"/>
  <c r="BH270" i="6"/>
  <c r="BK270" i="6"/>
  <c r="BJ270" i="6"/>
  <c r="BC270" i="6"/>
  <c r="BM270" i="6"/>
  <c r="BN270" i="6"/>
  <c r="BP268" i="6"/>
  <c r="BD278" i="6"/>
  <c r="BC282" i="6"/>
  <c r="BD282" i="6"/>
  <c r="BH282" i="6"/>
  <c r="BI282" i="6"/>
  <c r="BJ282" i="6"/>
  <c r="BM282" i="6"/>
  <c r="BA282" i="6"/>
  <c r="BE282" i="6"/>
  <c r="BK282" i="6"/>
  <c r="BR282" i="6"/>
  <c r="BN282" i="6"/>
  <c r="BP282" i="6"/>
  <c r="BR273" i="6"/>
  <c r="BD273" i="6"/>
  <c r="BE273" i="6"/>
  <c r="BH273" i="6"/>
  <c r="BA273" i="6"/>
  <c r="BC273" i="6"/>
  <c r="BJ273" i="6"/>
  <c r="BK273" i="6"/>
  <c r="BM273" i="6"/>
  <c r="BP273" i="6"/>
  <c r="BI273" i="6"/>
  <c r="BN273" i="6"/>
  <c r="BP277" i="6"/>
  <c r="BR277" i="6"/>
  <c r="BN277" i="6"/>
  <c r="BA277" i="6"/>
  <c r="BD277" i="6"/>
  <c r="BE277" i="6"/>
  <c r="BH277" i="6"/>
  <c r="BI277" i="6"/>
  <c r="BJ277" i="6"/>
  <c r="BC277" i="6"/>
  <c r="BK277" i="6"/>
  <c r="BM277" i="6"/>
  <c r="BI281" i="6"/>
  <c r="BC281" i="6"/>
  <c r="BD281" i="6"/>
  <c r="BE281" i="6"/>
  <c r="BJ281" i="6"/>
  <c r="BR281" i="6"/>
  <c r="BA281" i="6"/>
  <c r="BH281" i="6"/>
  <c r="BK281" i="6"/>
  <c r="BM281" i="6"/>
  <c r="BN281" i="6"/>
  <c r="BP281" i="6"/>
  <c r="BA279" i="6"/>
  <c r="BC279" i="6"/>
  <c r="BD279" i="6"/>
  <c r="BI279" i="6"/>
  <c r="BJ279" i="6"/>
  <c r="BM279" i="6"/>
  <c r="BN279" i="6"/>
  <c r="BP279" i="6"/>
  <c r="BK279" i="6"/>
  <c r="BR279" i="6"/>
  <c r="BE279" i="6"/>
  <c r="BH279" i="6"/>
  <c r="AJ280" i="6"/>
  <c r="BE280" i="6" s="1"/>
  <c r="AN280" i="6"/>
  <c r="BI280" i="6" s="1"/>
  <c r="AR278" i="6"/>
  <c r="BM278" i="6" s="1"/>
  <c r="AM278" i="6"/>
  <c r="BH278" i="6" s="1"/>
  <c r="AO278" i="6"/>
  <c r="BJ278" i="6" s="1"/>
  <c r="AJ269" i="6"/>
  <c r="BE269" i="6" s="1"/>
  <c r="AO274" i="6"/>
  <c r="BJ274" i="6" s="1"/>
  <c r="AN269" i="6"/>
  <c r="BI269" i="6" s="1"/>
  <c r="AC269" i="6"/>
  <c r="AF278" i="6"/>
  <c r="BA278" i="6" s="1"/>
  <c r="AP278" i="6"/>
  <c r="BK278" i="6" s="1"/>
  <c r="AS278" i="6"/>
  <c r="BN278" i="6" s="1"/>
  <c r="AU278" i="6"/>
  <c r="BP278" i="6" s="1"/>
  <c r="AR274" i="6"/>
  <c r="BM274" i="6" s="1"/>
  <c r="AS274" i="6"/>
  <c r="BN274" i="6" s="1"/>
  <c r="AW274" i="6"/>
  <c r="BR274" i="6" s="1"/>
  <c r="AW269" i="6"/>
  <c r="BR269" i="6" s="1"/>
  <c r="AM269" i="6"/>
  <c r="BH269" i="6" s="1"/>
  <c r="AU269" i="6"/>
  <c r="BP269" i="6" s="1"/>
  <c r="AN278" i="6"/>
  <c r="BI278" i="6" s="1"/>
  <c r="AW278" i="6"/>
  <c r="BR278" i="6" s="1"/>
  <c r="AC278" i="6"/>
  <c r="AJ278" i="6"/>
  <c r="BE278" i="6" s="1"/>
  <c r="AS269" i="6"/>
  <c r="BN269" i="6" s="1"/>
  <c r="AI286" i="6"/>
  <c r="BD286" i="6" s="1"/>
  <c r="AN274" i="6"/>
  <c r="BI274" i="6" s="1"/>
  <c r="AM274" i="6"/>
  <c r="BH274" i="6" s="1"/>
  <c r="AF269" i="6"/>
  <c r="BA269" i="6" s="1"/>
  <c r="AH269" i="6"/>
  <c r="BC269" i="6" s="1"/>
  <c r="AH278" i="6"/>
  <c r="BC278" i="6" s="1"/>
  <c r="AP268" i="6"/>
  <c r="BK268" i="6" s="1"/>
  <c r="AF268" i="6"/>
  <c r="BA268" i="6" s="1"/>
  <c r="AS268" i="6"/>
  <c r="BN268" i="6" s="1"/>
  <c r="AO268" i="6"/>
  <c r="BJ268" i="6" s="1"/>
  <c r="AM268" i="6"/>
  <c r="BH268" i="6" s="1"/>
  <c r="AC268" i="6"/>
  <c r="AN268" i="6"/>
  <c r="BI268" i="6" s="1"/>
  <c r="AR268" i="6"/>
  <c r="BM268" i="6" s="1"/>
  <c r="AN286" i="6"/>
  <c r="BI286" i="6" s="1"/>
  <c r="AJ268" i="6"/>
  <c r="BE268" i="6" s="1"/>
  <c r="AO269" i="6"/>
  <c r="BJ269" i="6" s="1"/>
  <c r="AI283" i="6"/>
  <c r="BD283" i="6" s="1"/>
  <c r="AR269" i="6"/>
  <c r="BM269" i="6" s="1"/>
  <c r="AM286" i="6"/>
  <c r="BH286" i="6" s="1"/>
  <c r="AU286" i="6"/>
  <c r="BP286" i="6" s="1"/>
  <c r="AC286" i="6"/>
  <c r="AF286" i="6"/>
  <c r="BA286" i="6" s="1"/>
  <c r="AR286" i="6"/>
  <c r="BM286" i="6" s="1"/>
  <c r="AS286" i="6"/>
  <c r="BN286" i="6" s="1"/>
  <c r="AJ286" i="6"/>
  <c r="BE286" i="6" s="1"/>
  <c r="AP286" i="6"/>
  <c r="BK286" i="6" s="1"/>
  <c r="AI274" i="6"/>
  <c r="BD274" i="6" s="1"/>
  <c r="AH286" i="6"/>
  <c r="BC286" i="6" s="1"/>
  <c r="AW286" i="6"/>
  <c r="BR286" i="6" s="1"/>
  <c r="AI268" i="6"/>
  <c r="BD268" i="6" s="1"/>
  <c r="AW268" i="6"/>
  <c r="BR268" i="6" s="1"/>
  <c r="AH268" i="6"/>
  <c r="BC268" i="6" s="1"/>
  <c r="AP269" i="6"/>
  <c r="BK269" i="6" s="1"/>
  <c r="AX277" i="6"/>
  <c r="AX281" i="6"/>
  <c r="AN283" i="6"/>
  <c r="BI283" i="6" s="1"/>
  <c r="AU275" i="6"/>
  <c r="BP275" i="6" s="1"/>
  <c r="AC275" i="6"/>
  <c r="AS275" i="6"/>
  <c r="BN275" i="6" s="1"/>
  <c r="AH280" i="6"/>
  <c r="BC280" i="6" s="1"/>
  <c r="AI275" i="6"/>
  <c r="BD275" i="6" s="1"/>
  <c r="AO280" i="6"/>
  <c r="BJ280" i="6" s="1"/>
  <c r="AC274" i="6"/>
  <c r="AH274" i="6"/>
  <c r="BC274" i="6" s="1"/>
  <c r="AJ283" i="6"/>
  <c r="BE283" i="6" s="1"/>
  <c r="AX271" i="6"/>
  <c r="AF275" i="6"/>
  <c r="BA275" i="6" s="1"/>
  <c r="AW275" i="6"/>
  <c r="BR275" i="6" s="1"/>
  <c r="AP275" i="6"/>
  <c r="BK275" i="6" s="1"/>
  <c r="AP280" i="6"/>
  <c r="BK280" i="6" s="1"/>
  <c r="AM275" i="6"/>
  <c r="BH275" i="6" s="1"/>
  <c r="AF280" i="6"/>
  <c r="BA280" i="6" s="1"/>
  <c r="AH283" i="6"/>
  <c r="BC283" i="6" s="1"/>
  <c r="AO283" i="6"/>
  <c r="BJ283" i="6" s="1"/>
  <c r="AP283" i="6"/>
  <c r="BK283" i="6" s="1"/>
  <c r="AR283" i="6"/>
  <c r="BM283" i="6" s="1"/>
  <c r="AU283" i="6"/>
  <c r="BP283" i="6" s="1"/>
  <c r="AC283" i="6"/>
  <c r="AI280" i="6"/>
  <c r="BD280" i="6" s="1"/>
  <c r="AR280" i="6"/>
  <c r="BM280" i="6" s="1"/>
  <c r="AJ275" i="6"/>
  <c r="BE275" i="6" s="1"/>
  <c r="AM280" i="6"/>
  <c r="BH280" i="6" s="1"/>
  <c r="AS283" i="6"/>
  <c r="BN283" i="6" s="1"/>
  <c r="AW280" i="6"/>
  <c r="BR280" i="6" s="1"/>
  <c r="AP274" i="6"/>
  <c r="BK274" i="6" s="1"/>
  <c r="AU274" i="6"/>
  <c r="BP274" i="6" s="1"/>
  <c r="AF274" i="6"/>
  <c r="BA274" i="6" s="1"/>
  <c r="AS280" i="6"/>
  <c r="BN280" i="6" s="1"/>
  <c r="AW283" i="6"/>
  <c r="BR283" i="6" s="1"/>
  <c r="AH275" i="6"/>
  <c r="BC275" i="6" s="1"/>
  <c r="AM283" i="6"/>
  <c r="BH283" i="6" s="1"/>
  <c r="AO275" i="6"/>
  <c r="BJ275" i="6" s="1"/>
  <c r="AU280" i="6"/>
  <c r="BP280" i="6" s="1"/>
  <c r="AR275" i="6"/>
  <c r="BM275" i="6" s="1"/>
  <c r="AX272" i="6"/>
  <c r="AX279" i="6"/>
  <c r="AX273" i="6"/>
  <c r="AX285" i="6"/>
  <c r="AX270" i="6"/>
  <c r="AX276" i="6"/>
  <c r="AX284" i="6"/>
  <c r="AX282" i="6"/>
  <c r="E126" i="6"/>
  <c r="E128" i="6"/>
  <c r="E127" i="6"/>
  <c r="E129" i="6"/>
  <c r="E130" i="6"/>
  <c r="E131" i="6"/>
  <c r="E132" i="6"/>
  <c r="E76" i="6"/>
  <c r="E70" i="6"/>
  <c r="E77" i="6"/>
  <c r="E72" i="6"/>
  <c r="E74" i="6"/>
  <c r="E79" i="6"/>
  <c r="E69" i="6"/>
  <c r="E68" i="6"/>
  <c r="E89" i="6"/>
  <c r="E80" i="6"/>
  <c r="E81" i="6"/>
  <c r="E84" i="6"/>
  <c r="E86" i="6"/>
  <c r="E83" i="6"/>
  <c r="E82" i="6"/>
  <c r="E87" i="6"/>
  <c r="E85" i="6"/>
  <c r="E91" i="6"/>
  <c r="E88" i="6"/>
  <c r="E90" i="6"/>
  <c r="E97" i="6"/>
  <c r="E92" i="6"/>
  <c r="E93" i="6"/>
  <c r="E98" i="6"/>
  <c r="E95" i="6"/>
  <c r="E94" i="6"/>
  <c r="E96" i="6"/>
  <c r="E110" i="6"/>
  <c r="E103" i="6"/>
  <c r="E104" i="6"/>
  <c r="E107" i="6"/>
  <c r="E111" i="6"/>
  <c r="E102" i="6"/>
  <c r="E112" i="6"/>
  <c r="E108" i="6"/>
  <c r="E105" i="6"/>
  <c r="E113" i="6"/>
  <c r="E106" i="6"/>
  <c r="E109" i="6"/>
  <c r="E121" i="6"/>
  <c r="E115" i="6"/>
  <c r="E124" i="6"/>
  <c r="E123" i="6"/>
  <c r="E119" i="6"/>
  <c r="E116" i="6"/>
  <c r="E122" i="6"/>
  <c r="E114" i="6"/>
  <c r="E120" i="6"/>
  <c r="E125" i="6"/>
  <c r="E118" i="6"/>
  <c r="E117" i="6"/>
  <c r="E164" i="6"/>
  <c r="E157" i="6"/>
  <c r="E158" i="6"/>
  <c r="E163" i="6"/>
  <c r="E165" i="6"/>
  <c r="E156" i="6"/>
  <c r="E167" i="6"/>
  <c r="E161" i="6"/>
  <c r="E159" i="6"/>
  <c r="E166" i="6"/>
  <c r="E160" i="6"/>
  <c r="E162" i="6"/>
  <c r="E181" i="6"/>
  <c r="E173" i="6"/>
  <c r="E176" i="6"/>
  <c r="E178" i="6"/>
  <c r="E180" i="6"/>
  <c r="E177" i="6"/>
  <c r="E184" i="6"/>
  <c r="E174" i="6"/>
  <c r="E179" i="6"/>
  <c r="E182" i="6"/>
  <c r="E175" i="6"/>
  <c r="E183" i="6"/>
  <c r="E187" i="6"/>
  <c r="E185" i="6"/>
  <c r="E188" i="6"/>
  <c r="E189" i="6"/>
  <c r="E186" i="6"/>
  <c r="E190" i="6"/>
  <c r="E191" i="6"/>
  <c r="E227" i="6"/>
  <c r="E226" i="6"/>
  <c r="E228" i="6"/>
  <c r="E231" i="6"/>
  <c r="E233" i="6"/>
  <c r="E229" i="6"/>
  <c r="E234" i="6"/>
  <c r="E232" i="6"/>
  <c r="E230" i="6"/>
  <c r="E237" i="6"/>
  <c r="E235" i="6"/>
  <c r="E236" i="6"/>
  <c r="E243" i="6"/>
  <c r="E238" i="6"/>
  <c r="E240" i="6"/>
  <c r="E242" i="6"/>
  <c r="E244" i="6"/>
  <c r="E246" i="6"/>
  <c r="E249" i="6"/>
  <c r="E241" i="6"/>
  <c r="E245" i="6"/>
  <c r="E247" i="6"/>
  <c r="E239" i="6"/>
  <c r="E248" i="6"/>
  <c r="E254" i="6"/>
  <c r="E250" i="6"/>
  <c r="E257" i="6"/>
  <c r="E252" i="6"/>
  <c r="E251" i="6"/>
  <c r="E253" i="6"/>
  <c r="E255" i="6"/>
  <c r="AX278" i="6" l="1"/>
  <c r="F132" i="6"/>
  <c r="F131" i="6"/>
  <c r="AX275" i="6"/>
  <c r="AX268" i="6"/>
  <c r="AX274" i="6"/>
  <c r="AX269" i="6"/>
  <c r="AX283" i="6"/>
  <c r="F128" i="6"/>
  <c r="AX286" i="6"/>
  <c r="F126" i="6"/>
  <c r="AX280" i="6"/>
  <c r="AW258" i="6"/>
  <c r="BR258" i="6" s="1"/>
  <c r="F130" i="6"/>
  <c r="F129" i="6"/>
  <c r="F127" i="6"/>
  <c r="F248" i="6"/>
  <c r="F124" i="6"/>
  <c r="F83" i="6"/>
  <c r="F102" i="6"/>
  <c r="F88" i="6"/>
  <c r="F70" i="6"/>
  <c r="F164" i="6"/>
  <c r="F69" i="6"/>
  <c r="F85" i="6"/>
  <c r="F253" i="6"/>
  <c r="F105" i="6"/>
  <c r="F92" i="6"/>
  <c r="F107" i="6"/>
  <c r="F246" i="6"/>
  <c r="F90" i="6"/>
  <c r="F86" i="6"/>
  <c r="F257" i="6"/>
  <c r="F162" i="6"/>
  <c r="F116" i="6"/>
  <c r="F163" i="6"/>
  <c r="F226" i="6"/>
  <c r="F184" i="6"/>
  <c r="F77" i="6"/>
  <c r="F185" i="6"/>
  <c r="F109" i="6"/>
  <c r="F251" i="6"/>
  <c r="F110" i="6"/>
  <c r="F167" i="6"/>
  <c r="F112" i="6"/>
  <c r="F125" i="6"/>
  <c r="F245" i="6"/>
  <c r="F240" i="6"/>
  <c r="F95" i="6"/>
  <c r="F68" i="6"/>
  <c r="F234" i="6"/>
  <c r="F183" i="6"/>
  <c r="F180" i="6"/>
  <c r="F166" i="6"/>
  <c r="F120" i="6"/>
  <c r="F106" i="6"/>
  <c r="F97" i="6"/>
  <c r="F243" i="6"/>
  <c r="F114" i="6"/>
  <c r="F96" i="6"/>
  <c r="F81" i="6"/>
  <c r="F250" i="6"/>
  <c r="F118" i="6"/>
  <c r="F104" i="6"/>
  <c r="F80" i="6"/>
  <c r="F165" i="6"/>
  <c r="F247" i="6"/>
  <c r="F236" i="6"/>
  <c r="F233" i="6"/>
  <c r="F186" i="6"/>
  <c r="F182" i="6"/>
  <c r="F176" i="6"/>
  <c r="F242" i="6"/>
  <c r="F190" i="6"/>
  <c r="F175" i="6"/>
  <c r="F178" i="6"/>
  <c r="F115" i="6"/>
  <c r="F249" i="6"/>
  <c r="F119" i="6"/>
  <c r="F252" i="6"/>
  <c r="F254" i="6"/>
  <c r="F157" i="6"/>
  <c r="F98" i="6"/>
  <c r="F161" i="6"/>
  <c r="F232" i="6"/>
  <c r="F227" i="6"/>
  <c r="F187" i="6"/>
  <c r="F177" i="6"/>
  <c r="F160" i="6"/>
  <c r="F231" i="6"/>
  <c r="F179" i="6"/>
  <c r="F173" i="6"/>
  <c r="F79" i="6"/>
  <c r="F87" i="6"/>
  <c r="F237" i="6"/>
  <c r="F188" i="6"/>
  <c r="F174" i="6"/>
  <c r="F181" i="6"/>
  <c r="F108" i="6"/>
  <c r="F74" i="6"/>
  <c r="F76" i="6"/>
  <c r="F111" i="6"/>
  <c r="F103" i="6"/>
  <c r="F94" i="6"/>
  <c r="F93" i="6"/>
  <c r="F72" i="6"/>
  <c r="F230" i="6"/>
  <c r="F189" i="6"/>
  <c r="F122" i="6"/>
  <c r="F123" i="6"/>
  <c r="F121" i="6"/>
  <c r="F113" i="6"/>
  <c r="F229" i="6"/>
  <c r="F239" i="6"/>
  <c r="F241" i="6"/>
  <c r="F244" i="6"/>
  <c r="F238" i="6"/>
  <c r="F235" i="6"/>
  <c r="F159" i="6"/>
  <c r="F156" i="6"/>
  <c r="F158" i="6"/>
  <c r="F117" i="6"/>
  <c r="F191" i="6"/>
  <c r="F91" i="6"/>
  <c r="F82" i="6"/>
  <c r="F84" i="6"/>
  <c r="F89" i="6"/>
  <c r="F228" i="6"/>
  <c r="F255" i="6"/>
  <c r="AR258" i="6" l="1"/>
  <c r="BM258" i="6" s="1"/>
  <c r="AC258" i="6"/>
  <c r="AU258" i="6"/>
  <c r="BP258" i="6" s="1"/>
  <c r="AS258" i="6"/>
  <c r="BN258" i="6" s="1"/>
  <c r="AP258" i="6"/>
  <c r="BK258" i="6" s="1"/>
  <c r="AJ258" i="6"/>
  <c r="BE258" i="6" s="1"/>
  <c r="AN258" i="6"/>
  <c r="BI258" i="6" s="1"/>
  <c r="AF258" i="6"/>
  <c r="BA258" i="6" s="1"/>
  <c r="AH258" i="6"/>
  <c r="BC258" i="6" s="1"/>
  <c r="AO258" i="6"/>
  <c r="BJ258" i="6" s="1"/>
  <c r="AM258" i="6"/>
  <c r="BH258" i="6" s="1"/>
  <c r="AI258" i="6"/>
  <c r="BD258" i="6" s="1"/>
  <c r="AL2" i="6"/>
  <c r="AV2" i="6" l="1"/>
  <c r="AT2" i="6"/>
  <c r="AK2" i="6"/>
  <c r="AE2" i="6"/>
  <c r="AF2" i="6"/>
  <c r="AG2" i="6"/>
  <c r="AQ2" i="6"/>
  <c r="AD2" i="6"/>
  <c r="AX258" i="6"/>
  <c r="G50" i="7"/>
  <c r="E78" i="6"/>
  <c r="E73" i="6"/>
  <c r="E71" i="6"/>
  <c r="E75" i="6"/>
  <c r="E153" i="6"/>
  <c r="E67" i="6"/>
  <c r="E66" i="6"/>
  <c r="E65" i="6"/>
  <c r="E99" i="6"/>
  <c r="E100" i="6"/>
  <c r="E101" i="6"/>
  <c r="E2" i="6"/>
  <c r="E5" i="6"/>
  <c r="E10" i="6"/>
  <c r="E3" i="6"/>
  <c r="E11" i="6"/>
  <c r="E6" i="6"/>
  <c r="E4" i="6"/>
  <c r="E9" i="6"/>
  <c r="E7" i="6"/>
  <c r="E8" i="6"/>
  <c r="E14" i="6"/>
  <c r="E13" i="6"/>
  <c r="E15" i="6"/>
  <c r="E16" i="6"/>
  <c r="E12" i="6"/>
  <c r="E23" i="6"/>
  <c r="E17" i="6"/>
  <c r="E18" i="6"/>
  <c r="E19" i="6"/>
  <c r="E20" i="6"/>
  <c r="E21" i="6"/>
  <c r="E22" i="6"/>
  <c r="E155" i="6"/>
  <c r="E154" i="6"/>
  <c r="F15" i="6" l="1"/>
  <c r="F100" i="6"/>
  <c r="F20" i="6"/>
  <c r="F19" i="6"/>
  <c r="F18" i="6"/>
  <c r="F16" i="6"/>
  <c r="F13" i="6"/>
  <c r="F99" i="6"/>
  <c r="F21" i="6"/>
  <c r="F154" i="6"/>
  <c r="F101" i="6"/>
  <c r="F75" i="6"/>
  <c r="F71" i="6"/>
  <c r="F14" i="6"/>
  <c r="F65" i="6"/>
  <c r="F17" i="6"/>
  <c r="F23" i="6"/>
  <c r="F12" i="6"/>
  <c r="F73" i="6"/>
  <c r="F66" i="6"/>
  <c r="F78" i="6"/>
  <c r="F67" i="6"/>
  <c r="F22" i="6"/>
  <c r="F155" i="6"/>
  <c r="F153" i="6"/>
  <c r="H19" i="7" l="1"/>
  <c r="F3" i="6" l="1"/>
  <c r="F4" i="6"/>
  <c r="F5" i="6"/>
  <c r="F6" i="6"/>
  <c r="F7" i="6"/>
  <c r="F9" i="6"/>
  <c r="F10" i="6"/>
  <c r="F11" i="6"/>
  <c r="F8" i="6"/>
  <c r="F2" i="6" l="1"/>
  <c r="D10" i="7"/>
  <c r="D11" i="7"/>
  <c r="D12" i="7"/>
  <c r="D13" i="7"/>
  <c r="D14" i="7"/>
  <c r="AB228" i="6" s="1"/>
  <c r="D15" i="7"/>
  <c r="AB231" i="6" s="1"/>
  <c r="D16" i="7"/>
  <c r="AB233" i="6" s="1"/>
  <c r="D17" i="7"/>
  <c r="AB229" i="6" s="1"/>
  <c r="D18" i="7"/>
  <c r="AB234" i="6" s="1"/>
  <c r="D19" i="7"/>
  <c r="AB232" i="6" s="1"/>
  <c r="D20" i="7"/>
  <c r="AB230" i="6" s="1"/>
  <c r="D21" i="7"/>
  <c r="D22" i="7"/>
  <c r="D23" i="7"/>
  <c r="AB236" i="6" s="1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9" i="7"/>
  <c r="AB154" i="6" s="1"/>
  <c r="BO2" i="6" l="1"/>
  <c r="BG2" i="6"/>
  <c r="AT232" i="6"/>
  <c r="BO232" i="6" s="1"/>
  <c r="AL232" i="6"/>
  <c r="BG232" i="6" s="1"/>
  <c r="AT241" i="6"/>
  <c r="BO241" i="6" s="1"/>
  <c r="AL241" i="6"/>
  <c r="BG241" i="6" s="1"/>
  <c r="AT229" i="6"/>
  <c r="BO229" i="6" s="1"/>
  <c r="AL229" i="6"/>
  <c r="BG229" i="6" s="1"/>
  <c r="AT239" i="6"/>
  <c r="BO239" i="6" s="1"/>
  <c r="AL239" i="6"/>
  <c r="BG239" i="6" s="1"/>
  <c r="AT154" i="6"/>
  <c r="BO154" i="6" s="1"/>
  <c r="AL154" i="6"/>
  <c r="BG154" i="6" s="1"/>
  <c r="AT228" i="6"/>
  <c r="BO228" i="6" s="1"/>
  <c r="AL228" i="6"/>
  <c r="BG228" i="6" s="1"/>
  <c r="AT248" i="6"/>
  <c r="BO248" i="6" s="1"/>
  <c r="AL248" i="6"/>
  <c r="BG248" i="6" s="1"/>
  <c r="AT245" i="6"/>
  <c r="BO245" i="6" s="1"/>
  <c r="AL245" i="6"/>
  <c r="BG245" i="6" s="1"/>
  <c r="AT234" i="6"/>
  <c r="BO234" i="6" s="1"/>
  <c r="AL234" i="6"/>
  <c r="BG234" i="6" s="1"/>
  <c r="AT246" i="6"/>
  <c r="BO246" i="6" s="1"/>
  <c r="AL246" i="6"/>
  <c r="BG246" i="6" s="1"/>
  <c r="AT238" i="6"/>
  <c r="BO238" i="6" s="1"/>
  <c r="AL238" i="6"/>
  <c r="BG238" i="6" s="1"/>
  <c r="AT230" i="6"/>
  <c r="BO230" i="6" s="1"/>
  <c r="AL230" i="6"/>
  <c r="BG230" i="6" s="1"/>
  <c r="AT249" i="6"/>
  <c r="BO249" i="6" s="1"/>
  <c r="AL249" i="6"/>
  <c r="BG249" i="6" s="1"/>
  <c r="AT231" i="6"/>
  <c r="BO231" i="6" s="1"/>
  <c r="AL231" i="6"/>
  <c r="BG231" i="6" s="1"/>
  <c r="AT240" i="6"/>
  <c r="BO240" i="6" s="1"/>
  <c r="AL240" i="6"/>
  <c r="BG240" i="6" s="1"/>
  <c r="AT243" i="6"/>
  <c r="BO243" i="6" s="1"/>
  <c r="AL243" i="6"/>
  <c r="BG243" i="6" s="1"/>
  <c r="AT247" i="6"/>
  <c r="BO247" i="6" s="1"/>
  <c r="AL247" i="6"/>
  <c r="BG247" i="6" s="1"/>
  <c r="AT233" i="6"/>
  <c r="BO233" i="6" s="1"/>
  <c r="AL233" i="6"/>
  <c r="BG233" i="6" s="1"/>
  <c r="AT244" i="6"/>
  <c r="BO244" i="6" s="1"/>
  <c r="AL244" i="6"/>
  <c r="BG244" i="6" s="1"/>
  <c r="AT242" i="6"/>
  <c r="BO242" i="6" s="1"/>
  <c r="AL242" i="6"/>
  <c r="BG242" i="6" s="1"/>
  <c r="AT236" i="6"/>
  <c r="BO236" i="6" s="1"/>
  <c r="AL236" i="6"/>
  <c r="BG236" i="6" s="1"/>
  <c r="AZ2" i="6"/>
  <c r="BQ2" i="6"/>
  <c r="AE239" i="6"/>
  <c r="AZ239" i="6" s="1"/>
  <c r="AV239" i="6"/>
  <c r="BQ239" i="6" s="1"/>
  <c r="AE247" i="6"/>
  <c r="AZ247" i="6" s="1"/>
  <c r="AV247" i="6"/>
  <c r="BQ247" i="6" s="1"/>
  <c r="AE232" i="6"/>
  <c r="AZ232" i="6" s="1"/>
  <c r="AV232" i="6"/>
  <c r="BQ232" i="6" s="1"/>
  <c r="AE248" i="6"/>
  <c r="AZ248" i="6" s="1"/>
  <c r="AV248" i="6"/>
  <c r="BQ248" i="6" s="1"/>
  <c r="AE230" i="6"/>
  <c r="AZ230" i="6" s="1"/>
  <c r="AV230" i="6"/>
  <c r="BQ230" i="6" s="1"/>
  <c r="AE249" i="6"/>
  <c r="AZ249" i="6" s="1"/>
  <c r="AV249" i="6"/>
  <c r="BQ249" i="6" s="1"/>
  <c r="AE233" i="6"/>
  <c r="AZ233" i="6" s="1"/>
  <c r="AV233" i="6"/>
  <c r="BQ233" i="6" s="1"/>
  <c r="AE246" i="6"/>
  <c r="AZ246" i="6" s="1"/>
  <c r="AV246" i="6"/>
  <c r="BQ246" i="6" s="1"/>
  <c r="AE231" i="6"/>
  <c r="AZ231" i="6" s="1"/>
  <c r="AV231" i="6"/>
  <c r="BQ231" i="6" s="1"/>
  <c r="AE229" i="6"/>
  <c r="AZ229" i="6" s="1"/>
  <c r="AV229" i="6"/>
  <c r="BQ229" i="6" s="1"/>
  <c r="AE244" i="6"/>
  <c r="AZ244" i="6" s="1"/>
  <c r="AV244" i="6"/>
  <c r="BQ244" i="6" s="1"/>
  <c r="AE228" i="6"/>
  <c r="AZ228" i="6" s="1"/>
  <c r="AV228" i="6"/>
  <c r="BQ228" i="6" s="1"/>
  <c r="AE234" i="6"/>
  <c r="AZ234" i="6" s="1"/>
  <c r="AV234" i="6"/>
  <c r="BQ234" i="6" s="1"/>
  <c r="AE242" i="6"/>
  <c r="AZ242" i="6" s="1"/>
  <c r="AV242" i="6"/>
  <c r="BQ242" i="6" s="1"/>
  <c r="AE238" i="6"/>
  <c r="AZ238" i="6" s="1"/>
  <c r="AV238" i="6"/>
  <c r="BQ238" i="6" s="1"/>
  <c r="AE241" i="6"/>
  <c r="AZ241" i="6" s="1"/>
  <c r="AV241" i="6"/>
  <c r="BQ241" i="6" s="1"/>
  <c r="AE240" i="6"/>
  <c r="AZ240" i="6" s="1"/>
  <c r="AV240" i="6"/>
  <c r="BQ240" i="6" s="1"/>
  <c r="AE243" i="6"/>
  <c r="AZ243" i="6" s="1"/>
  <c r="AV243" i="6"/>
  <c r="BQ243" i="6" s="1"/>
  <c r="AE245" i="6"/>
  <c r="AZ245" i="6" s="1"/>
  <c r="AV245" i="6"/>
  <c r="BQ245" i="6" s="1"/>
  <c r="AE154" i="6"/>
  <c r="AZ154" i="6" s="1"/>
  <c r="AV154" i="6"/>
  <c r="BQ154" i="6" s="1"/>
  <c r="AE236" i="6"/>
  <c r="AZ236" i="6" s="1"/>
  <c r="AV236" i="6"/>
  <c r="BQ236" i="6" s="1"/>
  <c r="BF2" i="6"/>
  <c r="AQ232" i="6"/>
  <c r="BL232" i="6" s="1"/>
  <c r="AK232" i="6"/>
  <c r="BF232" i="6" s="1"/>
  <c r="AQ247" i="6"/>
  <c r="BL247" i="6" s="1"/>
  <c r="AK247" i="6"/>
  <c r="BF247" i="6" s="1"/>
  <c r="AQ246" i="6"/>
  <c r="BL246" i="6" s="1"/>
  <c r="AK246" i="6"/>
  <c r="BF246" i="6" s="1"/>
  <c r="AQ231" i="6"/>
  <c r="BL231" i="6" s="1"/>
  <c r="AK231" i="6"/>
  <c r="BF231" i="6" s="1"/>
  <c r="AQ245" i="6"/>
  <c r="BL245" i="6" s="1"/>
  <c r="AK245" i="6"/>
  <c r="BF245" i="6" s="1"/>
  <c r="AQ249" i="6"/>
  <c r="BL249" i="6" s="1"/>
  <c r="AK249" i="6"/>
  <c r="BF249" i="6" s="1"/>
  <c r="AQ228" i="6"/>
  <c r="BL228" i="6" s="1"/>
  <c r="AK228" i="6"/>
  <c r="BF228" i="6" s="1"/>
  <c r="AQ230" i="6"/>
  <c r="BL230" i="6" s="1"/>
  <c r="AK230" i="6"/>
  <c r="BF230" i="6" s="1"/>
  <c r="AQ229" i="6"/>
  <c r="BL229" i="6" s="1"/>
  <c r="AK229" i="6"/>
  <c r="BF229" i="6" s="1"/>
  <c r="AQ244" i="6"/>
  <c r="BL244" i="6" s="1"/>
  <c r="AK244" i="6"/>
  <c r="BF244" i="6" s="1"/>
  <c r="AQ238" i="6"/>
  <c r="BL238" i="6" s="1"/>
  <c r="AK238" i="6"/>
  <c r="BF238" i="6" s="1"/>
  <c r="AQ239" i="6"/>
  <c r="BL239" i="6" s="1"/>
  <c r="AK239" i="6"/>
  <c r="BF239" i="6" s="1"/>
  <c r="AQ241" i="6"/>
  <c r="BL241" i="6" s="1"/>
  <c r="AK241" i="6"/>
  <c r="BF241" i="6" s="1"/>
  <c r="AQ154" i="6"/>
  <c r="BL154" i="6" s="1"/>
  <c r="AK154" i="6"/>
  <c r="BF154" i="6" s="1"/>
  <c r="AQ240" i="6"/>
  <c r="BL240" i="6" s="1"/>
  <c r="AK240" i="6"/>
  <c r="BF240" i="6" s="1"/>
  <c r="AQ243" i="6"/>
  <c r="BL243" i="6" s="1"/>
  <c r="AK243" i="6"/>
  <c r="BF243" i="6" s="1"/>
  <c r="AQ248" i="6"/>
  <c r="BL248" i="6" s="1"/>
  <c r="AK248" i="6"/>
  <c r="BF248" i="6" s="1"/>
  <c r="AQ234" i="6"/>
  <c r="BL234" i="6" s="1"/>
  <c r="AK234" i="6"/>
  <c r="BF234" i="6" s="1"/>
  <c r="AQ233" i="6"/>
  <c r="BL233" i="6" s="1"/>
  <c r="AK233" i="6"/>
  <c r="BF233" i="6" s="1"/>
  <c r="AQ242" i="6"/>
  <c r="BL242" i="6" s="1"/>
  <c r="AK242" i="6"/>
  <c r="BF242" i="6" s="1"/>
  <c r="AQ236" i="6"/>
  <c r="BL236" i="6" s="1"/>
  <c r="AK236" i="6"/>
  <c r="BF236" i="6" s="1"/>
  <c r="BB2" i="6"/>
  <c r="BL2" i="6"/>
  <c r="AD240" i="6"/>
  <c r="AY240" i="6" s="1"/>
  <c r="AG240" i="6"/>
  <c r="BB240" i="6" s="1"/>
  <c r="AD238" i="6"/>
  <c r="AY238" i="6" s="1"/>
  <c r="AG238" i="6"/>
  <c r="BB238" i="6" s="1"/>
  <c r="AD244" i="6"/>
  <c r="AY244" i="6" s="1"/>
  <c r="AG244" i="6"/>
  <c r="BB244" i="6" s="1"/>
  <c r="AD242" i="6"/>
  <c r="AY242" i="6" s="1"/>
  <c r="AG242" i="6"/>
  <c r="BB242" i="6" s="1"/>
  <c r="AD236" i="6"/>
  <c r="AY236" i="6" s="1"/>
  <c r="AG236" i="6"/>
  <c r="BB236" i="6" s="1"/>
  <c r="AD248" i="6"/>
  <c r="AY248" i="6" s="1"/>
  <c r="AG248" i="6"/>
  <c r="BB248" i="6" s="1"/>
  <c r="AD239" i="6"/>
  <c r="AY239" i="6" s="1"/>
  <c r="AG239" i="6"/>
  <c r="BB239" i="6" s="1"/>
  <c r="AD230" i="6"/>
  <c r="AY230" i="6" s="1"/>
  <c r="AG230" i="6"/>
  <c r="BB230" i="6" s="1"/>
  <c r="AD247" i="6"/>
  <c r="AY247" i="6" s="1"/>
  <c r="AG247" i="6"/>
  <c r="BB247" i="6" s="1"/>
  <c r="AD232" i="6"/>
  <c r="AY232" i="6" s="1"/>
  <c r="AG232" i="6"/>
  <c r="BB232" i="6" s="1"/>
  <c r="AD245" i="6"/>
  <c r="AY245" i="6" s="1"/>
  <c r="AG245" i="6"/>
  <c r="BB245" i="6" s="1"/>
  <c r="AD234" i="6"/>
  <c r="AY234" i="6" s="1"/>
  <c r="AG234" i="6"/>
  <c r="BB234" i="6" s="1"/>
  <c r="AD241" i="6"/>
  <c r="AY241" i="6" s="1"/>
  <c r="AG241" i="6"/>
  <c r="BB241" i="6" s="1"/>
  <c r="AD229" i="6"/>
  <c r="AY229" i="6" s="1"/>
  <c r="AG229" i="6"/>
  <c r="BB229" i="6" s="1"/>
  <c r="AD243" i="6"/>
  <c r="AY243" i="6" s="1"/>
  <c r="AG243" i="6"/>
  <c r="BB243" i="6" s="1"/>
  <c r="AD249" i="6"/>
  <c r="AY249" i="6" s="1"/>
  <c r="AG249" i="6"/>
  <c r="BB249" i="6" s="1"/>
  <c r="AD233" i="6"/>
  <c r="AY233" i="6" s="1"/>
  <c r="AG233" i="6"/>
  <c r="BB233" i="6" s="1"/>
  <c r="AD228" i="6"/>
  <c r="AY228" i="6" s="1"/>
  <c r="AG228" i="6"/>
  <c r="BB228" i="6" s="1"/>
  <c r="AD154" i="6"/>
  <c r="AY154" i="6" s="1"/>
  <c r="AG154" i="6"/>
  <c r="BB154" i="6" s="1"/>
  <c r="AD246" i="6"/>
  <c r="AY246" i="6" s="1"/>
  <c r="AG246" i="6"/>
  <c r="BB246" i="6" s="1"/>
  <c r="AD231" i="6"/>
  <c r="AY231" i="6" s="1"/>
  <c r="AG231" i="6"/>
  <c r="BB231" i="6" s="1"/>
  <c r="AY2" i="6"/>
  <c r="BA2" i="6"/>
  <c r="AB250" i="6"/>
  <c r="AL250" i="6" s="1"/>
  <c r="BG250" i="6" s="1"/>
  <c r="AB24" i="6"/>
  <c r="AB128" i="6"/>
  <c r="AB254" i="6"/>
  <c r="AL254" i="6" s="1"/>
  <c r="BG254" i="6" s="1"/>
  <c r="AB26" i="6"/>
  <c r="AB126" i="6"/>
  <c r="AB235" i="6"/>
  <c r="AL235" i="6" s="1"/>
  <c r="BG235" i="6" s="1"/>
  <c r="AB237" i="6"/>
  <c r="AL237" i="6" s="1"/>
  <c r="BG237" i="6" s="1"/>
  <c r="AB253" i="6"/>
  <c r="AL253" i="6" s="1"/>
  <c r="BG253" i="6" s="1"/>
  <c r="AB29" i="6"/>
  <c r="AB131" i="6"/>
  <c r="AB251" i="6"/>
  <c r="AL251" i="6" s="1"/>
  <c r="BG251" i="6" s="1"/>
  <c r="AB25" i="6"/>
  <c r="AB130" i="6"/>
  <c r="AB255" i="6"/>
  <c r="AB30" i="6"/>
  <c r="AB132" i="6"/>
  <c r="AB252" i="6"/>
  <c r="AL252" i="6" s="1"/>
  <c r="BG252" i="6" s="1"/>
  <c r="AB28" i="6"/>
  <c r="AB129" i="6"/>
  <c r="AB257" i="6"/>
  <c r="AL257" i="6" s="1"/>
  <c r="BG257" i="6" s="1"/>
  <c r="AB27" i="6"/>
  <c r="AB127" i="6"/>
  <c r="AC232" i="6"/>
  <c r="AW232" i="6"/>
  <c r="BR232" i="6" s="1"/>
  <c r="AH232" i="6"/>
  <c r="BC232" i="6" s="1"/>
  <c r="AI232" i="6"/>
  <c r="BD232" i="6" s="1"/>
  <c r="AJ232" i="6"/>
  <c r="BE232" i="6" s="1"/>
  <c r="AM232" i="6"/>
  <c r="BH232" i="6" s="1"/>
  <c r="AN232" i="6"/>
  <c r="BI232" i="6" s="1"/>
  <c r="AO232" i="6"/>
  <c r="BJ232" i="6" s="1"/>
  <c r="AR232" i="6"/>
  <c r="BM232" i="6" s="1"/>
  <c r="AP232" i="6"/>
  <c r="BK232" i="6" s="1"/>
  <c r="AS232" i="6"/>
  <c r="BN232" i="6" s="1"/>
  <c r="AU232" i="6"/>
  <c r="BP232" i="6" s="1"/>
  <c r="AF232" i="6"/>
  <c r="BA232" i="6" s="1"/>
  <c r="AC245" i="6"/>
  <c r="AM245" i="6"/>
  <c r="BH245" i="6" s="1"/>
  <c r="AN245" i="6"/>
  <c r="BI245" i="6" s="1"/>
  <c r="AW245" i="6"/>
  <c r="BR245" i="6" s="1"/>
  <c r="AJ245" i="6"/>
  <c r="BE245" i="6" s="1"/>
  <c r="AO245" i="6"/>
  <c r="BJ245" i="6" s="1"/>
  <c r="AR245" i="6"/>
  <c r="BM245" i="6" s="1"/>
  <c r="AF245" i="6"/>
  <c r="BA245" i="6" s="1"/>
  <c r="AI245" i="6"/>
  <c r="BD245" i="6" s="1"/>
  <c r="AP245" i="6"/>
  <c r="BK245" i="6" s="1"/>
  <c r="AS245" i="6"/>
  <c r="BN245" i="6" s="1"/>
  <c r="AU245" i="6"/>
  <c r="BP245" i="6" s="1"/>
  <c r="AH245" i="6"/>
  <c r="BC245" i="6" s="1"/>
  <c r="AC234" i="6"/>
  <c r="AF234" i="6"/>
  <c r="BA234" i="6" s="1"/>
  <c r="AJ234" i="6"/>
  <c r="BE234" i="6" s="1"/>
  <c r="AO234" i="6"/>
  <c r="BJ234" i="6" s="1"/>
  <c r="AP234" i="6"/>
  <c r="BK234" i="6" s="1"/>
  <c r="AR234" i="6"/>
  <c r="BM234" i="6" s="1"/>
  <c r="AU234" i="6"/>
  <c r="BP234" i="6" s="1"/>
  <c r="AW234" i="6"/>
  <c r="BR234" i="6" s="1"/>
  <c r="AS234" i="6"/>
  <c r="BN234" i="6" s="1"/>
  <c r="AM234" i="6"/>
  <c r="BH234" i="6" s="1"/>
  <c r="AN234" i="6"/>
  <c r="BI234" i="6" s="1"/>
  <c r="AH234" i="6"/>
  <c r="BC234" i="6" s="1"/>
  <c r="AI234" i="6"/>
  <c r="BD234" i="6" s="1"/>
  <c r="AC248" i="6"/>
  <c r="AM248" i="6"/>
  <c r="BH248" i="6" s="1"/>
  <c r="AN248" i="6"/>
  <c r="BI248" i="6" s="1"/>
  <c r="AO248" i="6"/>
  <c r="BJ248" i="6" s="1"/>
  <c r="AR248" i="6"/>
  <c r="BM248" i="6" s="1"/>
  <c r="AF248" i="6"/>
  <c r="BA248" i="6" s="1"/>
  <c r="AH248" i="6"/>
  <c r="BC248" i="6" s="1"/>
  <c r="AI248" i="6"/>
  <c r="BD248" i="6" s="1"/>
  <c r="AP248" i="6"/>
  <c r="BK248" i="6" s="1"/>
  <c r="AS248" i="6"/>
  <c r="BN248" i="6" s="1"/>
  <c r="AU248" i="6"/>
  <c r="BP248" i="6" s="1"/>
  <c r="AW248" i="6"/>
  <c r="BR248" i="6" s="1"/>
  <c r="AJ248" i="6"/>
  <c r="BE248" i="6" s="1"/>
  <c r="AC229" i="6"/>
  <c r="AW229" i="6"/>
  <c r="BR229" i="6" s="1"/>
  <c r="AM229" i="6"/>
  <c r="BH229" i="6" s="1"/>
  <c r="AN229" i="6"/>
  <c r="BI229" i="6" s="1"/>
  <c r="AO229" i="6"/>
  <c r="BJ229" i="6" s="1"/>
  <c r="AP229" i="6"/>
  <c r="BK229" i="6" s="1"/>
  <c r="AF229" i="6"/>
  <c r="BA229" i="6" s="1"/>
  <c r="AS229" i="6"/>
  <c r="BN229" i="6" s="1"/>
  <c r="AR229" i="6"/>
  <c r="BM229" i="6" s="1"/>
  <c r="AI229" i="6"/>
  <c r="BD229" i="6" s="1"/>
  <c r="AJ229" i="6"/>
  <c r="BE229" i="6" s="1"/>
  <c r="AU229" i="6"/>
  <c r="BP229" i="6" s="1"/>
  <c r="AH229" i="6"/>
  <c r="BC229" i="6" s="1"/>
  <c r="AC233" i="6"/>
  <c r="AU233" i="6"/>
  <c r="BP233" i="6" s="1"/>
  <c r="AI233" i="6"/>
  <c r="BD233" i="6" s="1"/>
  <c r="AJ233" i="6"/>
  <c r="BE233" i="6" s="1"/>
  <c r="AM233" i="6"/>
  <c r="BH233" i="6" s="1"/>
  <c r="AN233" i="6"/>
  <c r="BI233" i="6" s="1"/>
  <c r="AS233" i="6"/>
  <c r="BN233" i="6" s="1"/>
  <c r="AP233" i="6"/>
  <c r="BK233" i="6" s="1"/>
  <c r="AF233" i="6"/>
  <c r="BA233" i="6" s="1"/>
  <c r="AR233" i="6"/>
  <c r="BM233" i="6" s="1"/>
  <c r="AW233" i="6"/>
  <c r="BR233" i="6" s="1"/>
  <c r="AO233" i="6"/>
  <c r="BJ233" i="6" s="1"/>
  <c r="AH233" i="6"/>
  <c r="BC233" i="6" s="1"/>
  <c r="AC246" i="6"/>
  <c r="AN246" i="6"/>
  <c r="BI246" i="6" s="1"/>
  <c r="AO246" i="6"/>
  <c r="BJ246" i="6" s="1"/>
  <c r="AP246" i="6"/>
  <c r="BK246" i="6" s="1"/>
  <c r="AF246" i="6"/>
  <c r="BA246" i="6" s="1"/>
  <c r="AH246" i="6"/>
  <c r="BC246" i="6" s="1"/>
  <c r="AI246" i="6"/>
  <c r="BD246" i="6" s="1"/>
  <c r="AR246" i="6"/>
  <c r="BM246" i="6" s="1"/>
  <c r="AS246" i="6"/>
  <c r="BN246" i="6" s="1"/>
  <c r="AW246" i="6"/>
  <c r="BR246" i="6" s="1"/>
  <c r="AJ246" i="6"/>
  <c r="BE246" i="6" s="1"/>
  <c r="AU246" i="6"/>
  <c r="BP246" i="6" s="1"/>
  <c r="AM246" i="6"/>
  <c r="BH246" i="6" s="1"/>
  <c r="AC231" i="6"/>
  <c r="AR231" i="6"/>
  <c r="BM231" i="6" s="1"/>
  <c r="AU231" i="6"/>
  <c r="BP231" i="6" s="1"/>
  <c r="AO231" i="6"/>
  <c r="BJ231" i="6" s="1"/>
  <c r="AW231" i="6"/>
  <c r="BR231" i="6" s="1"/>
  <c r="AS231" i="6"/>
  <c r="BN231" i="6" s="1"/>
  <c r="AH231" i="6"/>
  <c r="BC231" i="6" s="1"/>
  <c r="AM231" i="6"/>
  <c r="BH231" i="6" s="1"/>
  <c r="AI231" i="6"/>
  <c r="BD231" i="6" s="1"/>
  <c r="AF231" i="6"/>
  <c r="BA231" i="6" s="1"/>
  <c r="AJ231" i="6"/>
  <c r="BE231" i="6" s="1"/>
  <c r="AN231" i="6"/>
  <c r="BI231" i="6" s="1"/>
  <c r="AP231" i="6"/>
  <c r="BK231" i="6" s="1"/>
  <c r="AC236" i="6"/>
  <c r="AW236" i="6"/>
  <c r="BR236" i="6" s="1"/>
  <c r="AF236" i="6"/>
  <c r="BA236" i="6" s="1"/>
  <c r="AH236" i="6"/>
  <c r="BC236" i="6" s="1"/>
  <c r="AO236" i="6"/>
  <c r="BJ236" i="6" s="1"/>
  <c r="AP236" i="6"/>
  <c r="BK236" i="6" s="1"/>
  <c r="AS236" i="6"/>
  <c r="BN236" i="6" s="1"/>
  <c r="AU236" i="6"/>
  <c r="BP236" i="6" s="1"/>
  <c r="AR236" i="6"/>
  <c r="BM236" i="6" s="1"/>
  <c r="AN236" i="6"/>
  <c r="BI236" i="6" s="1"/>
  <c r="AM236" i="6"/>
  <c r="BH236" i="6" s="1"/>
  <c r="AJ236" i="6"/>
  <c r="BE236" i="6" s="1"/>
  <c r="AI236" i="6"/>
  <c r="BD236" i="6" s="1"/>
  <c r="AC230" i="6"/>
  <c r="AI230" i="6"/>
  <c r="BD230" i="6" s="1"/>
  <c r="AJ230" i="6"/>
  <c r="BE230" i="6" s="1"/>
  <c r="AM230" i="6"/>
  <c r="BH230" i="6" s="1"/>
  <c r="AN230" i="6"/>
  <c r="BI230" i="6" s="1"/>
  <c r="AP230" i="6"/>
  <c r="BK230" i="6" s="1"/>
  <c r="AF230" i="6"/>
  <c r="BA230" i="6" s="1"/>
  <c r="AH230" i="6"/>
  <c r="BC230" i="6" s="1"/>
  <c r="AS230" i="6"/>
  <c r="BN230" i="6" s="1"/>
  <c r="AR230" i="6"/>
  <c r="BM230" i="6" s="1"/>
  <c r="AU230" i="6"/>
  <c r="BP230" i="6" s="1"/>
  <c r="AW230" i="6"/>
  <c r="BR230" i="6" s="1"/>
  <c r="AO230" i="6"/>
  <c r="BJ230" i="6" s="1"/>
  <c r="AC244" i="6"/>
  <c r="AI244" i="6"/>
  <c r="BD244" i="6" s="1"/>
  <c r="AJ244" i="6"/>
  <c r="BE244" i="6" s="1"/>
  <c r="AM244" i="6"/>
  <c r="BH244" i="6" s="1"/>
  <c r="AN244" i="6"/>
  <c r="BI244" i="6" s="1"/>
  <c r="AO244" i="6"/>
  <c r="BJ244" i="6" s="1"/>
  <c r="AR244" i="6"/>
  <c r="BM244" i="6" s="1"/>
  <c r="AS244" i="6"/>
  <c r="BN244" i="6" s="1"/>
  <c r="AW244" i="6"/>
  <c r="BR244" i="6" s="1"/>
  <c r="AP244" i="6"/>
  <c r="BK244" i="6" s="1"/>
  <c r="AU244" i="6"/>
  <c r="BP244" i="6" s="1"/>
  <c r="AF244" i="6"/>
  <c r="BA244" i="6" s="1"/>
  <c r="AH244" i="6"/>
  <c r="BC244" i="6" s="1"/>
  <c r="AC228" i="6"/>
  <c r="AH228" i="6"/>
  <c r="BC228" i="6" s="1"/>
  <c r="AI228" i="6"/>
  <c r="BD228" i="6" s="1"/>
  <c r="AU228" i="6"/>
  <c r="BP228" i="6" s="1"/>
  <c r="AW228" i="6"/>
  <c r="BR228" i="6" s="1"/>
  <c r="AO228" i="6"/>
  <c r="BJ228" i="6" s="1"/>
  <c r="AP228" i="6"/>
  <c r="BK228" i="6" s="1"/>
  <c r="AM228" i="6"/>
  <c r="BH228" i="6" s="1"/>
  <c r="AS228" i="6"/>
  <c r="BN228" i="6" s="1"/>
  <c r="AN228" i="6"/>
  <c r="BI228" i="6" s="1"/>
  <c r="AJ228" i="6"/>
  <c r="BE228" i="6" s="1"/>
  <c r="AF228" i="6"/>
  <c r="BA228" i="6" s="1"/>
  <c r="AR228" i="6"/>
  <c r="BM228" i="6" s="1"/>
  <c r="AC247" i="6"/>
  <c r="AS247" i="6"/>
  <c r="BN247" i="6" s="1"/>
  <c r="AU247" i="6"/>
  <c r="BP247" i="6" s="1"/>
  <c r="AW247" i="6"/>
  <c r="BR247" i="6" s="1"/>
  <c r="AN247" i="6"/>
  <c r="BI247" i="6" s="1"/>
  <c r="AO247" i="6"/>
  <c r="BJ247" i="6" s="1"/>
  <c r="AI247" i="6"/>
  <c r="BD247" i="6" s="1"/>
  <c r="AF247" i="6"/>
  <c r="BA247" i="6" s="1"/>
  <c r="AH247" i="6"/>
  <c r="BC247" i="6" s="1"/>
  <c r="AJ247" i="6"/>
  <c r="BE247" i="6" s="1"/>
  <c r="AR247" i="6"/>
  <c r="BM247" i="6" s="1"/>
  <c r="AM247" i="6"/>
  <c r="BH247" i="6" s="1"/>
  <c r="AP247" i="6"/>
  <c r="BK247" i="6" s="1"/>
  <c r="AC240" i="6"/>
  <c r="AW240" i="6"/>
  <c r="BR240" i="6" s="1"/>
  <c r="AP240" i="6"/>
  <c r="BK240" i="6" s="1"/>
  <c r="AS240" i="6"/>
  <c r="BN240" i="6" s="1"/>
  <c r="AN240" i="6"/>
  <c r="BI240" i="6" s="1"/>
  <c r="AO240" i="6"/>
  <c r="BJ240" i="6" s="1"/>
  <c r="AR240" i="6"/>
  <c r="BM240" i="6" s="1"/>
  <c r="AF240" i="6"/>
  <c r="BA240" i="6" s="1"/>
  <c r="AI240" i="6"/>
  <c r="BD240" i="6" s="1"/>
  <c r="AJ240" i="6"/>
  <c r="BE240" i="6" s="1"/>
  <c r="AU240" i="6"/>
  <c r="BP240" i="6" s="1"/>
  <c r="AH240" i="6"/>
  <c r="BC240" i="6" s="1"/>
  <c r="AM240" i="6"/>
  <c r="BH240" i="6" s="1"/>
  <c r="AC249" i="6"/>
  <c r="AF249" i="6"/>
  <c r="BA249" i="6" s="1"/>
  <c r="AU249" i="6"/>
  <c r="BP249" i="6" s="1"/>
  <c r="AM249" i="6"/>
  <c r="BH249" i="6" s="1"/>
  <c r="AN249" i="6"/>
  <c r="BI249" i="6" s="1"/>
  <c r="AO249" i="6"/>
  <c r="BJ249" i="6" s="1"/>
  <c r="AP249" i="6"/>
  <c r="BK249" i="6" s="1"/>
  <c r="AR249" i="6"/>
  <c r="BM249" i="6" s="1"/>
  <c r="AJ249" i="6"/>
  <c r="BE249" i="6" s="1"/>
  <c r="AH249" i="6"/>
  <c r="BC249" i="6" s="1"/>
  <c r="AS249" i="6"/>
  <c r="BN249" i="6" s="1"/>
  <c r="AI249" i="6"/>
  <c r="BD249" i="6" s="1"/>
  <c r="AW249" i="6"/>
  <c r="BR249" i="6" s="1"/>
  <c r="AC238" i="6"/>
  <c r="AW238" i="6"/>
  <c r="BR238" i="6" s="1"/>
  <c r="AR238" i="6"/>
  <c r="BM238" i="6" s="1"/>
  <c r="AF238" i="6"/>
  <c r="BA238" i="6" s="1"/>
  <c r="AH238" i="6"/>
  <c r="BC238" i="6" s="1"/>
  <c r="AI238" i="6"/>
  <c r="BD238" i="6" s="1"/>
  <c r="AM238" i="6"/>
  <c r="BH238" i="6" s="1"/>
  <c r="AP238" i="6"/>
  <c r="BK238" i="6" s="1"/>
  <c r="AJ238" i="6"/>
  <c r="BE238" i="6" s="1"/>
  <c r="AN238" i="6"/>
  <c r="BI238" i="6" s="1"/>
  <c r="AO238" i="6"/>
  <c r="BJ238" i="6" s="1"/>
  <c r="AS238" i="6"/>
  <c r="BN238" i="6" s="1"/>
  <c r="AU238" i="6"/>
  <c r="BP238" i="6" s="1"/>
  <c r="AC239" i="6"/>
  <c r="AU239" i="6"/>
  <c r="BP239" i="6" s="1"/>
  <c r="AW239" i="6"/>
  <c r="BR239" i="6" s="1"/>
  <c r="AF239" i="6"/>
  <c r="BA239" i="6" s="1"/>
  <c r="AI239" i="6"/>
  <c r="BD239" i="6" s="1"/>
  <c r="AJ239" i="6"/>
  <c r="BE239" i="6" s="1"/>
  <c r="AM239" i="6"/>
  <c r="BH239" i="6" s="1"/>
  <c r="AN239" i="6"/>
  <c r="BI239" i="6" s="1"/>
  <c r="AP239" i="6"/>
  <c r="BK239" i="6" s="1"/>
  <c r="AR239" i="6"/>
  <c r="BM239" i="6" s="1"/>
  <c r="AO239" i="6"/>
  <c r="BJ239" i="6" s="1"/>
  <c r="AH239" i="6"/>
  <c r="BC239" i="6" s="1"/>
  <c r="AS239" i="6"/>
  <c r="BN239" i="6" s="1"/>
  <c r="AC241" i="6"/>
  <c r="AP241" i="6"/>
  <c r="BK241" i="6" s="1"/>
  <c r="AR241" i="6"/>
  <c r="BM241" i="6" s="1"/>
  <c r="AS241" i="6"/>
  <c r="BN241" i="6" s="1"/>
  <c r="AF241" i="6"/>
  <c r="BA241" i="6" s="1"/>
  <c r="AH241" i="6"/>
  <c r="BC241" i="6" s="1"/>
  <c r="AI241" i="6"/>
  <c r="BD241" i="6" s="1"/>
  <c r="AJ241" i="6"/>
  <c r="BE241" i="6" s="1"/>
  <c r="AU241" i="6"/>
  <c r="BP241" i="6" s="1"/>
  <c r="AW241" i="6"/>
  <c r="BR241" i="6" s="1"/>
  <c r="AN241" i="6"/>
  <c r="BI241" i="6" s="1"/>
  <c r="AO241" i="6"/>
  <c r="BJ241" i="6" s="1"/>
  <c r="AM241" i="6"/>
  <c r="BH241" i="6" s="1"/>
  <c r="AC242" i="6"/>
  <c r="AI242" i="6"/>
  <c r="BD242" i="6" s="1"/>
  <c r="AJ242" i="6"/>
  <c r="BE242" i="6" s="1"/>
  <c r="AM242" i="6"/>
  <c r="BH242" i="6" s="1"/>
  <c r="AN242" i="6"/>
  <c r="BI242" i="6" s="1"/>
  <c r="AU242" i="6"/>
  <c r="BP242" i="6" s="1"/>
  <c r="AH242" i="6"/>
  <c r="BC242" i="6" s="1"/>
  <c r="AR242" i="6"/>
  <c r="BM242" i="6" s="1"/>
  <c r="AF242" i="6"/>
  <c r="BA242" i="6" s="1"/>
  <c r="AP242" i="6"/>
  <c r="BK242" i="6" s="1"/>
  <c r="AS242" i="6"/>
  <c r="BN242" i="6" s="1"/>
  <c r="AO242" i="6"/>
  <c r="BJ242" i="6" s="1"/>
  <c r="AW242" i="6"/>
  <c r="BR242" i="6" s="1"/>
  <c r="AC243" i="6"/>
  <c r="AS243" i="6"/>
  <c r="BN243" i="6" s="1"/>
  <c r="AO243" i="6"/>
  <c r="BJ243" i="6" s="1"/>
  <c r="AP243" i="6"/>
  <c r="BK243" i="6" s="1"/>
  <c r="AR243" i="6"/>
  <c r="BM243" i="6" s="1"/>
  <c r="AU243" i="6"/>
  <c r="BP243" i="6" s="1"/>
  <c r="AW243" i="6"/>
  <c r="BR243" i="6" s="1"/>
  <c r="AF243" i="6"/>
  <c r="BA243" i="6" s="1"/>
  <c r="AJ243" i="6"/>
  <c r="BE243" i="6" s="1"/>
  <c r="AH243" i="6"/>
  <c r="BC243" i="6" s="1"/>
  <c r="AI243" i="6"/>
  <c r="BD243" i="6" s="1"/>
  <c r="AN243" i="6"/>
  <c r="BI243" i="6" s="1"/>
  <c r="AM243" i="6"/>
  <c r="BH243" i="6" s="1"/>
  <c r="AF154" i="6"/>
  <c r="BA154" i="6" s="1"/>
  <c r="AH154" i="6"/>
  <c r="BC154" i="6" s="1"/>
  <c r="AI154" i="6"/>
  <c r="BD154" i="6" s="1"/>
  <c r="AM154" i="6"/>
  <c r="BH154" i="6" s="1"/>
  <c r="AS154" i="6"/>
  <c r="BN154" i="6" s="1"/>
  <c r="AW154" i="6"/>
  <c r="BR154" i="6" s="1"/>
  <c r="AN154" i="6"/>
  <c r="BI154" i="6" s="1"/>
  <c r="AP154" i="6"/>
  <c r="BK154" i="6" s="1"/>
  <c r="AR154" i="6"/>
  <c r="BM154" i="6" s="1"/>
  <c r="AO154" i="6"/>
  <c r="BJ154" i="6" s="1"/>
  <c r="AU154" i="6"/>
  <c r="BP154" i="6" s="1"/>
  <c r="AJ154" i="6"/>
  <c r="BE154" i="6" s="1"/>
  <c r="AC154" i="6"/>
  <c r="AB157" i="6"/>
  <c r="AB226" i="6"/>
  <c r="AB164" i="6"/>
  <c r="AB227" i="6"/>
  <c r="AB92" i="6"/>
  <c r="AB185" i="6"/>
  <c r="AB94" i="6"/>
  <c r="AB190" i="6"/>
  <c r="AB95" i="6"/>
  <c r="AB186" i="6"/>
  <c r="AB96" i="6"/>
  <c r="AB191" i="6"/>
  <c r="AB98" i="6"/>
  <c r="AB189" i="6"/>
  <c r="AB93" i="6"/>
  <c r="AB188" i="6"/>
  <c r="AB97" i="6"/>
  <c r="AB187" i="6"/>
  <c r="AB113" i="6"/>
  <c r="AB166" i="6"/>
  <c r="AB108" i="6"/>
  <c r="AB161" i="6"/>
  <c r="AB109" i="6"/>
  <c r="AB162" i="6"/>
  <c r="AB106" i="6"/>
  <c r="AB160" i="6"/>
  <c r="AB105" i="6"/>
  <c r="AB159" i="6"/>
  <c r="AB112" i="6"/>
  <c r="AB167" i="6"/>
  <c r="AB102" i="6"/>
  <c r="AB156" i="6"/>
  <c r="AB111" i="6"/>
  <c r="AB165" i="6"/>
  <c r="AB107" i="6"/>
  <c r="AB163" i="6"/>
  <c r="AB104" i="6"/>
  <c r="AB158" i="6"/>
  <c r="AB73" i="6"/>
  <c r="AB103" i="6"/>
  <c r="AB78" i="6"/>
  <c r="AB110" i="6"/>
  <c r="AB12" i="6"/>
  <c r="AB4" i="6"/>
  <c r="AB74" i="6"/>
  <c r="AB6" i="6"/>
  <c r="AB72" i="6"/>
  <c r="AB11" i="6"/>
  <c r="AB77" i="6"/>
  <c r="AB8" i="6"/>
  <c r="AB68" i="6"/>
  <c r="AB7" i="6"/>
  <c r="AB69" i="6"/>
  <c r="AB3" i="6"/>
  <c r="AB70" i="6"/>
  <c r="AB9" i="6"/>
  <c r="AB79" i="6"/>
  <c r="AB10" i="6"/>
  <c r="AB76" i="6"/>
  <c r="AB5" i="6"/>
  <c r="AB75" i="6"/>
  <c r="AB71" i="6"/>
  <c r="AB101" i="6"/>
  <c r="AB153" i="6"/>
  <c r="AB65" i="6"/>
  <c r="AB155" i="6"/>
  <c r="AB66" i="6"/>
  <c r="AB100" i="6"/>
  <c r="AB67" i="6"/>
  <c r="AB99" i="6"/>
  <c r="AD3" i="4"/>
  <c r="AL105" i="6" l="1"/>
  <c r="BG105" i="6" s="1"/>
  <c r="AT164" i="6"/>
  <c r="BO164" i="6" s="1"/>
  <c r="AL164" i="6"/>
  <c r="BG164" i="6" s="1"/>
  <c r="AT28" i="6"/>
  <c r="BO28" i="6" s="1"/>
  <c r="AL28" i="6"/>
  <c r="BG28" i="6" s="1"/>
  <c r="AT175" i="6"/>
  <c r="BO175" i="6" s="1"/>
  <c r="AL175" i="6"/>
  <c r="BG175" i="6" s="1"/>
  <c r="AT5" i="6"/>
  <c r="BO5" i="6" s="1"/>
  <c r="AL5" i="6"/>
  <c r="BG5" i="6" s="1"/>
  <c r="AT6" i="6"/>
  <c r="BO6" i="6" s="1"/>
  <c r="AL6" i="6"/>
  <c r="BG6" i="6" s="1"/>
  <c r="AT18" i="6"/>
  <c r="BO18" i="6" s="1"/>
  <c r="AL18" i="6"/>
  <c r="BG18" i="6" s="1"/>
  <c r="AT78" i="6"/>
  <c r="BO78" i="6" s="1"/>
  <c r="AL78" i="6"/>
  <c r="BG78" i="6" s="1"/>
  <c r="AT120" i="6"/>
  <c r="BO120" i="6" s="1"/>
  <c r="AL120" i="6"/>
  <c r="BG120" i="6" s="1"/>
  <c r="AT121" i="6"/>
  <c r="BO121" i="6" s="1"/>
  <c r="AL121" i="6"/>
  <c r="BG121" i="6" s="1"/>
  <c r="AT92" i="6"/>
  <c r="BO92" i="6" s="1"/>
  <c r="AL92" i="6"/>
  <c r="BG92" i="6" s="1"/>
  <c r="AT76" i="6"/>
  <c r="BO76" i="6" s="1"/>
  <c r="AL76" i="6"/>
  <c r="BG76" i="6" s="1"/>
  <c r="AT74" i="6"/>
  <c r="BO74" i="6" s="1"/>
  <c r="AL74" i="6"/>
  <c r="BG74" i="6" s="1"/>
  <c r="AT85" i="6"/>
  <c r="BO85" i="6" s="1"/>
  <c r="AL85" i="6"/>
  <c r="BG85" i="6" s="1"/>
  <c r="AT163" i="6"/>
  <c r="BO163" i="6" s="1"/>
  <c r="AL163" i="6"/>
  <c r="BG163" i="6" s="1"/>
  <c r="AT161" i="6"/>
  <c r="BO161" i="6" s="1"/>
  <c r="AL161" i="6"/>
  <c r="BG161" i="6" s="1"/>
  <c r="AT182" i="6"/>
  <c r="BO182" i="6" s="1"/>
  <c r="AL182" i="6"/>
  <c r="BG182" i="6" s="1"/>
  <c r="AT187" i="6"/>
  <c r="BO187" i="6" s="1"/>
  <c r="AL187" i="6"/>
  <c r="BG187" i="6" s="1"/>
  <c r="AT227" i="6"/>
  <c r="BO227" i="6" s="1"/>
  <c r="AL227" i="6"/>
  <c r="BG227" i="6" s="1"/>
  <c r="AT129" i="6"/>
  <c r="BO129" i="6" s="1"/>
  <c r="AL129" i="6"/>
  <c r="BG129" i="6" s="1"/>
  <c r="AT126" i="6"/>
  <c r="BO126" i="6" s="1"/>
  <c r="AL126" i="6"/>
  <c r="BG126" i="6" s="1"/>
  <c r="AT73" i="6"/>
  <c r="BO73" i="6" s="1"/>
  <c r="AL73" i="6"/>
  <c r="BG73" i="6" s="1"/>
  <c r="AT226" i="6"/>
  <c r="BO226" i="6" s="1"/>
  <c r="AL226" i="6"/>
  <c r="BG226" i="6" s="1"/>
  <c r="AT70" i="6"/>
  <c r="BO70" i="6" s="1"/>
  <c r="AL70" i="6"/>
  <c r="BG70" i="6" s="1"/>
  <c r="AT176" i="6"/>
  <c r="BO176" i="6" s="1"/>
  <c r="AL176" i="6"/>
  <c r="BG176" i="6" s="1"/>
  <c r="AT3" i="6"/>
  <c r="BO3" i="6" s="1"/>
  <c r="AL3" i="6"/>
  <c r="BG3" i="6" s="1"/>
  <c r="AL104" i="6"/>
  <c r="BG104" i="6" s="1"/>
  <c r="AT255" i="6"/>
  <c r="BO255" i="6" s="1"/>
  <c r="AL255" i="6"/>
  <c r="BG255" i="6" s="1"/>
  <c r="AT66" i="6"/>
  <c r="BO66" i="6" s="1"/>
  <c r="AL66" i="6"/>
  <c r="BG66" i="6" s="1"/>
  <c r="AT69" i="6"/>
  <c r="BO69" i="6" s="1"/>
  <c r="AL69" i="6"/>
  <c r="BG69" i="6" s="1"/>
  <c r="AT86" i="6"/>
  <c r="BO86" i="6" s="1"/>
  <c r="AL86" i="6"/>
  <c r="BG86" i="6" s="1"/>
  <c r="AT81" i="6"/>
  <c r="BO81" i="6" s="1"/>
  <c r="AL81" i="6"/>
  <c r="BG81" i="6" s="1"/>
  <c r="AT167" i="6"/>
  <c r="BO167" i="6" s="1"/>
  <c r="AL167" i="6"/>
  <c r="BG167" i="6" s="1"/>
  <c r="AT178" i="6"/>
  <c r="BO178" i="6" s="1"/>
  <c r="AL178" i="6"/>
  <c r="BG178" i="6" s="1"/>
  <c r="AT180" i="6"/>
  <c r="BO180" i="6" s="1"/>
  <c r="AL180" i="6"/>
  <c r="BG180" i="6" s="1"/>
  <c r="AT191" i="6"/>
  <c r="BO191" i="6" s="1"/>
  <c r="AL191" i="6"/>
  <c r="BG191" i="6" s="1"/>
  <c r="AT130" i="6"/>
  <c r="BO130" i="6" s="1"/>
  <c r="AL130" i="6"/>
  <c r="BG130" i="6" s="1"/>
  <c r="AT4" i="6"/>
  <c r="BO4" i="6" s="1"/>
  <c r="AL4" i="6"/>
  <c r="BG4" i="6" s="1"/>
  <c r="AT19" i="6"/>
  <c r="BO19" i="6" s="1"/>
  <c r="AL19" i="6"/>
  <c r="BG19" i="6" s="1"/>
  <c r="AT125" i="6"/>
  <c r="BO125" i="6" s="1"/>
  <c r="AL125" i="6"/>
  <c r="BG125" i="6" s="1"/>
  <c r="AT26" i="6"/>
  <c r="BO26" i="6" s="1"/>
  <c r="AL26" i="6"/>
  <c r="BG26" i="6" s="1"/>
  <c r="AT88" i="6"/>
  <c r="BO88" i="6" s="1"/>
  <c r="AL88" i="6"/>
  <c r="BG88" i="6" s="1"/>
  <c r="AT166" i="6"/>
  <c r="BO166" i="6" s="1"/>
  <c r="AL166" i="6"/>
  <c r="BG166" i="6" s="1"/>
  <c r="AT99" i="6"/>
  <c r="BO99" i="6" s="1"/>
  <c r="AL99" i="6"/>
  <c r="BG99" i="6" s="1"/>
  <c r="AT21" i="6"/>
  <c r="BO21" i="6" s="1"/>
  <c r="AL21" i="6"/>
  <c r="BG21" i="6" s="1"/>
  <c r="AT106" i="6"/>
  <c r="BO106" i="6" s="1"/>
  <c r="AL106" i="6"/>
  <c r="BG106" i="6" s="1"/>
  <c r="AT157" i="6"/>
  <c r="BO157" i="6" s="1"/>
  <c r="AL157" i="6"/>
  <c r="BG157" i="6" s="1"/>
  <c r="AT128" i="6"/>
  <c r="BO128" i="6" s="1"/>
  <c r="AL128" i="6"/>
  <c r="BG128" i="6" s="1"/>
  <c r="AT80" i="6"/>
  <c r="BO80" i="6" s="1"/>
  <c r="AL80" i="6"/>
  <c r="BG80" i="6" s="1"/>
  <c r="AL109" i="6"/>
  <c r="BG109" i="6" s="1"/>
  <c r="AT189" i="6"/>
  <c r="BO189" i="6" s="1"/>
  <c r="AL189" i="6"/>
  <c r="BG189" i="6" s="1"/>
  <c r="AT24" i="6"/>
  <c r="BO24" i="6" s="1"/>
  <c r="AL24" i="6"/>
  <c r="BG24" i="6" s="1"/>
  <c r="AT100" i="6"/>
  <c r="BO100" i="6" s="1"/>
  <c r="AL100" i="6"/>
  <c r="BG100" i="6" s="1"/>
  <c r="AT22" i="6"/>
  <c r="BO22" i="6" s="1"/>
  <c r="AL22" i="6"/>
  <c r="BG22" i="6" s="1"/>
  <c r="AT98" i="6"/>
  <c r="BO98" i="6" s="1"/>
  <c r="AL98" i="6"/>
  <c r="BG98" i="6" s="1"/>
  <c r="AT7" i="6"/>
  <c r="BO7" i="6" s="1"/>
  <c r="AL7" i="6"/>
  <c r="BG7" i="6" s="1"/>
  <c r="AT15" i="6"/>
  <c r="BO15" i="6" s="1"/>
  <c r="AL15" i="6"/>
  <c r="BG15" i="6" s="1"/>
  <c r="AL111" i="6"/>
  <c r="BG111" i="6" s="1"/>
  <c r="AT96" i="6"/>
  <c r="BO96" i="6" s="1"/>
  <c r="AL96" i="6"/>
  <c r="BG96" i="6" s="1"/>
  <c r="AT25" i="6"/>
  <c r="BO25" i="6" s="1"/>
  <c r="AL25" i="6"/>
  <c r="BG25" i="6" s="1"/>
  <c r="AT68" i="6"/>
  <c r="BO68" i="6" s="1"/>
  <c r="AL68" i="6"/>
  <c r="BG68" i="6" s="1"/>
  <c r="AT84" i="6"/>
  <c r="BO84" i="6" s="1"/>
  <c r="AL84" i="6"/>
  <c r="BG84" i="6" s="1"/>
  <c r="AT177" i="6"/>
  <c r="BO177" i="6" s="1"/>
  <c r="AL177" i="6"/>
  <c r="BG177" i="6" s="1"/>
  <c r="AT186" i="6"/>
  <c r="BO186" i="6" s="1"/>
  <c r="AL186" i="6"/>
  <c r="BG186" i="6" s="1"/>
  <c r="AT153" i="6"/>
  <c r="BO153" i="6" s="1"/>
  <c r="AL153" i="6"/>
  <c r="BG153" i="6" s="1"/>
  <c r="AT8" i="6"/>
  <c r="BO8" i="6" s="1"/>
  <c r="AL8" i="6"/>
  <c r="BG8" i="6" s="1"/>
  <c r="AT23" i="6"/>
  <c r="BO23" i="6" s="1"/>
  <c r="AL23" i="6"/>
  <c r="BG23" i="6" s="1"/>
  <c r="AT16" i="6"/>
  <c r="BO16" i="6" s="1"/>
  <c r="AL16" i="6"/>
  <c r="BG16" i="6" s="1"/>
  <c r="AL102" i="6"/>
  <c r="BG102" i="6" s="1"/>
  <c r="AT122" i="6"/>
  <c r="BO122" i="6" s="1"/>
  <c r="AL122" i="6"/>
  <c r="BG122" i="6" s="1"/>
  <c r="AT116" i="6"/>
  <c r="BO116" i="6" s="1"/>
  <c r="AL116" i="6"/>
  <c r="BG116" i="6" s="1"/>
  <c r="AT95" i="6"/>
  <c r="BO95" i="6" s="1"/>
  <c r="AL95" i="6"/>
  <c r="BG95" i="6" s="1"/>
  <c r="AT131" i="6"/>
  <c r="BO131" i="6" s="1"/>
  <c r="AL131" i="6"/>
  <c r="BG131" i="6" s="1"/>
  <c r="AT10" i="6"/>
  <c r="BO10" i="6" s="1"/>
  <c r="AL10" i="6"/>
  <c r="BG10" i="6" s="1"/>
  <c r="AT97" i="6"/>
  <c r="BO97" i="6" s="1"/>
  <c r="AL97" i="6"/>
  <c r="BG97" i="6" s="1"/>
  <c r="AT165" i="6"/>
  <c r="BO165" i="6" s="1"/>
  <c r="AL165" i="6"/>
  <c r="BG165" i="6" s="1"/>
  <c r="AT14" i="6"/>
  <c r="BO14" i="6" s="1"/>
  <c r="AL14" i="6"/>
  <c r="BG14" i="6" s="1"/>
  <c r="AT93" i="6"/>
  <c r="BO93" i="6" s="1"/>
  <c r="AL93" i="6"/>
  <c r="BG93" i="6" s="1"/>
  <c r="AT173" i="6"/>
  <c r="BO173" i="6" s="1"/>
  <c r="AL173" i="6"/>
  <c r="BG173" i="6" s="1"/>
  <c r="AT115" i="6"/>
  <c r="BO115" i="6" s="1"/>
  <c r="AL115" i="6"/>
  <c r="BG115" i="6" s="1"/>
  <c r="AT184" i="6"/>
  <c r="BO184" i="6" s="1"/>
  <c r="AL184" i="6"/>
  <c r="BG184" i="6" s="1"/>
  <c r="AT101" i="6"/>
  <c r="BO101" i="6" s="1"/>
  <c r="AL101" i="6"/>
  <c r="BG101" i="6" s="1"/>
  <c r="AT77" i="6"/>
  <c r="BO77" i="6" s="1"/>
  <c r="AL77" i="6"/>
  <c r="BG77" i="6" s="1"/>
  <c r="AT82" i="6"/>
  <c r="BO82" i="6" s="1"/>
  <c r="AL82" i="6"/>
  <c r="BG82" i="6" s="1"/>
  <c r="AT91" i="6"/>
  <c r="BO91" i="6" s="1"/>
  <c r="AL91" i="6"/>
  <c r="BG91" i="6" s="1"/>
  <c r="AL112" i="6"/>
  <c r="BG112" i="6" s="1"/>
  <c r="AT160" i="6"/>
  <c r="BO160" i="6" s="1"/>
  <c r="AL160" i="6"/>
  <c r="BG160" i="6" s="1"/>
  <c r="AT174" i="6"/>
  <c r="BO174" i="6" s="1"/>
  <c r="AL174" i="6"/>
  <c r="BG174" i="6" s="1"/>
  <c r="AT183" i="6"/>
  <c r="BO183" i="6" s="1"/>
  <c r="AL183" i="6"/>
  <c r="BG183" i="6" s="1"/>
  <c r="AT190" i="6"/>
  <c r="BO190" i="6" s="1"/>
  <c r="AL190" i="6"/>
  <c r="BG190" i="6" s="1"/>
  <c r="AT29" i="6"/>
  <c r="BO29" i="6" s="1"/>
  <c r="AL29" i="6"/>
  <c r="BG29" i="6" s="1"/>
  <c r="AT79" i="6"/>
  <c r="BO79" i="6" s="1"/>
  <c r="AL79" i="6"/>
  <c r="BG79" i="6" s="1"/>
  <c r="AT188" i="6"/>
  <c r="BO188" i="6" s="1"/>
  <c r="AL188" i="6"/>
  <c r="BG188" i="6" s="1"/>
  <c r="AT9" i="6"/>
  <c r="BO9" i="6" s="1"/>
  <c r="AL9" i="6"/>
  <c r="BG9" i="6" s="1"/>
  <c r="AT118" i="6"/>
  <c r="BO118" i="6" s="1"/>
  <c r="AL118" i="6"/>
  <c r="BG118" i="6" s="1"/>
  <c r="AT67" i="6"/>
  <c r="BO67" i="6" s="1"/>
  <c r="AL67" i="6"/>
  <c r="BG67" i="6" s="1"/>
  <c r="AT156" i="6"/>
  <c r="BO156" i="6" s="1"/>
  <c r="AL156" i="6"/>
  <c r="BG156" i="6" s="1"/>
  <c r="AT13" i="6"/>
  <c r="BO13" i="6" s="1"/>
  <c r="AL13" i="6"/>
  <c r="BG13" i="6" s="1"/>
  <c r="AT124" i="6"/>
  <c r="BO124" i="6" s="1"/>
  <c r="AL124" i="6"/>
  <c r="BG124" i="6" s="1"/>
  <c r="AT155" i="6"/>
  <c r="BO155" i="6" s="1"/>
  <c r="AL155" i="6"/>
  <c r="BG155" i="6" s="1"/>
  <c r="AT123" i="6"/>
  <c r="BO123" i="6" s="1"/>
  <c r="AL123" i="6"/>
  <c r="BG123" i="6" s="1"/>
  <c r="AT83" i="6"/>
  <c r="BO83" i="6" s="1"/>
  <c r="AL83" i="6"/>
  <c r="BG83" i="6" s="1"/>
  <c r="AL108" i="6"/>
  <c r="BG108" i="6" s="1"/>
  <c r="AT71" i="6"/>
  <c r="BO71" i="6" s="1"/>
  <c r="AL71" i="6"/>
  <c r="BG71" i="6" s="1"/>
  <c r="AT11" i="6"/>
  <c r="BO11" i="6" s="1"/>
  <c r="AL11" i="6"/>
  <c r="BG11" i="6" s="1"/>
  <c r="AT17" i="6"/>
  <c r="BO17" i="6" s="1"/>
  <c r="AL17" i="6"/>
  <c r="BG17" i="6" s="1"/>
  <c r="AT20" i="6"/>
  <c r="BO20" i="6" s="1"/>
  <c r="AL20" i="6"/>
  <c r="BG20" i="6" s="1"/>
  <c r="AL113" i="6"/>
  <c r="BG113" i="6" s="1"/>
  <c r="AT114" i="6"/>
  <c r="BO114" i="6" s="1"/>
  <c r="AL114" i="6"/>
  <c r="BG114" i="6" s="1"/>
  <c r="AT117" i="6"/>
  <c r="BO117" i="6" s="1"/>
  <c r="AL117" i="6"/>
  <c r="BG117" i="6" s="1"/>
  <c r="AT94" i="6"/>
  <c r="BO94" i="6" s="1"/>
  <c r="AL94" i="6"/>
  <c r="BG94" i="6" s="1"/>
  <c r="AT127" i="6"/>
  <c r="BO127" i="6" s="1"/>
  <c r="AL127" i="6"/>
  <c r="BG127" i="6" s="1"/>
  <c r="AT89" i="6"/>
  <c r="BO89" i="6" s="1"/>
  <c r="AL89" i="6"/>
  <c r="BG89" i="6" s="1"/>
  <c r="AL107" i="6"/>
  <c r="BG107" i="6" s="1"/>
  <c r="AT132" i="6"/>
  <c r="BO132" i="6" s="1"/>
  <c r="AL132" i="6"/>
  <c r="BG132" i="6" s="1"/>
  <c r="AT90" i="6"/>
  <c r="BO90" i="6" s="1"/>
  <c r="AL90" i="6"/>
  <c r="BG90" i="6" s="1"/>
  <c r="AT30" i="6"/>
  <c r="BO30" i="6" s="1"/>
  <c r="AL30" i="6"/>
  <c r="BG30" i="6" s="1"/>
  <c r="AT12" i="6"/>
  <c r="BO12" i="6" s="1"/>
  <c r="AL12" i="6"/>
  <c r="BG12" i="6" s="1"/>
  <c r="AT119" i="6"/>
  <c r="BO119" i="6" s="1"/>
  <c r="AL119" i="6"/>
  <c r="BG119" i="6" s="1"/>
  <c r="AT65" i="6"/>
  <c r="BO65" i="6" s="1"/>
  <c r="AL65" i="6"/>
  <c r="BG65" i="6" s="1"/>
  <c r="AT159" i="6"/>
  <c r="BO159" i="6" s="1"/>
  <c r="AL159" i="6"/>
  <c r="BG159" i="6" s="1"/>
  <c r="AT75" i="6"/>
  <c r="BO75" i="6" s="1"/>
  <c r="AL75" i="6"/>
  <c r="BG75" i="6" s="1"/>
  <c r="AT72" i="6"/>
  <c r="BO72" i="6" s="1"/>
  <c r="AL72" i="6"/>
  <c r="BG72" i="6" s="1"/>
  <c r="AT87" i="6"/>
  <c r="BO87" i="6" s="1"/>
  <c r="AL87" i="6"/>
  <c r="BG87" i="6" s="1"/>
  <c r="AT158" i="6"/>
  <c r="BO158" i="6" s="1"/>
  <c r="AL158" i="6"/>
  <c r="BG158" i="6" s="1"/>
  <c r="AT162" i="6"/>
  <c r="BO162" i="6" s="1"/>
  <c r="AL162" i="6"/>
  <c r="BG162" i="6" s="1"/>
  <c r="AT179" i="6"/>
  <c r="BO179" i="6" s="1"/>
  <c r="AL179" i="6"/>
  <c r="BG179" i="6" s="1"/>
  <c r="AT181" i="6"/>
  <c r="BO181" i="6" s="1"/>
  <c r="AL181" i="6"/>
  <c r="BG181" i="6" s="1"/>
  <c r="AT185" i="6"/>
  <c r="BO185" i="6" s="1"/>
  <c r="AL185" i="6"/>
  <c r="BG185" i="6" s="1"/>
  <c r="AT27" i="6"/>
  <c r="BO27" i="6" s="1"/>
  <c r="AL27" i="6"/>
  <c r="BG27" i="6" s="1"/>
  <c r="AT105" i="6"/>
  <c r="BO105" i="6" s="1"/>
  <c r="AV235" i="6"/>
  <c r="BQ235" i="6" s="1"/>
  <c r="AT235" i="6"/>
  <c r="BO235" i="6" s="1"/>
  <c r="AV257" i="6"/>
  <c r="BQ257" i="6" s="1"/>
  <c r="AT257" i="6"/>
  <c r="BO257" i="6" s="1"/>
  <c r="AT107" i="6"/>
  <c r="BO107" i="6" s="1"/>
  <c r="AV252" i="6"/>
  <c r="BQ252" i="6" s="1"/>
  <c r="AT252" i="6"/>
  <c r="BO252" i="6" s="1"/>
  <c r="AV254" i="6"/>
  <c r="BQ254" i="6" s="1"/>
  <c r="AT254" i="6"/>
  <c r="BO254" i="6" s="1"/>
  <c r="AT111" i="6"/>
  <c r="BO111" i="6" s="1"/>
  <c r="AV251" i="6"/>
  <c r="BQ251" i="6" s="1"/>
  <c r="AT251" i="6"/>
  <c r="BO251" i="6" s="1"/>
  <c r="AT108" i="6"/>
  <c r="BO108" i="6" s="1"/>
  <c r="AT109" i="6"/>
  <c r="BO109" i="6" s="1"/>
  <c r="AT102" i="6"/>
  <c r="BO102" i="6" s="1"/>
  <c r="AT112" i="6"/>
  <c r="BO112" i="6" s="1"/>
  <c r="AT104" i="6"/>
  <c r="BO104" i="6" s="1"/>
  <c r="AV250" i="6"/>
  <c r="BQ250" i="6" s="1"/>
  <c r="AT250" i="6"/>
  <c r="BO250" i="6" s="1"/>
  <c r="AT113" i="6"/>
  <c r="BO113" i="6" s="1"/>
  <c r="AV253" i="6"/>
  <c r="BQ253" i="6" s="1"/>
  <c r="AT253" i="6"/>
  <c r="BO253" i="6" s="1"/>
  <c r="AV237" i="6"/>
  <c r="BQ237" i="6" s="1"/>
  <c r="AT237" i="6"/>
  <c r="BO237" i="6" s="1"/>
  <c r="AV109" i="6"/>
  <c r="BQ109" i="6" s="1"/>
  <c r="AV105" i="6"/>
  <c r="BQ105" i="6" s="1"/>
  <c r="AV104" i="6"/>
  <c r="BQ104" i="6" s="1"/>
  <c r="AV111" i="6"/>
  <c r="BQ111" i="6" s="1"/>
  <c r="AV113" i="6"/>
  <c r="BQ113" i="6" s="1"/>
  <c r="AE20" i="6"/>
  <c r="AZ20" i="6" s="1"/>
  <c r="AV20" i="6"/>
  <c r="BQ20" i="6" s="1"/>
  <c r="AE127" i="6"/>
  <c r="AZ127" i="6" s="1"/>
  <c r="AV127" i="6"/>
  <c r="BQ127" i="6" s="1"/>
  <c r="AE75" i="6"/>
  <c r="AZ75" i="6" s="1"/>
  <c r="AV75" i="6"/>
  <c r="BQ75" i="6" s="1"/>
  <c r="AE72" i="6"/>
  <c r="AZ72" i="6" s="1"/>
  <c r="AV72" i="6"/>
  <c r="BQ72" i="6" s="1"/>
  <c r="AE87" i="6"/>
  <c r="AZ87" i="6" s="1"/>
  <c r="AV87" i="6"/>
  <c r="BQ87" i="6" s="1"/>
  <c r="AE158" i="6"/>
  <c r="AZ158" i="6" s="1"/>
  <c r="AV158" i="6"/>
  <c r="BQ158" i="6" s="1"/>
  <c r="AE162" i="6"/>
  <c r="AZ162" i="6" s="1"/>
  <c r="AV162" i="6"/>
  <c r="BQ162" i="6" s="1"/>
  <c r="AE179" i="6"/>
  <c r="AZ179" i="6" s="1"/>
  <c r="AV179" i="6"/>
  <c r="BQ179" i="6" s="1"/>
  <c r="AE181" i="6"/>
  <c r="AZ181" i="6" s="1"/>
  <c r="AV181" i="6"/>
  <c r="BQ181" i="6" s="1"/>
  <c r="AE185" i="6"/>
  <c r="AZ185" i="6" s="1"/>
  <c r="AV185" i="6"/>
  <c r="BQ185" i="6" s="1"/>
  <c r="AE27" i="6"/>
  <c r="AZ27" i="6" s="1"/>
  <c r="AV27" i="6"/>
  <c r="BQ27" i="6" s="1"/>
  <c r="AE5" i="6"/>
  <c r="AZ5" i="6" s="1"/>
  <c r="AV5" i="6"/>
  <c r="BQ5" i="6" s="1"/>
  <c r="AE6" i="6"/>
  <c r="AZ6" i="6" s="1"/>
  <c r="AV6" i="6"/>
  <c r="BQ6" i="6" s="1"/>
  <c r="AE18" i="6"/>
  <c r="AZ18" i="6" s="1"/>
  <c r="AV18" i="6"/>
  <c r="BQ18" i="6" s="1"/>
  <c r="AE78" i="6"/>
  <c r="AZ78" i="6" s="1"/>
  <c r="AV78" i="6"/>
  <c r="BQ78" i="6" s="1"/>
  <c r="AE120" i="6"/>
  <c r="AZ120" i="6" s="1"/>
  <c r="AV120" i="6"/>
  <c r="BQ120" i="6" s="1"/>
  <c r="AE121" i="6"/>
  <c r="AZ121" i="6" s="1"/>
  <c r="AV121" i="6"/>
  <c r="BQ121" i="6" s="1"/>
  <c r="AE92" i="6"/>
  <c r="AZ92" i="6" s="1"/>
  <c r="AV92" i="6"/>
  <c r="BQ92" i="6" s="1"/>
  <c r="AE71" i="6"/>
  <c r="AZ71" i="6" s="1"/>
  <c r="AV71" i="6"/>
  <c r="BQ71" i="6" s="1"/>
  <c r="AE74" i="6"/>
  <c r="AZ74" i="6" s="1"/>
  <c r="AV74" i="6"/>
  <c r="BQ74" i="6" s="1"/>
  <c r="AE161" i="6"/>
  <c r="AZ161" i="6" s="1"/>
  <c r="AV161" i="6"/>
  <c r="BQ161" i="6" s="1"/>
  <c r="AE187" i="6"/>
  <c r="AZ187" i="6" s="1"/>
  <c r="AV187" i="6"/>
  <c r="BQ187" i="6" s="1"/>
  <c r="AE126" i="6"/>
  <c r="AZ126" i="6" s="1"/>
  <c r="AV126" i="6"/>
  <c r="BQ126" i="6" s="1"/>
  <c r="AE4" i="6"/>
  <c r="AZ4" i="6" s="1"/>
  <c r="AV4" i="6"/>
  <c r="BQ4" i="6" s="1"/>
  <c r="AE73" i="6"/>
  <c r="AZ73" i="6" s="1"/>
  <c r="AV73" i="6"/>
  <c r="BQ73" i="6" s="1"/>
  <c r="AE97" i="6"/>
  <c r="AZ97" i="6" s="1"/>
  <c r="AV97" i="6"/>
  <c r="BQ97" i="6" s="1"/>
  <c r="AE28" i="6"/>
  <c r="AZ28" i="6" s="1"/>
  <c r="AV28" i="6"/>
  <c r="BQ28" i="6" s="1"/>
  <c r="AE79" i="6"/>
  <c r="AZ79" i="6" s="1"/>
  <c r="AV79" i="6"/>
  <c r="BQ79" i="6" s="1"/>
  <c r="AE89" i="6"/>
  <c r="AZ89" i="6" s="1"/>
  <c r="AV89" i="6"/>
  <c r="BQ89" i="6" s="1"/>
  <c r="AE88" i="6"/>
  <c r="AZ88" i="6" s="1"/>
  <c r="AV88" i="6"/>
  <c r="BQ88" i="6" s="1"/>
  <c r="AV107" i="6"/>
  <c r="BQ107" i="6" s="1"/>
  <c r="AE165" i="6"/>
  <c r="AZ165" i="6" s="1"/>
  <c r="AV165" i="6"/>
  <c r="BQ165" i="6" s="1"/>
  <c r="AE166" i="6"/>
  <c r="AZ166" i="6" s="1"/>
  <c r="AV166" i="6"/>
  <c r="BQ166" i="6" s="1"/>
  <c r="AE175" i="6"/>
  <c r="AZ175" i="6" s="1"/>
  <c r="AV175" i="6"/>
  <c r="BQ175" i="6" s="1"/>
  <c r="AE188" i="6"/>
  <c r="AZ188" i="6" s="1"/>
  <c r="AV188" i="6"/>
  <c r="BQ188" i="6" s="1"/>
  <c r="AE226" i="6"/>
  <c r="AZ226" i="6" s="1"/>
  <c r="AV226" i="6"/>
  <c r="BQ226" i="6" s="1"/>
  <c r="AE17" i="6"/>
  <c r="AZ17" i="6" s="1"/>
  <c r="AV17" i="6"/>
  <c r="BQ17" i="6" s="1"/>
  <c r="AE76" i="6"/>
  <c r="AZ76" i="6" s="1"/>
  <c r="AV76" i="6"/>
  <c r="BQ76" i="6" s="1"/>
  <c r="AE85" i="6"/>
  <c r="AZ85" i="6" s="1"/>
  <c r="AV85" i="6"/>
  <c r="BQ85" i="6" s="1"/>
  <c r="AE163" i="6"/>
  <c r="AZ163" i="6" s="1"/>
  <c r="AV163" i="6"/>
  <c r="BQ163" i="6" s="1"/>
  <c r="AE182" i="6"/>
  <c r="AZ182" i="6" s="1"/>
  <c r="AV182" i="6"/>
  <c r="BQ182" i="6" s="1"/>
  <c r="AE227" i="6"/>
  <c r="AZ227" i="6" s="1"/>
  <c r="AV227" i="6"/>
  <c r="BQ227" i="6" s="1"/>
  <c r="AE129" i="6"/>
  <c r="AZ129" i="6" s="1"/>
  <c r="AV129" i="6"/>
  <c r="BQ129" i="6" s="1"/>
  <c r="AE10" i="6"/>
  <c r="AZ10" i="6" s="1"/>
  <c r="AV10" i="6"/>
  <c r="BQ10" i="6" s="1"/>
  <c r="AE19" i="6"/>
  <c r="AZ19" i="6" s="1"/>
  <c r="AV19" i="6"/>
  <c r="BQ19" i="6" s="1"/>
  <c r="AE125" i="6"/>
  <c r="AZ125" i="6" s="1"/>
  <c r="AV125" i="6"/>
  <c r="BQ125" i="6" s="1"/>
  <c r="AE164" i="6"/>
  <c r="AZ164" i="6" s="1"/>
  <c r="AV164" i="6"/>
  <c r="BQ164" i="6" s="1"/>
  <c r="AE26" i="6"/>
  <c r="AZ26" i="6" s="1"/>
  <c r="AV26" i="6"/>
  <c r="BQ26" i="6" s="1"/>
  <c r="AE99" i="6"/>
  <c r="AZ99" i="6" s="1"/>
  <c r="AV99" i="6"/>
  <c r="BQ99" i="6" s="1"/>
  <c r="AE9" i="6"/>
  <c r="AZ9" i="6" s="1"/>
  <c r="AV9" i="6"/>
  <c r="BQ9" i="6" s="1"/>
  <c r="AE14" i="6"/>
  <c r="AZ14" i="6" s="1"/>
  <c r="AV14" i="6"/>
  <c r="BQ14" i="6" s="1"/>
  <c r="AE21" i="6"/>
  <c r="AZ21" i="6" s="1"/>
  <c r="AV21" i="6"/>
  <c r="BQ21" i="6" s="1"/>
  <c r="AV106" i="6"/>
  <c r="BQ106" i="6" s="1"/>
  <c r="AE118" i="6"/>
  <c r="AZ118" i="6" s="1"/>
  <c r="AV118" i="6"/>
  <c r="BQ118" i="6" s="1"/>
  <c r="AE93" i="6"/>
  <c r="AZ93" i="6" s="1"/>
  <c r="AV93" i="6"/>
  <c r="BQ93" i="6" s="1"/>
  <c r="AE157" i="6"/>
  <c r="AZ157" i="6" s="1"/>
  <c r="AV157" i="6"/>
  <c r="BQ157" i="6" s="1"/>
  <c r="AE132" i="6"/>
  <c r="AZ132" i="6" s="1"/>
  <c r="AV132" i="6"/>
  <c r="BQ132" i="6" s="1"/>
  <c r="AE128" i="6"/>
  <c r="AZ128" i="6" s="1"/>
  <c r="AV128" i="6"/>
  <c r="BQ128" i="6" s="1"/>
  <c r="AE11" i="6"/>
  <c r="AZ11" i="6" s="1"/>
  <c r="AV11" i="6"/>
  <c r="BQ11" i="6" s="1"/>
  <c r="AE80" i="6"/>
  <c r="AZ80" i="6" s="1"/>
  <c r="AV80" i="6"/>
  <c r="BQ80" i="6" s="1"/>
  <c r="AE176" i="6"/>
  <c r="AZ176" i="6" s="1"/>
  <c r="AV176" i="6"/>
  <c r="BQ176" i="6" s="1"/>
  <c r="AE124" i="6"/>
  <c r="AZ124" i="6" s="1"/>
  <c r="AV124" i="6"/>
  <c r="BQ124" i="6" s="1"/>
  <c r="AE98" i="6"/>
  <c r="AZ98" i="6" s="1"/>
  <c r="AV98" i="6"/>
  <c r="BQ98" i="6" s="1"/>
  <c r="AE255" i="6"/>
  <c r="AZ255" i="6" s="1"/>
  <c r="AV255" i="6"/>
  <c r="BQ255" i="6" s="1"/>
  <c r="AE114" i="6"/>
  <c r="AZ114" i="6" s="1"/>
  <c r="AV114" i="6"/>
  <c r="BQ114" i="6" s="1"/>
  <c r="AE67" i="6"/>
  <c r="AZ67" i="6" s="1"/>
  <c r="AV67" i="6"/>
  <c r="BQ67" i="6" s="1"/>
  <c r="AE156" i="6"/>
  <c r="AZ156" i="6" s="1"/>
  <c r="AV156" i="6"/>
  <c r="BQ156" i="6" s="1"/>
  <c r="AE30" i="6"/>
  <c r="AZ30" i="6" s="1"/>
  <c r="AV30" i="6"/>
  <c r="BQ30" i="6" s="1"/>
  <c r="AE13" i="6"/>
  <c r="AZ13" i="6" s="1"/>
  <c r="AV13" i="6"/>
  <c r="BQ13" i="6" s="1"/>
  <c r="AE66" i="6"/>
  <c r="AZ66" i="6" s="1"/>
  <c r="AV66" i="6"/>
  <c r="BQ66" i="6" s="1"/>
  <c r="AE81" i="6"/>
  <c r="AZ81" i="6" s="1"/>
  <c r="AV81" i="6"/>
  <c r="BQ81" i="6" s="1"/>
  <c r="AE178" i="6"/>
  <c r="AZ178" i="6" s="1"/>
  <c r="AV178" i="6"/>
  <c r="BQ178" i="6" s="1"/>
  <c r="AE155" i="6"/>
  <c r="AZ155" i="6" s="1"/>
  <c r="AV155" i="6"/>
  <c r="BQ155" i="6" s="1"/>
  <c r="AE15" i="6"/>
  <c r="AZ15" i="6" s="1"/>
  <c r="AV15" i="6"/>
  <c r="BQ15" i="6" s="1"/>
  <c r="AE119" i="6"/>
  <c r="AZ119" i="6" s="1"/>
  <c r="AV119" i="6"/>
  <c r="BQ119" i="6" s="1"/>
  <c r="AE25" i="6"/>
  <c r="AZ25" i="6" s="1"/>
  <c r="AV25" i="6"/>
  <c r="BQ25" i="6" s="1"/>
  <c r="AE65" i="6"/>
  <c r="AZ65" i="6" s="1"/>
  <c r="AV65" i="6"/>
  <c r="BQ65" i="6" s="1"/>
  <c r="AE68" i="6"/>
  <c r="AZ68" i="6" s="1"/>
  <c r="AV68" i="6"/>
  <c r="BQ68" i="6" s="1"/>
  <c r="AE83" i="6"/>
  <c r="AZ83" i="6" s="1"/>
  <c r="AV83" i="6"/>
  <c r="BQ83" i="6" s="1"/>
  <c r="AE84" i="6"/>
  <c r="AZ84" i="6" s="1"/>
  <c r="AV84" i="6"/>
  <c r="BQ84" i="6" s="1"/>
  <c r="AV108" i="6"/>
  <c r="BQ108" i="6" s="1"/>
  <c r="AE159" i="6"/>
  <c r="AZ159" i="6" s="1"/>
  <c r="AV159" i="6"/>
  <c r="BQ159" i="6" s="1"/>
  <c r="AE184" i="6"/>
  <c r="AZ184" i="6" s="1"/>
  <c r="AV184" i="6"/>
  <c r="BQ184" i="6" s="1"/>
  <c r="AE177" i="6"/>
  <c r="AZ177" i="6" s="1"/>
  <c r="AV177" i="6"/>
  <c r="BQ177" i="6" s="1"/>
  <c r="AE186" i="6"/>
  <c r="AZ186" i="6" s="1"/>
  <c r="AV186" i="6"/>
  <c r="BQ186" i="6" s="1"/>
  <c r="AE117" i="6"/>
  <c r="AZ117" i="6" s="1"/>
  <c r="AV117" i="6"/>
  <c r="BQ117" i="6" s="1"/>
  <c r="AE90" i="6"/>
  <c r="AZ90" i="6" s="1"/>
  <c r="AV90" i="6"/>
  <c r="BQ90" i="6" s="1"/>
  <c r="AE173" i="6"/>
  <c r="AZ173" i="6" s="1"/>
  <c r="AV173" i="6"/>
  <c r="BQ173" i="6" s="1"/>
  <c r="AE100" i="6"/>
  <c r="AZ100" i="6" s="1"/>
  <c r="AV100" i="6"/>
  <c r="BQ100" i="6" s="1"/>
  <c r="AE22" i="6"/>
  <c r="AZ22" i="6" s="1"/>
  <c r="AV22" i="6"/>
  <c r="BQ22" i="6" s="1"/>
  <c r="AE115" i="6"/>
  <c r="AZ115" i="6" s="1"/>
  <c r="AV115" i="6"/>
  <c r="BQ115" i="6" s="1"/>
  <c r="AE86" i="6"/>
  <c r="AZ86" i="6" s="1"/>
  <c r="AV86" i="6"/>
  <c r="BQ86" i="6" s="1"/>
  <c r="AE180" i="6"/>
  <c r="AZ180" i="6" s="1"/>
  <c r="AV180" i="6"/>
  <c r="BQ180" i="6" s="1"/>
  <c r="AE130" i="6"/>
  <c r="AZ130" i="6" s="1"/>
  <c r="AV130" i="6"/>
  <c r="BQ130" i="6" s="1"/>
  <c r="AE12" i="6"/>
  <c r="AZ12" i="6" s="1"/>
  <c r="AV12" i="6"/>
  <c r="BQ12" i="6" s="1"/>
  <c r="AE123" i="6"/>
  <c r="AZ123" i="6" s="1"/>
  <c r="AV123" i="6"/>
  <c r="BQ123" i="6" s="1"/>
  <c r="AE153" i="6"/>
  <c r="AZ153" i="6" s="1"/>
  <c r="AV153" i="6"/>
  <c r="BQ153" i="6" s="1"/>
  <c r="AE8" i="6"/>
  <c r="AZ8" i="6" s="1"/>
  <c r="AV8" i="6"/>
  <c r="BQ8" i="6" s="1"/>
  <c r="AE23" i="6"/>
  <c r="AZ23" i="6" s="1"/>
  <c r="AV23" i="6"/>
  <c r="BQ23" i="6" s="1"/>
  <c r="AE16" i="6"/>
  <c r="AZ16" i="6" s="1"/>
  <c r="AV16" i="6"/>
  <c r="BQ16" i="6" s="1"/>
  <c r="AV102" i="6"/>
  <c r="BQ102" i="6" s="1"/>
  <c r="AE122" i="6"/>
  <c r="AZ122" i="6" s="1"/>
  <c r="AV122" i="6"/>
  <c r="BQ122" i="6" s="1"/>
  <c r="AE116" i="6"/>
  <c r="AZ116" i="6" s="1"/>
  <c r="AV116" i="6"/>
  <c r="BQ116" i="6" s="1"/>
  <c r="AE95" i="6"/>
  <c r="AZ95" i="6" s="1"/>
  <c r="AV95" i="6"/>
  <c r="BQ95" i="6" s="1"/>
  <c r="AE131" i="6"/>
  <c r="AZ131" i="6" s="1"/>
  <c r="AV131" i="6"/>
  <c r="BQ131" i="6" s="1"/>
  <c r="AE94" i="6"/>
  <c r="AZ94" i="6" s="1"/>
  <c r="AV94" i="6"/>
  <c r="BQ94" i="6" s="1"/>
  <c r="AE70" i="6"/>
  <c r="AZ70" i="6" s="1"/>
  <c r="AV70" i="6"/>
  <c r="BQ70" i="6" s="1"/>
  <c r="AE189" i="6"/>
  <c r="AZ189" i="6" s="1"/>
  <c r="AV189" i="6"/>
  <c r="BQ189" i="6" s="1"/>
  <c r="AE24" i="6"/>
  <c r="AZ24" i="6" s="1"/>
  <c r="AV24" i="6"/>
  <c r="BQ24" i="6" s="1"/>
  <c r="AE3" i="6"/>
  <c r="AZ3" i="6" s="1"/>
  <c r="AV3" i="6"/>
  <c r="BQ3" i="6" s="1"/>
  <c r="AE69" i="6"/>
  <c r="AZ69" i="6" s="1"/>
  <c r="AV69" i="6"/>
  <c r="BQ69" i="6" s="1"/>
  <c r="AE167" i="6"/>
  <c r="AZ167" i="6" s="1"/>
  <c r="AV167" i="6"/>
  <c r="BQ167" i="6" s="1"/>
  <c r="AE191" i="6"/>
  <c r="AZ191" i="6" s="1"/>
  <c r="AV191" i="6"/>
  <c r="BQ191" i="6" s="1"/>
  <c r="AE7" i="6"/>
  <c r="AZ7" i="6" s="1"/>
  <c r="AV7" i="6"/>
  <c r="BQ7" i="6" s="1"/>
  <c r="AE96" i="6"/>
  <c r="AZ96" i="6" s="1"/>
  <c r="AV96" i="6"/>
  <c r="BQ96" i="6" s="1"/>
  <c r="AE101" i="6"/>
  <c r="AZ101" i="6" s="1"/>
  <c r="AV101" i="6"/>
  <c r="BQ101" i="6" s="1"/>
  <c r="AE77" i="6"/>
  <c r="AZ77" i="6" s="1"/>
  <c r="AV77" i="6"/>
  <c r="BQ77" i="6" s="1"/>
  <c r="AE82" i="6"/>
  <c r="AZ82" i="6" s="1"/>
  <c r="AV82" i="6"/>
  <c r="BQ82" i="6" s="1"/>
  <c r="AE91" i="6"/>
  <c r="AZ91" i="6" s="1"/>
  <c r="AV91" i="6"/>
  <c r="BQ91" i="6" s="1"/>
  <c r="AV112" i="6"/>
  <c r="BQ112" i="6" s="1"/>
  <c r="AE160" i="6"/>
  <c r="AZ160" i="6" s="1"/>
  <c r="AV160" i="6"/>
  <c r="BQ160" i="6" s="1"/>
  <c r="AE174" i="6"/>
  <c r="AZ174" i="6" s="1"/>
  <c r="AV174" i="6"/>
  <c r="BQ174" i="6" s="1"/>
  <c r="AE183" i="6"/>
  <c r="AZ183" i="6" s="1"/>
  <c r="AV183" i="6"/>
  <c r="BQ183" i="6" s="1"/>
  <c r="AE190" i="6"/>
  <c r="AZ190" i="6" s="1"/>
  <c r="AV190" i="6"/>
  <c r="BQ190" i="6" s="1"/>
  <c r="AE29" i="6"/>
  <c r="AZ29" i="6" s="1"/>
  <c r="AV29" i="6"/>
  <c r="BQ29" i="6" s="1"/>
  <c r="AE112" i="6"/>
  <c r="AZ112" i="6" s="1"/>
  <c r="AE106" i="6"/>
  <c r="AZ106" i="6" s="1"/>
  <c r="AE109" i="6"/>
  <c r="AZ109" i="6" s="1"/>
  <c r="AE104" i="6"/>
  <c r="AZ104" i="6" s="1"/>
  <c r="AE105" i="6"/>
  <c r="AZ105" i="6" s="1"/>
  <c r="AK253" i="6"/>
  <c r="BF253" i="6" s="1"/>
  <c r="AE253" i="6"/>
  <c r="AZ253" i="6" s="1"/>
  <c r="AK237" i="6"/>
  <c r="BF237" i="6" s="1"/>
  <c r="AE237" i="6"/>
  <c r="AZ237" i="6" s="1"/>
  <c r="AK257" i="6"/>
  <c r="BF257" i="6" s="1"/>
  <c r="AE257" i="6"/>
  <c r="AZ257" i="6" s="1"/>
  <c r="AK235" i="6"/>
  <c r="BF235" i="6" s="1"/>
  <c r="AE235" i="6"/>
  <c r="AZ235" i="6" s="1"/>
  <c r="AE113" i="6"/>
  <c r="AZ113" i="6" s="1"/>
  <c r="AK252" i="6"/>
  <c r="BF252" i="6" s="1"/>
  <c r="AE252" i="6"/>
  <c r="AZ252" i="6" s="1"/>
  <c r="AE111" i="6"/>
  <c r="AZ111" i="6" s="1"/>
  <c r="AE107" i="6"/>
  <c r="AZ107" i="6" s="1"/>
  <c r="AK250" i="6"/>
  <c r="BF250" i="6" s="1"/>
  <c r="AE250" i="6"/>
  <c r="AZ250" i="6" s="1"/>
  <c r="AE108" i="6"/>
  <c r="AZ108" i="6" s="1"/>
  <c r="AK251" i="6"/>
  <c r="BF251" i="6" s="1"/>
  <c r="AE251" i="6"/>
  <c r="AZ251" i="6" s="1"/>
  <c r="AE102" i="6"/>
  <c r="AZ102" i="6" s="1"/>
  <c r="AK254" i="6"/>
  <c r="BF254" i="6" s="1"/>
  <c r="AE254" i="6"/>
  <c r="AZ254" i="6" s="1"/>
  <c r="AK109" i="6"/>
  <c r="BF109" i="6" s="1"/>
  <c r="AK104" i="6"/>
  <c r="BF104" i="6" s="1"/>
  <c r="AK102" i="6"/>
  <c r="BF102" i="6" s="1"/>
  <c r="AK112" i="6"/>
  <c r="BF112" i="6" s="1"/>
  <c r="AQ153" i="6"/>
  <c r="BL153" i="6" s="1"/>
  <c r="AK153" i="6"/>
  <c r="BF153" i="6" s="1"/>
  <c r="AQ101" i="6"/>
  <c r="BL101" i="6" s="1"/>
  <c r="AK101" i="6"/>
  <c r="BF101" i="6" s="1"/>
  <c r="AQ82" i="6"/>
  <c r="BL82" i="6" s="1"/>
  <c r="AK82" i="6"/>
  <c r="BF82" i="6" s="1"/>
  <c r="AQ174" i="6"/>
  <c r="BL174" i="6" s="1"/>
  <c r="AK174" i="6"/>
  <c r="BF174" i="6" s="1"/>
  <c r="AQ190" i="6"/>
  <c r="BL190" i="6" s="1"/>
  <c r="AK190" i="6"/>
  <c r="BF190" i="6" s="1"/>
  <c r="AQ29" i="6"/>
  <c r="BL29" i="6" s="1"/>
  <c r="AK29" i="6"/>
  <c r="BF29" i="6" s="1"/>
  <c r="AQ71" i="6"/>
  <c r="BL71" i="6" s="1"/>
  <c r="AK71" i="6"/>
  <c r="BF71" i="6" s="1"/>
  <c r="AQ17" i="6"/>
  <c r="BL17" i="6" s="1"/>
  <c r="AK17" i="6"/>
  <c r="BF17" i="6" s="1"/>
  <c r="AQ113" i="6"/>
  <c r="BL113" i="6" s="1"/>
  <c r="AK113" i="6"/>
  <c r="BF113" i="6" s="1"/>
  <c r="AQ114" i="6"/>
  <c r="BL114" i="6" s="1"/>
  <c r="AK114" i="6"/>
  <c r="BF114" i="6" s="1"/>
  <c r="AQ94" i="6"/>
  <c r="BL94" i="6" s="1"/>
  <c r="AK94" i="6"/>
  <c r="BF94" i="6" s="1"/>
  <c r="AQ127" i="6"/>
  <c r="BL127" i="6" s="1"/>
  <c r="AK127" i="6"/>
  <c r="BF127" i="6" s="1"/>
  <c r="AQ72" i="6"/>
  <c r="BL72" i="6" s="1"/>
  <c r="AK72" i="6"/>
  <c r="BF72" i="6" s="1"/>
  <c r="AQ158" i="6"/>
  <c r="BL158" i="6" s="1"/>
  <c r="AK158" i="6"/>
  <c r="BF158" i="6" s="1"/>
  <c r="AQ162" i="6"/>
  <c r="BL162" i="6" s="1"/>
  <c r="AK162" i="6"/>
  <c r="BF162" i="6" s="1"/>
  <c r="AQ179" i="6"/>
  <c r="BL179" i="6" s="1"/>
  <c r="AK179" i="6"/>
  <c r="BF179" i="6" s="1"/>
  <c r="AQ181" i="6"/>
  <c r="BL181" i="6" s="1"/>
  <c r="AK181" i="6"/>
  <c r="BF181" i="6" s="1"/>
  <c r="AQ185" i="6"/>
  <c r="BL185" i="6" s="1"/>
  <c r="AK185" i="6"/>
  <c r="BF185" i="6" s="1"/>
  <c r="AQ27" i="6"/>
  <c r="BL27" i="6" s="1"/>
  <c r="AK27" i="6"/>
  <c r="BF27" i="6" s="1"/>
  <c r="AQ23" i="6"/>
  <c r="BL23" i="6" s="1"/>
  <c r="AK23" i="6"/>
  <c r="BF23" i="6" s="1"/>
  <c r="AQ122" i="6"/>
  <c r="BL122" i="6" s="1"/>
  <c r="AK122" i="6"/>
  <c r="BF122" i="6" s="1"/>
  <c r="AQ77" i="6"/>
  <c r="BL77" i="6" s="1"/>
  <c r="AK77" i="6"/>
  <c r="BF77" i="6" s="1"/>
  <c r="AQ91" i="6"/>
  <c r="BL91" i="6" s="1"/>
  <c r="AK91" i="6"/>
  <c r="BF91" i="6" s="1"/>
  <c r="AQ160" i="6"/>
  <c r="BL160" i="6" s="1"/>
  <c r="AK160" i="6"/>
  <c r="BF160" i="6" s="1"/>
  <c r="AQ183" i="6"/>
  <c r="BL183" i="6" s="1"/>
  <c r="AK183" i="6"/>
  <c r="BF183" i="6" s="1"/>
  <c r="AQ11" i="6"/>
  <c r="BL11" i="6" s="1"/>
  <c r="AK11" i="6"/>
  <c r="BF11" i="6" s="1"/>
  <c r="AQ20" i="6"/>
  <c r="BL20" i="6" s="1"/>
  <c r="AK20" i="6"/>
  <c r="BF20" i="6" s="1"/>
  <c r="AQ117" i="6"/>
  <c r="BL117" i="6" s="1"/>
  <c r="AK117" i="6"/>
  <c r="BF117" i="6" s="1"/>
  <c r="AQ75" i="6"/>
  <c r="BL75" i="6" s="1"/>
  <c r="AK75" i="6"/>
  <c r="BF75" i="6" s="1"/>
  <c r="AQ87" i="6"/>
  <c r="BL87" i="6" s="1"/>
  <c r="AK87" i="6"/>
  <c r="BF87" i="6" s="1"/>
  <c r="AQ5" i="6"/>
  <c r="BL5" i="6" s="1"/>
  <c r="AK5" i="6"/>
  <c r="BF5" i="6" s="1"/>
  <c r="AQ6" i="6"/>
  <c r="BL6" i="6" s="1"/>
  <c r="AK6" i="6"/>
  <c r="BF6" i="6" s="1"/>
  <c r="AQ18" i="6"/>
  <c r="BL18" i="6" s="1"/>
  <c r="AK18" i="6"/>
  <c r="BF18" i="6" s="1"/>
  <c r="AQ78" i="6"/>
  <c r="BL78" i="6" s="1"/>
  <c r="AK78" i="6"/>
  <c r="BF78" i="6" s="1"/>
  <c r="AQ120" i="6"/>
  <c r="BL120" i="6" s="1"/>
  <c r="AK120" i="6"/>
  <c r="BF120" i="6" s="1"/>
  <c r="AQ121" i="6"/>
  <c r="BL121" i="6" s="1"/>
  <c r="AK121" i="6"/>
  <c r="BF121" i="6" s="1"/>
  <c r="AQ92" i="6"/>
  <c r="BL92" i="6" s="1"/>
  <c r="AK92" i="6"/>
  <c r="BF92" i="6" s="1"/>
  <c r="AQ163" i="6"/>
  <c r="BL163" i="6" s="1"/>
  <c r="AK163" i="6"/>
  <c r="BF163" i="6" s="1"/>
  <c r="AQ99" i="6"/>
  <c r="BL99" i="6" s="1"/>
  <c r="AK99" i="6"/>
  <c r="BF99" i="6" s="1"/>
  <c r="AQ9" i="6"/>
  <c r="BL9" i="6" s="1"/>
  <c r="AK9" i="6"/>
  <c r="BF9" i="6" s="1"/>
  <c r="AQ14" i="6"/>
  <c r="BL14" i="6" s="1"/>
  <c r="AK14" i="6"/>
  <c r="BF14" i="6" s="1"/>
  <c r="AQ21" i="6"/>
  <c r="BL21" i="6" s="1"/>
  <c r="AK21" i="6"/>
  <c r="BF21" i="6" s="1"/>
  <c r="AK106" i="6"/>
  <c r="BF106" i="6" s="1"/>
  <c r="AQ118" i="6"/>
  <c r="BL118" i="6" s="1"/>
  <c r="AK118" i="6"/>
  <c r="BF118" i="6" s="1"/>
  <c r="AQ93" i="6"/>
  <c r="BL93" i="6" s="1"/>
  <c r="AK93" i="6"/>
  <c r="BF93" i="6" s="1"/>
  <c r="AQ157" i="6"/>
  <c r="BL157" i="6" s="1"/>
  <c r="AK157" i="6"/>
  <c r="BF157" i="6" s="1"/>
  <c r="AQ132" i="6"/>
  <c r="BL132" i="6" s="1"/>
  <c r="AK132" i="6"/>
  <c r="BF132" i="6" s="1"/>
  <c r="AQ128" i="6"/>
  <c r="BL128" i="6" s="1"/>
  <c r="AK128" i="6"/>
  <c r="BF128" i="6" s="1"/>
  <c r="AQ85" i="6"/>
  <c r="BL85" i="6" s="1"/>
  <c r="AK85" i="6"/>
  <c r="BF85" i="6" s="1"/>
  <c r="AQ129" i="6"/>
  <c r="BL129" i="6" s="1"/>
  <c r="AK129" i="6"/>
  <c r="BF129" i="6" s="1"/>
  <c r="AQ182" i="6"/>
  <c r="BL182" i="6" s="1"/>
  <c r="AK182" i="6"/>
  <c r="BF182" i="6" s="1"/>
  <c r="AQ126" i="6"/>
  <c r="BL126" i="6" s="1"/>
  <c r="AK126" i="6"/>
  <c r="BF126" i="6" s="1"/>
  <c r="AQ10" i="6"/>
  <c r="BL10" i="6" s="1"/>
  <c r="AK10" i="6"/>
  <c r="BF10" i="6" s="1"/>
  <c r="AQ73" i="6"/>
  <c r="BL73" i="6" s="1"/>
  <c r="AK73" i="6"/>
  <c r="BF73" i="6" s="1"/>
  <c r="AQ28" i="6"/>
  <c r="BL28" i="6" s="1"/>
  <c r="AK28" i="6"/>
  <c r="BF28" i="6" s="1"/>
  <c r="AQ79" i="6"/>
  <c r="BL79" i="6" s="1"/>
  <c r="AK79" i="6"/>
  <c r="BF79" i="6" s="1"/>
  <c r="AQ165" i="6"/>
  <c r="BL165" i="6" s="1"/>
  <c r="AK165" i="6"/>
  <c r="BF165" i="6" s="1"/>
  <c r="AQ188" i="6"/>
  <c r="BL188" i="6" s="1"/>
  <c r="AK188" i="6"/>
  <c r="BF188" i="6" s="1"/>
  <c r="AQ90" i="6"/>
  <c r="BL90" i="6" s="1"/>
  <c r="AK90" i="6"/>
  <c r="BF90" i="6" s="1"/>
  <c r="AQ189" i="6"/>
  <c r="BL189" i="6" s="1"/>
  <c r="AK189" i="6"/>
  <c r="BF189" i="6" s="1"/>
  <c r="AQ3" i="6"/>
  <c r="BL3" i="6" s="1"/>
  <c r="AK3" i="6"/>
  <c r="BF3" i="6" s="1"/>
  <c r="AQ124" i="6"/>
  <c r="BL124" i="6" s="1"/>
  <c r="AK124" i="6"/>
  <c r="BF124" i="6" s="1"/>
  <c r="AQ76" i="6"/>
  <c r="BL76" i="6" s="1"/>
  <c r="AK76" i="6"/>
  <c r="BF76" i="6" s="1"/>
  <c r="AQ187" i="6"/>
  <c r="BL187" i="6" s="1"/>
  <c r="AK187" i="6"/>
  <c r="BF187" i="6" s="1"/>
  <c r="AQ164" i="6"/>
  <c r="BL164" i="6" s="1"/>
  <c r="AK164" i="6"/>
  <c r="BF164" i="6" s="1"/>
  <c r="AQ89" i="6"/>
  <c r="BL89" i="6" s="1"/>
  <c r="AK89" i="6"/>
  <c r="BF89" i="6" s="1"/>
  <c r="AQ166" i="6"/>
  <c r="BL166" i="6" s="1"/>
  <c r="AK166" i="6"/>
  <c r="BF166" i="6" s="1"/>
  <c r="AQ80" i="6"/>
  <c r="BL80" i="6" s="1"/>
  <c r="AK80" i="6"/>
  <c r="BF80" i="6" s="1"/>
  <c r="AQ176" i="6"/>
  <c r="BL176" i="6" s="1"/>
  <c r="AK176" i="6"/>
  <c r="BF176" i="6" s="1"/>
  <c r="AQ100" i="6"/>
  <c r="BL100" i="6" s="1"/>
  <c r="AK100" i="6"/>
  <c r="BF100" i="6" s="1"/>
  <c r="AQ69" i="6"/>
  <c r="BL69" i="6" s="1"/>
  <c r="AK69" i="6"/>
  <c r="BF69" i="6" s="1"/>
  <c r="AQ86" i="6"/>
  <c r="BL86" i="6" s="1"/>
  <c r="AK86" i="6"/>
  <c r="BF86" i="6" s="1"/>
  <c r="AQ81" i="6"/>
  <c r="BL81" i="6" s="1"/>
  <c r="AK81" i="6"/>
  <c r="BF81" i="6" s="1"/>
  <c r="AK105" i="6"/>
  <c r="BF105" i="6" s="1"/>
  <c r="AQ167" i="6"/>
  <c r="BL167" i="6" s="1"/>
  <c r="AK167" i="6"/>
  <c r="BF167" i="6" s="1"/>
  <c r="AQ178" i="6"/>
  <c r="BL178" i="6" s="1"/>
  <c r="AK178" i="6"/>
  <c r="BF178" i="6" s="1"/>
  <c r="AQ180" i="6"/>
  <c r="BL180" i="6" s="1"/>
  <c r="AK180" i="6"/>
  <c r="BF180" i="6" s="1"/>
  <c r="AQ191" i="6"/>
  <c r="BL191" i="6" s="1"/>
  <c r="AK191" i="6"/>
  <c r="BF191" i="6" s="1"/>
  <c r="AQ130" i="6"/>
  <c r="BL130" i="6" s="1"/>
  <c r="AK130" i="6"/>
  <c r="BF130" i="6" s="1"/>
  <c r="AQ74" i="6"/>
  <c r="BL74" i="6" s="1"/>
  <c r="AK74" i="6"/>
  <c r="BF74" i="6" s="1"/>
  <c r="AQ227" i="6"/>
  <c r="BL227" i="6" s="1"/>
  <c r="AK227" i="6"/>
  <c r="BF227" i="6" s="1"/>
  <c r="AQ4" i="6"/>
  <c r="BL4" i="6" s="1"/>
  <c r="AK4" i="6"/>
  <c r="BF4" i="6" s="1"/>
  <c r="AQ125" i="6"/>
  <c r="BL125" i="6" s="1"/>
  <c r="AK125" i="6"/>
  <c r="BF125" i="6" s="1"/>
  <c r="AQ26" i="6"/>
  <c r="BL26" i="6" s="1"/>
  <c r="AK26" i="6"/>
  <c r="BF26" i="6" s="1"/>
  <c r="AK107" i="6"/>
  <c r="BF107" i="6" s="1"/>
  <c r="AQ226" i="6"/>
  <c r="BL226" i="6" s="1"/>
  <c r="AK226" i="6"/>
  <c r="BF226" i="6" s="1"/>
  <c r="AQ70" i="6"/>
  <c r="BL70" i="6" s="1"/>
  <c r="AK70" i="6"/>
  <c r="BF70" i="6" s="1"/>
  <c r="AQ156" i="6"/>
  <c r="BL156" i="6" s="1"/>
  <c r="AK156" i="6"/>
  <c r="BF156" i="6" s="1"/>
  <c r="AQ30" i="6"/>
  <c r="BL30" i="6" s="1"/>
  <c r="AK30" i="6"/>
  <c r="BF30" i="6" s="1"/>
  <c r="AQ13" i="6"/>
  <c r="BL13" i="6" s="1"/>
  <c r="AK13" i="6"/>
  <c r="BF13" i="6" s="1"/>
  <c r="AQ98" i="6"/>
  <c r="BL98" i="6" s="1"/>
  <c r="AK98" i="6"/>
  <c r="BF98" i="6" s="1"/>
  <c r="AQ66" i="6"/>
  <c r="BL66" i="6" s="1"/>
  <c r="AK66" i="6"/>
  <c r="BF66" i="6" s="1"/>
  <c r="AQ155" i="6"/>
  <c r="BL155" i="6" s="1"/>
  <c r="AK155" i="6"/>
  <c r="BF155" i="6" s="1"/>
  <c r="AQ7" i="6"/>
  <c r="BL7" i="6" s="1"/>
  <c r="AK7" i="6"/>
  <c r="BF7" i="6" s="1"/>
  <c r="AQ12" i="6"/>
  <c r="BL12" i="6" s="1"/>
  <c r="AK12" i="6"/>
  <c r="BF12" i="6" s="1"/>
  <c r="AQ15" i="6"/>
  <c r="BL15" i="6" s="1"/>
  <c r="AK15" i="6"/>
  <c r="BF15" i="6" s="1"/>
  <c r="AK111" i="6"/>
  <c r="BF111" i="6" s="1"/>
  <c r="AQ123" i="6"/>
  <c r="BL123" i="6" s="1"/>
  <c r="AK123" i="6"/>
  <c r="BF123" i="6" s="1"/>
  <c r="AQ119" i="6"/>
  <c r="BL119" i="6" s="1"/>
  <c r="AK119" i="6"/>
  <c r="BF119" i="6" s="1"/>
  <c r="AQ96" i="6"/>
  <c r="BL96" i="6" s="1"/>
  <c r="AK96" i="6"/>
  <c r="BF96" i="6" s="1"/>
  <c r="AQ25" i="6"/>
  <c r="BL25" i="6" s="1"/>
  <c r="AK25" i="6"/>
  <c r="BF25" i="6" s="1"/>
  <c r="AQ8" i="6"/>
  <c r="BL8" i="6" s="1"/>
  <c r="AK8" i="6"/>
  <c r="BF8" i="6" s="1"/>
  <c r="AQ161" i="6"/>
  <c r="BL161" i="6" s="1"/>
  <c r="AK161" i="6"/>
  <c r="BF161" i="6" s="1"/>
  <c r="AQ19" i="6"/>
  <c r="BL19" i="6" s="1"/>
  <c r="AK19" i="6"/>
  <c r="BF19" i="6" s="1"/>
  <c r="AQ97" i="6"/>
  <c r="BL97" i="6" s="1"/>
  <c r="AK97" i="6"/>
  <c r="BF97" i="6" s="1"/>
  <c r="AQ88" i="6"/>
  <c r="BL88" i="6" s="1"/>
  <c r="AK88" i="6"/>
  <c r="BF88" i="6" s="1"/>
  <c r="AQ175" i="6"/>
  <c r="BL175" i="6" s="1"/>
  <c r="AK175" i="6"/>
  <c r="BF175" i="6" s="1"/>
  <c r="AQ67" i="6"/>
  <c r="BL67" i="6" s="1"/>
  <c r="AK67" i="6"/>
  <c r="BF67" i="6" s="1"/>
  <c r="AQ173" i="6"/>
  <c r="BL173" i="6" s="1"/>
  <c r="AK173" i="6"/>
  <c r="BF173" i="6" s="1"/>
  <c r="AQ24" i="6"/>
  <c r="BL24" i="6" s="1"/>
  <c r="AK24" i="6"/>
  <c r="BF24" i="6" s="1"/>
  <c r="AQ22" i="6"/>
  <c r="BL22" i="6" s="1"/>
  <c r="AK22" i="6"/>
  <c r="BF22" i="6" s="1"/>
  <c r="AQ115" i="6"/>
  <c r="BL115" i="6" s="1"/>
  <c r="AK115" i="6"/>
  <c r="BF115" i="6" s="1"/>
  <c r="AQ255" i="6"/>
  <c r="BL255" i="6" s="1"/>
  <c r="AK255" i="6"/>
  <c r="BF255" i="6" s="1"/>
  <c r="AQ65" i="6"/>
  <c r="BL65" i="6" s="1"/>
  <c r="AK65" i="6"/>
  <c r="BF65" i="6" s="1"/>
  <c r="AQ68" i="6"/>
  <c r="BL68" i="6" s="1"/>
  <c r="AK68" i="6"/>
  <c r="BF68" i="6" s="1"/>
  <c r="AQ83" i="6"/>
  <c r="BL83" i="6" s="1"/>
  <c r="AK83" i="6"/>
  <c r="BF83" i="6" s="1"/>
  <c r="AQ84" i="6"/>
  <c r="BL84" i="6" s="1"/>
  <c r="AK84" i="6"/>
  <c r="BF84" i="6" s="1"/>
  <c r="AK108" i="6"/>
  <c r="BF108" i="6" s="1"/>
  <c r="AQ159" i="6"/>
  <c r="BL159" i="6" s="1"/>
  <c r="AK159" i="6"/>
  <c r="BF159" i="6" s="1"/>
  <c r="AQ184" i="6"/>
  <c r="BL184" i="6" s="1"/>
  <c r="AK184" i="6"/>
  <c r="BF184" i="6" s="1"/>
  <c r="AQ177" i="6"/>
  <c r="BL177" i="6" s="1"/>
  <c r="AK177" i="6"/>
  <c r="BF177" i="6" s="1"/>
  <c r="AQ186" i="6"/>
  <c r="BL186" i="6" s="1"/>
  <c r="AK186" i="6"/>
  <c r="BF186" i="6" s="1"/>
  <c r="AQ16" i="6"/>
  <c r="BL16" i="6" s="1"/>
  <c r="AK16" i="6"/>
  <c r="BF16" i="6" s="1"/>
  <c r="AQ116" i="6"/>
  <c r="BL116" i="6" s="1"/>
  <c r="AK116" i="6"/>
  <c r="BF116" i="6" s="1"/>
  <c r="AQ95" i="6"/>
  <c r="BL95" i="6" s="1"/>
  <c r="AK95" i="6"/>
  <c r="BF95" i="6" s="1"/>
  <c r="AQ131" i="6"/>
  <c r="BL131" i="6" s="1"/>
  <c r="AK131" i="6"/>
  <c r="BF131" i="6" s="1"/>
  <c r="AQ102" i="6"/>
  <c r="BL102" i="6" s="1"/>
  <c r="AG253" i="6"/>
  <c r="BB253" i="6" s="1"/>
  <c r="AQ253" i="6"/>
  <c r="BL253" i="6" s="1"/>
  <c r="AG237" i="6"/>
  <c r="BB237" i="6" s="1"/>
  <c r="AQ237" i="6"/>
  <c r="BL237" i="6" s="1"/>
  <c r="AQ107" i="6"/>
  <c r="BL107" i="6" s="1"/>
  <c r="AG252" i="6"/>
  <c r="BB252" i="6" s="1"/>
  <c r="AQ252" i="6"/>
  <c r="BL252" i="6" s="1"/>
  <c r="AG254" i="6"/>
  <c r="BB254" i="6" s="1"/>
  <c r="AQ254" i="6"/>
  <c r="BL254" i="6" s="1"/>
  <c r="AG108" i="6"/>
  <c r="BB108" i="6" s="1"/>
  <c r="AQ108" i="6"/>
  <c r="BL108" i="6" s="1"/>
  <c r="AQ106" i="6"/>
  <c r="BL106" i="6" s="1"/>
  <c r="AG112" i="6"/>
  <c r="BB112" i="6" s="1"/>
  <c r="AQ112" i="6"/>
  <c r="BL112" i="6" s="1"/>
  <c r="AG235" i="6"/>
  <c r="BB235" i="6" s="1"/>
  <c r="AQ235" i="6"/>
  <c r="BL235" i="6" s="1"/>
  <c r="AQ109" i="6"/>
  <c r="BL109" i="6" s="1"/>
  <c r="AG251" i="6"/>
  <c r="BB251" i="6" s="1"/>
  <c r="AQ251" i="6"/>
  <c r="BL251" i="6" s="1"/>
  <c r="AQ104" i="6"/>
  <c r="BL104" i="6" s="1"/>
  <c r="AG250" i="6"/>
  <c r="BB250" i="6" s="1"/>
  <c r="AQ250" i="6"/>
  <c r="BL250" i="6" s="1"/>
  <c r="AG257" i="6"/>
  <c r="BB257" i="6" s="1"/>
  <c r="AQ257" i="6"/>
  <c r="BL257" i="6" s="1"/>
  <c r="AQ105" i="6"/>
  <c r="BL105" i="6" s="1"/>
  <c r="AQ111" i="6"/>
  <c r="BL111" i="6" s="1"/>
  <c r="AG107" i="6"/>
  <c r="BB107" i="6" s="1"/>
  <c r="AD181" i="6"/>
  <c r="AY181" i="6" s="1"/>
  <c r="AG181" i="6"/>
  <c r="BB181" i="6" s="1"/>
  <c r="AD68" i="6"/>
  <c r="AY68" i="6" s="1"/>
  <c r="AG68" i="6"/>
  <c r="BB68" i="6" s="1"/>
  <c r="AD177" i="6"/>
  <c r="AY177" i="6" s="1"/>
  <c r="AG177" i="6"/>
  <c r="BB177" i="6" s="1"/>
  <c r="AD17" i="6"/>
  <c r="AY17" i="6" s="1"/>
  <c r="AG17" i="6"/>
  <c r="BB17" i="6" s="1"/>
  <c r="AD127" i="6"/>
  <c r="AY127" i="6" s="1"/>
  <c r="AG127" i="6"/>
  <c r="BB127" i="6" s="1"/>
  <c r="AD21" i="6"/>
  <c r="AY21" i="6" s="1"/>
  <c r="AG21" i="6"/>
  <c r="BB21" i="6" s="1"/>
  <c r="AD83" i="6"/>
  <c r="AY83" i="6" s="1"/>
  <c r="AG83" i="6"/>
  <c r="BB83" i="6" s="1"/>
  <c r="AD159" i="6"/>
  <c r="AY159" i="6" s="1"/>
  <c r="AG159" i="6"/>
  <c r="BB159" i="6" s="1"/>
  <c r="AD186" i="6"/>
  <c r="AY186" i="6" s="1"/>
  <c r="AG186" i="6"/>
  <c r="BB186" i="6" s="1"/>
  <c r="AD153" i="6"/>
  <c r="AY153" i="6" s="1"/>
  <c r="AG153" i="6"/>
  <c r="BB153" i="6" s="1"/>
  <c r="AD8" i="6"/>
  <c r="AY8" i="6" s="1"/>
  <c r="AG8" i="6"/>
  <c r="BB8" i="6" s="1"/>
  <c r="AD23" i="6"/>
  <c r="AY23" i="6" s="1"/>
  <c r="AG23" i="6"/>
  <c r="BB23" i="6" s="1"/>
  <c r="AD16" i="6"/>
  <c r="AY16" i="6" s="1"/>
  <c r="AG16" i="6"/>
  <c r="BB16" i="6" s="1"/>
  <c r="AD102" i="6"/>
  <c r="AY102" i="6" s="1"/>
  <c r="AG102" i="6"/>
  <c r="BB102" i="6" s="1"/>
  <c r="AD122" i="6"/>
  <c r="AY122" i="6" s="1"/>
  <c r="AG122" i="6"/>
  <c r="BB122" i="6" s="1"/>
  <c r="AD116" i="6"/>
  <c r="AY116" i="6" s="1"/>
  <c r="AG116" i="6"/>
  <c r="BB116" i="6" s="1"/>
  <c r="AD95" i="6"/>
  <c r="AY95" i="6" s="1"/>
  <c r="AG95" i="6"/>
  <c r="BB95" i="6" s="1"/>
  <c r="AD131" i="6"/>
  <c r="AY131" i="6" s="1"/>
  <c r="AG131" i="6"/>
  <c r="BB131" i="6" s="1"/>
  <c r="AD72" i="6"/>
  <c r="AY72" i="6" s="1"/>
  <c r="AG72" i="6"/>
  <c r="BB72" i="6" s="1"/>
  <c r="AD9" i="6"/>
  <c r="AY9" i="6" s="1"/>
  <c r="AG9" i="6"/>
  <c r="BB9" i="6" s="1"/>
  <c r="AD65" i="6"/>
  <c r="AY65" i="6" s="1"/>
  <c r="AG65" i="6"/>
  <c r="BB65" i="6" s="1"/>
  <c r="AD84" i="6"/>
  <c r="AY84" i="6" s="1"/>
  <c r="AG84" i="6"/>
  <c r="BB84" i="6" s="1"/>
  <c r="AD184" i="6"/>
  <c r="AY184" i="6" s="1"/>
  <c r="AG184" i="6"/>
  <c r="BB184" i="6" s="1"/>
  <c r="AD101" i="6"/>
  <c r="AY101" i="6" s="1"/>
  <c r="AG101" i="6"/>
  <c r="BB101" i="6" s="1"/>
  <c r="AD77" i="6"/>
  <c r="AY77" i="6" s="1"/>
  <c r="AG77" i="6"/>
  <c r="BB77" i="6" s="1"/>
  <c r="AD82" i="6"/>
  <c r="AY82" i="6" s="1"/>
  <c r="AG82" i="6"/>
  <c r="BB82" i="6" s="1"/>
  <c r="AD91" i="6"/>
  <c r="AY91" i="6" s="1"/>
  <c r="AG91" i="6"/>
  <c r="BB91" i="6" s="1"/>
  <c r="AD160" i="6"/>
  <c r="AY160" i="6" s="1"/>
  <c r="AG160" i="6"/>
  <c r="BB160" i="6" s="1"/>
  <c r="AD174" i="6"/>
  <c r="AY174" i="6" s="1"/>
  <c r="AG174" i="6"/>
  <c r="BB174" i="6" s="1"/>
  <c r="AD183" i="6"/>
  <c r="AY183" i="6" s="1"/>
  <c r="AG183" i="6"/>
  <c r="BB183" i="6" s="1"/>
  <c r="AD190" i="6"/>
  <c r="AY190" i="6" s="1"/>
  <c r="AG190" i="6"/>
  <c r="BB190" i="6" s="1"/>
  <c r="AD29" i="6"/>
  <c r="AY29" i="6" s="1"/>
  <c r="AG29" i="6"/>
  <c r="BB29" i="6" s="1"/>
  <c r="AD11" i="6"/>
  <c r="AY11" i="6" s="1"/>
  <c r="AG11" i="6"/>
  <c r="BB11" i="6" s="1"/>
  <c r="AD114" i="6"/>
  <c r="AY114" i="6" s="1"/>
  <c r="AG114" i="6"/>
  <c r="BB114" i="6" s="1"/>
  <c r="AD75" i="6"/>
  <c r="AY75" i="6" s="1"/>
  <c r="AG75" i="6"/>
  <c r="BB75" i="6" s="1"/>
  <c r="AD179" i="6"/>
  <c r="AY179" i="6" s="1"/>
  <c r="AG179" i="6"/>
  <c r="BB179" i="6" s="1"/>
  <c r="AD5" i="6"/>
  <c r="AY5" i="6" s="1"/>
  <c r="AG5" i="6"/>
  <c r="BB5" i="6" s="1"/>
  <c r="AD6" i="6"/>
  <c r="AY6" i="6" s="1"/>
  <c r="AG6" i="6"/>
  <c r="BB6" i="6" s="1"/>
  <c r="AD78" i="6"/>
  <c r="AY78" i="6" s="1"/>
  <c r="AG78" i="6"/>
  <c r="BB78" i="6" s="1"/>
  <c r="AD120" i="6"/>
  <c r="AY120" i="6" s="1"/>
  <c r="AG120" i="6"/>
  <c r="BB120" i="6" s="1"/>
  <c r="AD92" i="6"/>
  <c r="AY92" i="6" s="1"/>
  <c r="AG92" i="6"/>
  <c r="BB92" i="6" s="1"/>
  <c r="AD74" i="6"/>
  <c r="AY74" i="6" s="1"/>
  <c r="AG74" i="6"/>
  <c r="BB74" i="6" s="1"/>
  <c r="AD85" i="6"/>
  <c r="AY85" i="6" s="1"/>
  <c r="AG85" i="6"/>
  <c r="BB85" i="6" s="1"/>
  <c r="AD163" i="6"/>
  <c r="AY163" i="6" s="1"/>
  <c r="AG163" i="6"/>
  <c r="BB163" i="6" s="1"/>
  <c r="AD161" i="6"/>
  <c r="AY161" i="6" s="1"/>
  <c r="AG161" i="6"/>
  <c r="BB161" i="6" s="1"/>
  <c r="AD182" i="6"/>
  <c r="AY182" i="6" s="1"/>
  <c r="AG182" i="6"/>
  <c r="BB182" i="6" s="1"/>
  <c r="AD187" i="6"/>
  <c r="AY187" i="6" s="1"/>
  <c r="AG187" i="6"/>
  <c r="BB187" i="6" s="1"/>
  <c r="AD227" i="6"/>
  <c r="AY227" i="6" s="1"/>
  <c r="AG227" i="6"/>
  <c r="BB227" i="6" s="1"/>
  <c r="AD129" i="6"/>
  <c r="AY129" i="6" s="1"/>
  <c r="AG129" i="6"/>
  <c r="BB129" i="6" s="1"/>
  <c r="AD126" i="6"/>
  <c r="AY126" i="6" s="1"/>
  <c r="AG126" i="6"/>
  <c r="BB126" i="6" s="1"/>
  <c r="AD10" i="6"/>
  <c r="AY10" i="6" s="1"/>
  <c r="AG10" i="6"/>
  <c r="BB10" i="6" s="1"/>
  <c r="AD4" i="6"/>
  <c r="AY4" i="6" s="1"/>
  <c r="AG4" i="6"/>
  <c r="BB4" i="6" s="1"/>
  <c r="AD19" i="6"/>
  <c r="AY19" i="6" s="1"/>
  <c r="AG19" i="6"/>
  <c r="BB19" i="6" s="1"/>
  <c r="AD73" i="6"/>
  <c r="AY73" i="6" s="1"/>
  <c r="AG73" i="6"/>
  <c r="BB73" i="6" s="1"/>
  <c r="AD125" i="6"/>
  <c r="AY125" i="6" s="1"/>
  <c r="AG125" i="6"/>
  <c r="BB125" i="6" s="1"/>
  <c r="AD97" i="6"/>
  <c r="AY97" i="6" s="1"/>
  <c r="AG97" i="6"/>
  <c r="BB97" i="6" s="1"/>
  <c r="AD164" i="6"/>
  <c r="AY164" i="6" s="1"/>
  <c r="AG164" i="6"/>
  <c r="BB164" i="6" s="1"/>
  <c r="AD28" i="6"/>
  <c r="AY28" i="6" s="1"/>
  <c r="AG28" i="6"/>
  <c r="BB28" i="6" s="1"/>
  <c r="AD26" i="6"/>
  <c r="AY26" i="6" s="1"/>
  <c r="AG26" i="6"/>
  <c r="BB26" i="6" s="1"/>
  <c r="AD117" i="6"/>
  <c r="AY117" i="6" s="1"/>
  <c r="AG117" i="6"/>
  <c r="BB117" i="6" s="1"/>
  <c r="AD158" i="6"/>
  <c r="AY158" i="6" s="1"/>
  <c r="AG158" i="6"/>
  <c r="BB158" i="6" s="1"/>
  <c r="AD27" i="6"/>
  <c r="AY27" i="6" s="1"/>
  <c r="AG27" i="6"/>
  <c r="BB27" i="6" s="1"/>
  <c r="AD18" i="6"/>
  <c r="AY18" i="6" s="1"/>
  <c r="AG18" i="6"/>
  <c r="BB18" i="6" s="1"/>
  <c r="AD121" i="6"/>
  <c r="AY121" i="6" s="1"/>
  <c r="AG121" i="6"/>
  <c r="BB121" i="6" s="1"/>
  <c r="AD76" i="6"/>
  <c r="AY76" i="6" s="1"/>
  <c r="AG76" i="6"/>
  <c r="BB76" i="6" s="1"/>
  <c r="AD79" i="6"/>
  <c r="AY79" i="6" s="1"/>
  <c r="AG79" i="6"/>
  <c r="BB79" i="6" s="1"/>
  <c r="AD89" i="6"/>
  <c r="AY89" i="6" s="1"/>
  <c r="AG89" i="6"/>
  <c r="BB89" i="6" s="1"/>
  <c r="AD88" i="6"/>
  <c r="AY88" i="6" s="1"/>
  <c r="AG88" i="6"/>
  <c r="BB88" i="6" s="1"/>
  <c r="AD165" i="6"/>
  <c r="AY165" i="6" s="1"/>
  <c r="AG165" i="6"/>
  <c r="BB165" i="6" s="1"/>
  <c r="AD166" i="6"/>
  <c r="AY166" i="6" s="1"/>
  <c r="AG166" i="6"/>
  <c r="BB166" i="6" s="1"/>
  <c r="AD175" i="6"/>
  <c r="AY175" i="6" s="1"/>
  <c r="AG175" i="6"/>
  <c r="BB175" i="6" s="1"/>
  <c r="AD188" i="6"/>
  <c r="AY188" i="6" s="1"/>
  <c r="AG188" i="6"/>
  <c r="BB188" i="6" s="1"/>
  <c r="AD226" i="6"/>
  <c r="AY226" i="6" s="1"/>
  <c r="AG226" i="6"/>
  <c r="BB226" i="6" s="1"/>
  <c r="AD71" i="6"/>
  <c r="AY71" i="6" s="1"/>
  <c r="AG71" i="6"/>
  <c r="BB71" i="6" s="1"/>
  <c r="AD113" i="6"/>
  <c r="AY113" i="6" s="1"/>
  <c r="AG113" i="6"/>
  <c r="BB113" i="6" s="1"/>
  <c r="AD87" i="6"/>
  <c r="AY87" i="6" s="1"/>
  <c r="AG87" i="6"/>
  <c r="BB87" i="6" s="1"/>
  <c r="AD14" i="6"/>
  <c r="AY14" i="6" s="1"/>
  <c r="AG14" i="6"/>
  <c r="BB14" i="6" s="1"/>
  <c r="AG106" i="6"/>
  <c r="BB106" i="6" s="1"/>
  <c r="AD93" i="6"/>
  <c r="AY93" i="6" s="1"/>
  <c r="AG93" i="6"/>
  <c r="BB93" i="6" s="1"/>
  <c r="AD132" i="6"/>
  <c r="AY132" i="6" s="1"/>
  <c r="AG132" i="6"/>
  <c r="BB132" i="6" s="1"/>
  <c r="AD67" i="6"/>
  <c r="AY67" i="6" s="1"/>
  <c r="AG67" i="6"/>
  <c r="BB67" i="6" s="1"/>
  <c r="AD90" i="6"/>
  <c r="AY90" i="6" s="1"/>
  <c r="AG90" i="6"/>
  <c r="BB90" i="6" s="1"/>
  <c r="AD173" i="6"/>
  <c r="AY173" i="6" s="1"/>
  <c r="AG173" i="6"/>
  <c r="BB173" i="6" s="1"/>
  <c r="AD24" i="6"/>
  <c r="AY24" i="6" s="1"/>
  <c r="AG24" i="6"/>
  <c r="BB24" i="6" s="1"/>
  <c r="AD13" i="6"/>
  <c r="AY13" i="6" s="1"/>
  <c r="AG13" i="6"/>
  <c r="BB13" i="6" s="1"/>
  <c r="AD22" i="6"/>
  <c r="AY22" i="6" s="1"/>
  <c r="AG22" i="6"/>
  <c r="BB22" i="6" s="1"/>
  <c r="AG104" i="6"/>
  <c r="BB104" i="6" s="1"/>
  <c r="AD115" i="6"/>
  <c r="AY115" i="6" s="1"/>
  <c r="AG115" i="6"/>
  <c r="BB115" i="6" s="1"/>
  <c r="AD124" i="6"/>
  <c r="AY124" i="6" s="1"/>
  <c r="AG124" i="6"/>
  <c r="BB124" i="6" s="1"/>
  <c r="AD98" i="6"/>
  <c r="AY98" i="6" s="1"/>
  <c r="AG98" i="6"/>
  <c r="BB98" i="6" s="1"/>
  <c r="AC255" i="6"/>
  <c r="AG255" i="6"/>
  <c r="BB255" i="6" s="1"/>
  <c r="AD94" i="6"/>
  <c r="AY94" i="6" s="1"/>
  <c r="AG94" i="6"/>
  <c r="BB94" i="6" s="1"/>
  <c r="AD162" i="6"/>
  <c r="AY162" i="6" s="1"/>
  <c r="AG162" i="6"/>
  <c r="BB162" i="6" s="1"/>
  <c r="AD99" i="6"/>
  <c r="AY99" i="6" s="1"/>
  <c r="AG99" i="6"/>
  <c r="BB99" i="6" s="1"/>
  <c r="AD157" i="6"/>
  <c r="AY157" i="6" s="1"/>
  <c r="AG157" i="6"/>
  <c r="BB157" i="6" s="1"/>
  <c r="AD128" i="6"/>
  <c r="AY128" i="6" s="1"/>
  <c r="AG128" i="6"/>
  <c r="BB128" i="6" s="1"/>
  <c r="AD80" i="6"/>
  <c r="AY80" i="6" s="1"/>
  <c r="AG80" i="6"/>
  <c r="BB80" i="6" s="1"/>
  <c r="AG109" i="6"/>
  <c r="BB109" i="6" s="1"/>
  <c r="AD189" i="6"/>
  <c r="AY189" i="6" s="1"/>
  <c r="AG189" i="6"/>
  <c r="BB189" i="6" s="1"/>
  <c r="AD30" i="6"/>
  <c r="AY30" i="6" s="1"/>
  <c r="AG30" i="6"/>
  <c r="BB30" i="6" s="1"/>
  <c r="AD3" i="6"/>
  <c r="AY3" i="6" s="1"/>
  <c r="AG3" i="6"/>
  <c r="BB3" i="6" s="1"/>
  <c r="AD66" i="6"/>
  <c r="AY66" i="6" s="1"/>
  <c r="AG66" i="6"/>
  <c r="BB66" i="6" s="1"/>
  <c r="AD69" i="6"/>
  <c r="AY69" i="6" s="1"/>
  <c r="AG69" i="6"/>
  <c r="BB69" i="6" s="1"/>
  <c r="AD86" i="6"/>
  <c r="AY86" i="6" s="1"/>
  <c r="AG86" i="6"/>
  <c r="BB86" i="6" s="1"/>
  <c r="AD81" i="6"/>
  <c r="AY81" i="6" s="1"/>
  <c r="AG81" i="6"/>
  <c r="BB81" i="6" s="1"/>
  <c r="AG105" i="6"/>
  <c r="BB105" i="6" s="1"/>
  <c r="AD167" i="6"/>
  <c r="AY167" i="6" s="1"/>
  <c r="AG167" i="6"/>
  <c r="BB167" i="6" s="1"/>
  <c r="AD178" i="6"/>
  <c r="AY178" i="6" s="1"/>
  <c r="AG178" i="6"/>
  <c r="BB178" i="6" s="1"/>
  <c r="AD180" i="6"/>
  <c r="AY180" i="6" s="1"/>
  <c r="AG180" i="6"/>
  <c r="BB180" i="6" s="1"/>
  <c r="AD191" i="6"/>
  <c r="AY191" i="6" s="1"/>
  <c r="AG191" i="6"/>
  <c r="BB191" i="6" s="1"/>
  <c r="AD130" i="6"/>
  <c r="AY130" i="6" s="1"/>
  <c r="AG130" i="6"/>
  <c r="BB130" i="6" s="1"/>
  <c r="AD20" i="6"/>
  <c r="AY20" i="6" s="1"/>
  <c r="AG20" i="6"/>
  <c r="BB20" i="6" s="1"/>
  <c r="AD185" i="6"/>
  <c r="AY185" i="6" s="1"/>
  <c r="AG185" i="6"/>
  <c r="BB185" i="6" s="1"/>
  <c r="AD118" i="6"/>
  <c r="AY118" i="6" s="1"/>
  <c r="AG118" i="6"/>
  <c r="BB118" i="6" s="1"/>
  <c r="AD70" i="6"/>
  <c r="AY70" i="6" s="1"/>
  <c r="AG70" i="6"/>
  <c r="BB70" i="6" s="1"/>
  <c r="AD156" i="6"/>
  <c r="AY156" i="6" s="1"/>
  <c r="AG156" i="6"/>
  <c r="BB156" i="6" s="1"/>
  <c r="AD176" i="6"/>
  <c r="AY176" i="6" s="1"/>
  <c r="AG176" i="6"/>
  <c r="BB176" i="6" s="1"/>
  <c r="AD100" i="6"/>
  <c r="AY100" i="6" s="1"/>
  <c r="AG100" i="6"/>
  <c r="BB100" i="6" s="1"/>
  <c r="AD155" i="6"/>
  <c r="AY155" i="6" s="1"/>
  <c r="AG155" i="6"/>
  <c r="BB155" i="6" s="1"/>
  <c r="AD7" i="6"/>
  <c r="AY7" i="6" s="1"/>
  <c r="AG7" i="6"/>
  <c r="BB7" i="6" s="1"/>
  <c r="AD12" i="6"/>
  <c r="AY12" i="6" s="1"/>
  <c r="AG12" i="6"/>
  <c r="BB12" i="6" s="1"/>
  <c r="AD15" i="6"/>
  <c r="AY15" i="6" s="1"/>
  <c r="AG15" i="6"/>
  <c r="BB15" i="6" s="1"/>
  <c r="AD111" i="6"/>
  <c r="AY111" i="6" s="1"/>
  <c r="AG111" i="6"/>
  <c r="BB111" i="6" s="1"/>
  <c r="AD123" i="6"/>
  <c r="AY123" i="6" s="1"/>
  <c r="AG123" i="6"/>
  <c r="BB123" i="6" s="1"/>
  <c r="AD119" i="6"/>
  <c r="AY119" i="6" s="1"/>
  <c r="AG119" i="6"/>
  <c r="BB119" i="6" s="1"/>
  <c r="AD96" i="6"/>
  <c r="AY96" i="6" s="1"/>
  <c r="AG96" i="6"/>
  <c r="BB96" i="6" s="1"/>
  <c r="AD25" i="6"/>
  <c r="AY25" i="6" s="1"/>
  <c r="AG25" i="6"/>
  <c r="BB25" i="6" s="1"/>
  <c r="AD108" i="6"/>
  <c r="AY108" i="6" s="1"/>
  <c r="AW251" i="6"/>
  <c r="BR251" i="6" s="1"/>
  <c r="AD251" i="6"/>
  <c r="AY251" i="6" s="1"/>
  <c r="AW253" i="6"/>
  <c r="BR253" i="6" s="1"/>
  <c r="AD253" i="6"/>
  <c r="AY253" i="6" s="1"/>
  <c r="AI237" i="6"/>
  <c r="BD237" i="6" s="1"/>
  <c r="AD237" i="6"/>
  <c r="AY237" i="6" s="1"/>
  <c r="AH257" i="6"/>
  <c r="BC257" i="6" s="1"/>
  <c r="AD257" i="6"/>
  <c r="AY257" i="6" s="1"/>
  <c r="AP235" i="6"/>
  <c r="BK235" i="6" s="1"/>
  <c r="AD235" i="6"/>
  <c r="AY235" i="6" s="1"/>
  <c r="AD107" i="6"/>
  <c r="AY107" i="6" s="1"/>
  <c r="AD112" i="6"/>
  <c r="AY112" i="6" s="1"/>
  <c r="AD106" i="6"/>
  <c r="AY106" i="6" s="1"/>
  <c r="AJ252" i="6"/>
  <c r="BE252" i="6" s="1"/>
  <c r="AD252" i="6"/>
  <c r="AY252" i="6" s="1"/>
  <c r="AS254" i="6"/>
  <c r="BN254" i="6" s="1"/>
  <c r="AD254" i="6"/>
  <c r="AY254" i="6" s="1"/>
  <c r="AD109" i="6"/>
  <c r="AY109" i="6" s="1"/>
  <c r="AD104" i="6"/>
  <c r="AY104" i="6" s="1"/>
  <c r="AD105" i="6"/>
  <c r="AY105" i="6" s="1"/>
  <c r="AI255" i="6"/>
  <c r="BD255" i="6" s="1"/>
  <c r="AD255" i="6"/>
  <c r="AY255" i="6" s="1"/>
  <c r="AO250" i="6"/>
  <c r="BJ250" i="6" s="1"/>
  <c r="AD250" i="6"/>
  <c r="AY250" i="6" s="1"/>
  <c r="AC235" i="6"/>
  <c r="AS250" i="6"/>
  <c r="BN250" i="6" s="1"/>
  <c r="AM250" i="6"/>
  <c r="BH250" i="6" s="1"/>
  <c r="AR255" i="6"/>
  <c r="BM255" i="6" s="1"/>
  <c r="AI250" i="6"/>
  <c r="BD250" i="6" s="1"/>
  <c r="AP255" i="6"/>
  <c r="BK255" i="6" s="1"/>
  <c r="AW255" i="6"/>
  <c r="BR255" i="6" s="1"/>
  <c r="AN250" i="6"/>
  <c r="BI250" i="6" s="1"/>
  <c r="AS255" i="6"/>
  <c r="BN255" i="6" s="1"/>
  <c r="AU250" i="6"/>
  <c r="BP250" i="6" s="1"/>
  <c r="AU255" i="6"/>
  <c r="BP255" i="6" s="1"/>
  <c r="AJ254" i="6"/>
  <c r="BE254" i="6" s="1"/>
  <c r="AR250" i="6"/>
  <c r="BM250" i="6" s="1"/>
  <c r="AH250" i="6"/>
  <c r="BC250" i="6" s="1"/>
  <c r="AJ250" i="6"/>
  <c r="BE250" i="6" s="1"/>
  <c r="AF250" i="6"/>
  <c r="BA250" i="6" s="1"/>
  <c r="AP250" i="6"/>
  <c r="BK250" i="6" s="1"/>
  <c r="AW250" i="6"/>
  <c r="BR250" i="6" s="1"/>
  <c r="AU252" i="6"/>
  <c r="BP252" i="6" s="1"/>
  <c r="AR254" i="6"/>
  <c r="BM254" i="6" s="1"/>
  <c r="AP254" i="6"/>
  <c r="BK254" i="6" s="1"/>
  <c r="AH254" i="6"/>
  <c r="BC254" i="6" s="1"/>
  <c r="AU254" i="6"/>
  <c r="BP254" i="6" s="1"/>
  <c r="AO254" i="6"/>
  <c r="BJ254" i="6" s="1"/>
  <c r="AW254" i="6"/>
  <c r="BR254" i="6" s="1"/>
  <c r="AN254" i="6"/>
  <c r="BI254" i="6" s="1"/>
  <c r="AM254" i="6"/>
  <c r="BH254" i="6" s="1"/>
  <c r="AM252" i="6"/>
  <c r="BH252" i="6" s="1"/>
  <c r="AN252" i="6"/>
  <c r="BI252" i="6" s="1"/>
  <c r="AF254" i="6"/>
  <c r="BA254" i="6" s="1"/>
  <c r="AC254" i="6"/>
  <c r="AI254" i="6"/>
  <c r="BD254" i="6" s="1"/>
  <c r="AC250" i="6"/>
  <c r="AI252" i="6"/>
  <c r="BD252" i="6" s="1"/>
  <c r="AH252" i="6"/>
  <c r="BC252" i="6" s="1"/>
  <c r="AF252" i="6"/>
  <c r="BA252" i="6" s="1"/>
  <c r="AS252" i="6"/>
  <c r="BN252" i="6" s="1"/>
  <c r="AC252" i="6"/>
  <c r="AR252" i="6"/>
  <c r="BM252" i="6" s="1"/>
  <c r="AO255" i="6"/>
  <c r="BJ255" i="6" s="1"/>
  <c r="AM255" i="6"/>
  <c r="BH255" i="6" s="1"/>
  <c r="AO237" i="6"/>
  <c r="BJ237" i="6" s="1"/>
  <c r="AC237" i="6"/>
  <c r="AO257" i="6"/>
  <c r="BJ257" i="6" s="1"/>
  <c r="AN237" i="6"/>
  <c r="BI237" i="6" s="1"/>
  <c r="AN257" i="6"/>
  <c r="BI257" i="6" s="1"/>
  <c r="AO252" i="6"/>
  <c r="BJ252" i="6" s="1"/>
  <c r="AJ257" i="6"/>
  <c r="BE257" i="6" s="1"/>
  <c r="AM257" i="6"/>
  <c r="BH257" i="6" s="1"/>
  <c r="AF235" i="6"/>
  <c r="BA235" i="6" s="1"/>
  <c r="AU257" i="6"/>
  <c r="BP257" i="6" s="1"/>
  <c r="AP252" i="6"/>
  <c r="BK252" i="6" s="1"/>
  <c r="AO235" i="6"/>
  <c r="BJ235" i="6" s="1"/>
  <c r="AH235" i="6"/>
  <c r="BC235" i="6" s="1"/>
  <c r="AU235" i="6"/>
  <c r="BP235" i="6" s="1"/>
  <c r="AM235" i="6"/>
  <c r="BH235" i="6" s="1"/>
  <c r="AJ253" i="6"/>
  <c r="BE253" i="6" s="1"/>
  <c r="AJ235" i="6"/>
  <c r="BE235" i="6" s="1"/>
  <c r="AI235" i="6"/>
  <c r="BD235" i="6" s="1"/>
  <c r="AH253" i="6"/>
  <c r="BC253" i="6" s="1"/>
  <c r="AS257" i="6"/>
  <c r="BN257" i="6" s="1"/>
  <c r="AP253" i="6"/>
  <c r="BK253" i="6" s="1"/>
  <c r="AR257" i="6"/>
  <c r="BM257" i="6" s="1"/>
  <c r="AP257" i="6"/>
  <c r="BK257" i="6" s="1"/>
  <c r="AI257" i="6"/>
  <c r="BD257" i="6" s="1"/>
  <c r="AH237" i="6"/>
  <c r="BC237" i="6" s="1"/>
  <c r="AU251" i="6"/>
  <c r="BP251" i="6" s="1"/>
  <c r="AF257" i="6"/>
  <c r="BA257" i="6" s="1"/>
  <c r="AU237" i="6"/>
  <c r="BP237" i="6" s="1"/>
  <c r="AI253" i="6"/>
  <c r="BD253" i="6" s="1"/>
  <c r="AC257" i="6"/>
  <c r="AR237" i="6"/>
  <c r="BM237" i="6" s="1"/>
  <c r="AW237" i="6"/>
  <c r="BR237" i="6" s="1"/>
  <c r="AM237" i="6"/>
  <c r="BH237" i="6" s="1"/>
  <c r="AS29" i="6"/>
  <c r="BN29" i="6" s="1"/>
  <c r="AF29" i="6"/>
  <c r="BA29" i="6" s="1"/>
  <c r="AH29" i="6"/>
  <c r="BC29" i="6" s="1"/>
  <c r="AN29" i="6"/>
  <c r="BI29" i="6" s="1"/>
  <c r="AJ29" i="6"/>
  <c r="BE29" i="6" s="1"/>
  <c r="AW29" i="6"/>
  <c r="BR29" i="6" s="1"/>
  <c r="AP29" i="6"/>
  <c r="BK29" i="6" s="1"/>
  <c r="AC29" i="6"/>
  <c r="AR29" i="6"/>
  <c r="BM29" i="6" s="1"/>
  <c r="AO29" i="6"/>
  <c r="BJ29" i="6" s="1"/>
  <c r="AU29" i="6"/>
  <c r="BP29" i="6" s="1"/>
  <c r="AI29" i="6"/>
  <c r="BD29" i="6" s="1"/>
  <c r="AM29" i="6"/>
  <c r="BH29" i="6" s="1"/>
  <c r="AH131" i="6"/>
  <c r="BC131" i="6" s="1"/>
  <c r="AP131" i="6"/>
  <c r="BK131" i="6" s="1"/>
  <c r="AR131" i="6"/>
  <c r="BM131" i="6" s="1"/>
  <c r="AJ131" i="6"/>
  <c r="BE131" i="6" s="1"/>
  <c r="AN131" i="6"/>
  <c r="BI131" i="6" s="1"/>
  <c r="AI131" i="6"/>
  <c r="BD131" i="6" s="1"/>
  <c r="AU131" i="6"/>
  <c r="BP131" i="6" s="1"/>
  <c r="AO131" i="6"/>
  <c r="BJ131" i="6" s="1"/>
  <c r="AF131" i="6"/>
  <c r="BA131" i="6" s="1"/>
  <c r="AC131" i="6"/>
  <c r="AW131" i="6"/>
  <c r="BR131" i="6" s="1"/>
  <c r="AM131" i="6"/>
  <c r="BH131" i="6" s="1"/>
  <c r="AS131" i="6"/>
  <c r="BN131" i="6" s="1"/>
  <c r="AO251" i="6"/>
  <c r="BJ251" i="6" s="1"/>
  <c r="AN251" i="6"/>
  <c r="BI251" i="6" s="1"/>
  <c r="AO253" i="6"/>
  <c r="BJ253" i="6" s="1"/>
  <c r="AC27" i="6"/>
  <c r="AW27" i="6"/>
  <c r="BR27" i="6" s="1"/>
  <c r="AO27" i="6"/>
  <c r="BJ27" i="6" s="1"/>
  <c r="AR27" i="6"/>
  <c r="BM27" i="6" s="1"/>
  <c r="AH27" i="6"/>
  <c r="BC27" i="6" s="1"/>
  <c r="AP27" i="6"/>
  <c r="BK27" i="6" s="1"/>
  <c r="AU27" i="6"/>
  <c r="BP27" i="6" s="1"/>
  <c r="AS27" i="6"/>
  <c r="BN27" i="6" s="1"/>
  <c r="AI27" i="6"/>
  <c r="BD27" i="6" s="1"/>
  <c r="AM27" i="6"/>
  <c r="BH27" i="6" s="1"/>
  <c r="AF27" i="6"/>
  <c r="BA27" i="6" s="1"/>
  <c r="AN27" i="6"/>
  <c r="BI27" i="6" s="1"/>
  <c r="AJ27" i="6"/>
  <c r="BE27" i="6" s="1"/>
  <c r="AM251" i="6"/>
  <c r="BH251" i="6" s="1"/>
  <c r="AC253" i="6"/>
  <c r="AS251" i="6"/>
  <c r="BN251" i="6" s="1"/>
  <c r="AI259" i="6"/>
  <c r="BD259" i="6" s="1"/>
  <c r="AS259" i="6"/>
  <c r="AC259" i="6"/>
  <c r="AW259" i="6"/>
  <c r="BR259" i="6" s="1"/>
  <c r="AO259" i="6"/>
  <c r="BJ259" i="6" s="1"/>
  <c r="AH259" i="6"/>
  <c r="BC259" i="6" s="1"/>
  <c r="AP259" i="6"/>
  <c r="BK259" i="6" s="1"/>
  <c r="AF259" i="6"/>
  <c r="BA259" i="6" s="1"/>
  <c r="AJ259" i="6"/>
  <c r="BE259" i="6" s="1"/>
  <c r="AN259" i="6"/>
  <c r="BI259" i="6" s="1"/>
  <c r="AU259" i="6"/>
  <c r="BP259" i="6" s="1"/>
  <c r="AM259" i="6"/>
  <c r="BH259" i="6" s="1"/>
  <c r="AR259" i="6"/>
  <c r="BM259" i="6" s="1"/>
  <c r="AW257" i="6"/>
  <c r="BR257" i="6" s="1"/>
  <c r="AW252" i="6"/>
  <c r="BR252" i="6" s="1"/>
  <c r="AC251" i="6"/>
  <c r="AH255" i="6"/>
  <c r="BC255" i="6" s="1"/>
  <c r="AN235" i="6"/>
  <c r="BI235" i="6" s="1"/>
  <c r="AF237" i="6"/>
  <c r="BA237" i="6" s="1"/>
  <c r="AR129" i="6"/>
  <c r="BM129" i="6" s="1"/>
  <c r="AW129" i="6"/>
  <c r="BR129" i="6" s="1"/>
  <c r="AC129" i="6"/>
  <c r="AP129" i="6"/>
  <c r="BK129" i="6" s="1"/>
  <c r="AU129" i="6"/>
  <c r="BP129" i="6" s="1"/>
  <c r="AM129" i="6"/>
  <c r="BH129" i="6" s="1"/>
  <c r="AI129" i="6"/>
  <c r="BD129" i="6" s="1"/>
  <c r="AN129" i="6"/>
  <c r="BI129" i="6" s="1"/>
  <c r="AF129" i="6"/>
  <c r="BA129" i="6" s="1"/>
  <c r="AH129" i="6"/>
  <c r="BC129" i="6" s="1"/>
  <c r="AJ129" i="6"/>
  <c r="BE129" i="6" s="1"/>
  <c r="AS129" i="6"/>
  <c r="BN129" i="6" s="1"/>
  <c r="AO129" i="6"/>
  <c r="BJ129" i="6" s="1"/>
  <c r="AS253" i="6"/>
  <c r="BN253" i="6" s="1"/>
  <c r="AC28" i="6"/>
  <c r="AI28" i="6"/>
  <c r="BD28" i="6" s="1"/>
  <c r="AN28" i="6"/>
  <c r="BI28" i="6" s="1"/>
  <c r="AO28" i="6"/>
  <c r="BJ28" i="6" s="1"/>
  <c r="AJ28" i="6"/>
  <c r="BE28" i="6" s="1"/>
  <c r="AM28" i="6"/>
  <c r="BH28" i="6" s="1"/>
  <c r="AR28" i="6"/>
  <c r="BM28" i="6" s="1"/>
  <c r="AW28" i="6"/>
  <c r="BR28" i="6" s="1"/>
  <c r="AH28" i="6"/>
  <c r="BC28" i="6" s="1"/>
  <c r="AU28" i="6"/>
  <c r="BP28" i="6" s="1"/>
  <c r="AF28" i="6"/>
  <c r="BA28" i="6" s="1"/>
  <c r="AS28" i="6"/>
  <c r="BN28" i="6" s="1"/>
  <c r="AP28" i="6"/>
  <c r="BK28" i="6" s="1"/>
  <c r="AJ251" i="6"/>
  <c r="BE251" i="6" s="1"/>
  <c r="AU253" i="6"/>
  <c r="BP253" i="6" s="1"/>
  <c r="AW126" i="6"/>
  <c r="BR126" i="6" s="1"/>
  <c r="AS126" i="6"/>
  <c r="BN126" i="6" s="1"/>
  <c r="AH126" i="6"/>
  <c r="BC126" i="6" s="1"/>
  <c r="AF126" i="6"/>
  <c r="BA126" i="6" s="1"/>
  <c r="AR126" i="6"/>
  <c r="BM126" i="6" s="1"/>
  <c r="AP126" i="6"/>
  <c r="BK126" i="6" s="1"/>
  <c r="AO126" i="6"/>
  <c r="BJ126" i="6" s="1"/>
  <c r="AJ126" i="6"/>
  <c r="BE126" i="6" s="1"/>
  <c r="AU126" i="6"/>
  <c r="BP126" i="6" s="1"/>
  <c r="AC126" i="6"/>
  <c r="AN126" i="6"/>
  <c r="BI126" i="6" s="1"/>
  <c r="AI126" i="6"/>
  <c r="BD126" i="6" s="1"/>
  <c r="AM126" i="6"/>
  <c r="BH126" i="6" s="1"/>
  <c r="AI251" i="6"/>
  <c r="BD251" i="6" s="1"/>
  <c r="AR253" i="6"/>
  <c r="BM253" i="6" s="1"/>
  <c r="AF255" i="6"/>
  <c r="BA255" i="6" s="1"/>
  <c r="AS235" i="6"/>
  <c r="BN235" i="6" s="1"/>
  <c r="AS237" i="6"/>
  <c r="BN237" i="6" s="1"/>
  <c r="AH132" i="6"/>
  <c r="BC132" i="6" s="1"/>
  <c r="AU132" i="6"/>
  <c r="BP132" i="6" s="1"/>
  <c r="AR132" i="6"/>
  <c r="BM132" i="6" s="1"/>
  <c r="AC132" i="6"/>
  <c r="AM132" i="6"/>
  <c r="BH132" i="6" s="1"/>
  <c r="AO132" i="6"/>
  <c r="BJ132" i="6" s="1"/>
  <c r="AP132" i="6"/>
  <c r="BK132" i="6" s="1"/>
  <c r="AN132" i="6"/>
  <c r="BI132" i="6" s="1"/>
  <c r="AS132" i="6"/>
  <c r="BN132" i="6" s="1"/>
  <c r="AW132" i="6"/>
  <c r="BR132" i="6" s="1"/>
  <c r="AI132" i="6"/>
  <c r="BD132" i="6" s="1"/>
  <c r="AJ132" i="6"/>
  <c r="BE132" i="6" s="1"/>
  <c r="AF132" i="6"/>
  <c r="BA132" i="6" s="1"/>
  <c r="AC26" i="6"/>
  <c r="AS26" i="6"/>
  <c r="BN26" i="6" s="1"/>
  <c r="AU26" i="6"/>
  <c r="BP26" i="6" s="1"/>
  <c r="AP26" i="6"/>
  <c r="BK26" i="6" s="1"/>
  <c r="AR26" i="6"/>
  <c r="BM26" i="6" s="1"/>
  <c r="AJ26" i="6"/>
  <c r="BE26" i="6" s="1"/>
  <c r="AW26" i="6"/>
  <c r="BR26" i="6" s="1"/>
  <c r="AO26" i="6"/>
  <c r="BJ26" i="6" s="1"/>
  <c r="AF26" i="6"/>
  <c r="BA26" i="6" s="1"/>
  <c r="AI26" i="6"/>
  <c r="BD26" i="6" s="1"/>
  <c r="AH26" i="6"/>
  <c r="BC26" i="6" s="1"/>
  <c r="AN26" i="6"/>
  <c r="BI26" i="6" s="1"/>
  <c r="AM26" i="6"/>
  <c r="BH26" i="6" s="1"/>
  <c r="AH251" i="6"/>
  <c r="BC251" i="6" s="1"/>
  <c r="AF253" i="6"/>
  <c r="BA253" i="6" s="1"/>
  <c r="AN255" i="6"/>
  <c r="BI255" i="6" s="1"/>
  <c r="AW235" i="6"/>
  <c r="BR235" i="6" s="1"/>
  <c r="AP237" i="6"/>
  <c r="BK237" i="6" s="1"/>
  <c r="AS30" i="6"/>
  <c r="BN30" i="6" s="1"/>
  <c r="AF30" i="6"/>
  <c r="BA30" i="6" s="1"/>
  <c r="AH30" i="6"/>
  <c r="BC30" i="6" s="1"/>
  <c r="AI30" i="6"/>
  <c r="BD30" i="6" s="1"/>
  <c r="AC30" i="6"/>
  <c r="AJ30" i="6"/>
  <c r="BE30" i="6" s="1"/>
  <c r="AU30" i="6"/>
  <c r="BP30" i="6" s="1"/>
  <c r="AO30" i="6"/>
  <c r="BJ30" i="6" s="1"/>
  <c r="AR30" i="6"/>
  <c r="BM30" i="6" s="1"/>
  <c r="AN30" i="6"/>
  <c r="BI30" i="6" s="1"/>
  <c r="AP30" i="6"/>
  <c r="BK30" i="6" s="1"/>
  <c r="AM30" i="6"/>
  <c r="BH30" i="6" s="1"/>
  <c r="AW30" i="6"/>
  <c r="BR30" i="6" s="1"/>
  <c r="AF251" i="6"/>
  <c r="BA251" i="6" s="1"/>
  <c r="AM253" i="6"/>
  <c r="BH253" i="6" s="1"/>
  <c r="AC128" i="6"/>
  <c r="AS128" i="6"/>
  <c r="BN128" i="6" s="1"/>
  <c r="AO128" i="6"/>
  <c r="BJ128" i="6" s="1"/>
  <c r="AM128" i="6"/>
  <c r="BH128" i="6" s="1"/>
  <c r="AH128" i="6"/>
  <c r="BC128" i="6" s="1"/>
  <c r="AN128" i="6"/>
  <c r="BI128" i="6" s="1"/>
  <c r="AW128" i="6"/>
  <c r="BR128" i="6" s="1"/>
  <c r="AR128" i="6"/>
  <c r="BM128" i="6" s="1"/>
  <c r="AJ128" i="6"/>
  <c r="BE128" i="6" s="1"/>
  <c r="AU128" i="6"/>
  <c r="BP128" i="6" s="1"/>
  <c r="AP128" i="6"/>
  <c r="BK128" i="6" s="1"/>
  <c r="AI128" i="6"/>
  <c r="BD128" i="6" s="1"/>
  <c r="AF128" i="6"/>
  <c r="BA128" i="6" s="1"/>
  <c r="AP251" i="6"/>
  <c r="BK251" i="6" s="1"/>
  <c r="AN253" i="6"/>
  <c r="BI253" i="6" s="1"/>
  <c r="AJ255" i="6"/>
  <c r="BE255" i="6" s="1"/>
  <c r="AR235" i="6"/>
  <c r="BM235" i="6" s="1"/>
  <c r="AJ237" i="6"/>
  <c r="BE237" i="6" s="1"/>
  <c r="AJ130" i="6"/>
  <c r="BE130" i="6" s="1"/>
  <c r="AF130" i="6"/>
  <c r="BA130" i="6" s="1"/>
  <c r="AS130" i="6"/>
  <c r="BN130" i="6" s="1"/>
  <c r="AI130" i="6"/>
  <c r="BD130" i="6" s="1"/>
  <c r="AN130" i="6"/>
  <c r="BI130" i="6" s="1"/>
  <c r="AO130" i="6"/>
  <c r="BJ130" i="6" s="1"/>
  <c r="AH130" i="6"/>
  <c r="BC130" i="6" s="1"/>
  <c r="AR130" i="6"/>
  <c r="BM130" i="6" s="1"/>
  <c r="AW130" i="6"/>
  <c r="BR130" i="6" s="1"/>
  <c r="AM130" i="6"/>
  <c r="BH130" i="6" s="1"/>
  <c r="AU130" i="6"/>
  <c r="BP130" i="6" s="1"/>
  <c r="AC130" i="6"/>
  <c r="AP130" i="6"/>
  <c r="BK130" i="6" s="1"/>
  <c r="AC24" i="6"/>
  <c r="AS24" i="6"/>
  <c r="BN24" i="6" s="1"/>
  <c r="AU24" i="6"/>
  <c r="BP24" i="6" s="1"/>
  <c r="AW24" i="6"/>
  <c r="BR24" i="6" s="1"/>
  <c r="AM24" i="6"/>
  <c r="BH24" i="6" s="1"/>
  <c r="AF24" i="6"/>
  <c r="BA24" i="6" s="1"/>
  <c r="AI24" i="6"/>
  <c r="BD24" i="6" s="1"/>
  <c r="AP24" i="6"/>
  <c r="BK24" i="6" s="1"/>
  <c r="AH24" i="6"/>
  <c r="BC24" i="6" s="1"/>
  <c r="AJ24" i="6"/>
  <c r="BE24" i="6" s="1"/>
  <c r="AO24" i="6"/>
  <c r="BJ24" i="6" s="1"/>
  <c r="AR24" i="6"/>
  <c r="BM24" i="6" s="1"/>
  <c r="AN24" i="6"/>
  <c r="BI24" i="6" s="1"/>
  <c r="AR251" i="6"/>
  <c r="BM251" i="6" s="1"/>
  <c r="AU127" i="6"/>
  <c r="BP127" i="6" s="1"/>
  <c r="AP127" i="6"/>
  <c r="BK127" i="6" s="1"/>
  <c r="AW127" i="6"/>
  <c r="BR127" i="6" s="1"/>
  <c r="AN127" i="6"/>
  <c r="BI127" i="6" s="1"/>
  <c r="AC127" i="6"/>
  <c r="AS127" i="6"/>
  <c r="BN127" i="6" s="1"/>
  <c r="AO127" i="6"/>
  <c r="BJ127" i="6" s="1"/>
  <c r="AJ127" i="6"/>
  <c r="BE127" i="6" s="1"/>
  <c r="AM127" i="6"/>
  <c r="BH127" i="6" s="1"/>
  <c r="AI127" i="6"/>
  <c r="BD127" i="6" s="1"/>
  <c r="AR127" i="6"/>
  <c r="BM127" i="6" s="1"/>
  <c r="AF127" i="6"/>
  <c r="BA127" i="6" s="1"/>
  <c r="AH127" i="6"/>
  <c r="BC127" i="6" s="1"/>
  <c r="AM25" i="6"/>
  <c r="BH25" i="6" s="1"/>
  <c r="AC25" i="6"/>
  <c r="AF25" i="6"/>
  <c r="BA25" i="6" s="1"/>
  <c r="AP25" i="6"/>
  <c r="BK25" i="6" s="1"/>
  <c r="AI25" i="6"/>
  <c r="BD25" i="6" s="1"/>
  <c r="AW25" i="6"/>
  <c r="BR25" i="6" s="1"/>
  <c r="AN25" i="6"/>
  <c r="BI25" i="6" s="1"/>
  <c r="AH25" i="6"/>
  <c r="BC25" i="6" s="1"/>
  <c r="AO25" i="6"/>
  <c r="BJ25" i="6" s="1"/>
  <c r="AS25" i="6"/>
  <c r="BN25" i="6" s="1"/>
  <c r="AR25" i="6"/>
  <c r="BM25" i="6" s="1"/>
  <c r="AJ25" i="6"/>
  <c r="BE25" i="6" s="1"/>
  <c r="AU25" i="6"/>
  <c r="BP25" i="6" s="1"/>
  <c r="AC188" i="6"/>
  <c r="AS188" i="6"/>
  <c r="BN188" i="6" s="1"/>
  <c r="AU188" i="6"/>
  <c r="BP188" i="6" s="1"/>
  <c r="AI188" i="6"/>
  <c r="BD188" i="6" s="1"/>
  <c r="AW188" i="6"/>
  <c r="BR188" i="6" s="1"/>
  <c r="AF188" i="6"/>
  <c r="BA188" i="6" s="1"/>
  <c r="AH188" i="6"/>
  <c r="BC188" i="6" s="1"/>
  <c r="AJ188" i="6"/>
  <c r="BE188" i="6" s="1"/>
  <c r="AN188" i="6"/>
  <c r="BI188" i="6" s="1"/>
  <c r="AO188" i="6"/>
  <c r="BJ188" i="6" s="1"/>
  <c r="AM188" i="6"/>
  <c r="BH188" i="6" s="1"/>
  <c r="AP188" i="6"/>
  <c r="BK188" i="6" s="1"/>
  <c r="AR188" i="6"/>
  <c r="BM188" i="6" s="1"/>
  <c r="AO106" i="6"/>
  <c r="BJ106" i="6" s="1"/>
  <c r="AW106" i="6"/>
  <c r="BR106" i="6" s="1"/>
  <c r="AH106" i="6"/>
  <c r="BC106" i="6" s="1"/>
  <c r="AF106" i="6"/>
  <c r="BA106" i="6" s="1"/>
  <c r="AI106" i="6"/>
  <c r="BD106" i="6" s="1"/>
  <c r="AJ106" i="6"/>
  <c r="BE106" i="6" s="1"/>
  <c r="AM106" i="6"/>
  <c r="BH106" i="6" s="1"/>
  <c r="AN106" i="6"/>
  <c r="BI106" i="6" s="1"/>
  <c r="AR106" i="6"/>
  <c r="BM106" i="6" s="1"/>
  <c r="AS106" i="6"/>
  <c r="BN106" i="6" s="1"/>
  <c r="AU106" i="6"/>
  <c r="BP106" i="6" s="1"/>
  <c r="AP106" i="6"/>
  <c r="BK106" i="6" s="1"/>
  <c r="AC100" i="6"/>
  <c r="AO100" i="6"/>
  <c r="BJ100" i="6" s="1"/>
  <c r="AR100" i="6"/>
  <c r="BM100" i="6" s="1"/>
  <c r="AP100" i="6"/>
  <c r="BK100" i="6" s="1"/>
  <c r="AS100" i="6"/>
  <c r="BN100" i="6" s="1"/>
  <c r="AW100" i="6"/>
  <c r="BR100" i="6" s="1"/>
  <c r="AI100" i="6"/>
  <c r="BD100" i="6" s="1"/>
  <c r="AF100" i="6"/>
  <c r="BA100" i="6" s="1"/>
  <c r="AH100" i="6"/>
  <c r="BC100" i="6" s="1"/>
  <c r="AM100" i="6"/>
  <c r="BH100" i="6" s="1"/>
  <c r="AJ100" i="6"/>
  <c r="BE100" i="6" s="1"/>
  <c r="AN100" i="6"/>
  <c r="BI100" i="6" s="1"/>
  <c r="AU100" i="6"/>
  <c r="BP100" i="6" s="1"/>
  <c r="AC70" i="6"/>
  <c r="AP70" i="6"/>
  <c r="BK70" i="6" s="1"/>
  <c r="AR70" i="6"/>
  <c r="BM70" i="6" s="1"/>
  <c r="AS70" i="6"/>
  <c r="BN70" i="6" s="1"/>
  <c r="AU70" i="6"/>
  <c r="BP70" i="6" s="1"/>
  <c r="AJ70" i="6"/>
  <c r="BE70" i="6" s="1"/>
  <c r="AH70" i="6"/>
  <c r="BC70" i="6" s="1"/>
  <c r="AI70" i="6"/>
  <c r="BD70" i="6" s="1"/>
  <c r="AN70" i="6"/>
  <c r="BI70" i="6" s="1"/>
  <c r="AF70" i="6"/>
  <c r="BA70" i="6" s="1"/>
  <c r="AO70" i="6"/>
  <c r="BJ70" i="6" s="1"/>
  <c r="AW70" i="6"/>
  <c r="BR70" i="6" s="1"/>
  <c r="AM70" i="6"/>
  <c r="BH70" i="6" s="1"/>
  <c r="AC80" i="6"/>
  <c r="AF80" i="6"/>
  <c r="BA80" i="6" s="1"/>
  <c r="AN80" i="6"/>
  <c r="BI80" i="6" s="1"/>
  <c r="AH80" i="6"/>
  <c r="BC80" i="6" s="1"/>
  <c r="AI80" i="6"/>
  <c r="BD80" i="6" s="1"/>
  <c r="AJ80" i="6"/>
  <c r="BE80" i="6" s="1"/>
  <c r="AO80" i="6"/>
  <c r="BJ80" i="6" s="1"/>
  <c r="AS80" i="6"/>
  <c r="BN80" i="6" s="1"/>
  <c r="AM80" i="6"/>
  <c r="BH80" i="6" s="1"/>
  <c r="AW80" i="6"/>
  <c r="BR80" i="6" s="1"/>
  <c r="AR80" i="6"/>
  <c r="BM80" i="6" s="1"/>
  <c r="AU80" i="6"/>
  <c r="BP80" i="6" s="1"/>
  <c r="AP80" i="6"/>
  <c r="BK80" i="6" s="1"/>
  <c r="AC90" i="6"/>
  <c r="AM90" i="6"/>
  <c r="BH90" i="6" s="1"/>
  <c r="AN90" i="6"/>
  <c r="BI90" i="6" s="1"/>
  <c r="AR90" i="6"/>
  <c r="BM90" i="6" s="1"/>
  <c r="AO90" i="6"/>
  <c r="BJ90" i="6" s="1"/>
  <c r="AS90" i="6"/>
  <c r="BN90" i="6" s="1"/>
  <c r="AU90" i="6"/>
  <c r="BP90" i="6" s="1"/>
  <c r="AW90" i="6"/>
  <c r="BR90" i="6" s="1"/>
  <c r="AP90" i="6"/>
  <c r="BK90" i="6" s="1"/>
  <c r="AF90" i="6"/>
  <c r="BA90" i="6" s="1"/>
  <c r="AH90" i="6"/>
  <c r="BC90" i="6" s="1"/>
  <c r="AI90" i="6"/>
  <c r="BD90" i="6" s="1"/>
  <c r="AJ90" i="6"/>
  <c r="BE90" i="6" s="1"/>
  <c r="AP109" i="6"/>
  <c r="BK109" i="6" s="1"/>
  <c r="AF109" i="6"/>
  <c r="BA109" i="6" s="1"/>
  <c r="AJ109" i="6"/>
  <c r="BE109" i="6" s="1"/>
  <c r="AI109" i="6"/>
  <c r="BD109" i="6" s="1"/>
  <c r="AM109" i="6"/>
  <c r="BH109" i="6" s="1"/>
  <c r="AN109" i="6"/>
  <c r="BI109" i="6" s="1"/>
  <c r="AO109" i="6"/>
  <c r="BJ109" i="6" s="1"/>
  <c r="AR109" i="6"/>
  <c r="BM109" i="6" s="1"/>
  <c r="AS109" i="6"/>
  <c r="BN109" i="6" s="1"/>
  <c r="AU109" i="6"/>
  <c r="BP109" i="6" s="1"/>
  <c r="AW109" i="6"/>
  <c r="BR109" i="6" s="1"/>
  <c r="AH109" i="6"/>
  <c r="BC109" i="6" s="1"/>
  <c r="AC156" i="6"/>
  <c r="AH156" i="6"/>
  <c r="BC156" i="6" s="1"/>
  <c r="AI156" i="6"/>
  <c r="BD156" i="6" s="1"/>
  <c r="AJ156" i="6"/>
  <c r="BE156" i="6" s="1"/>
  <c r="AM156" i="6"/>
  <c r="BH156" i="6" s="1"/>
  <c r="AS156" i="6"/>
  <c r="BN156" i="6" s="1"/>
  <c r="AR156" i="6"/>
  <c r="BM156" i="6" s="1"/>
  <c r="AW156" i="6"/>
  <c r="BR156" i="6" s="1"/>
  <c r="AP156" i="6"/>
  <c r="BK156" i="6" s="1"/>
  <c r="AO156" i="6"/>
  <c r="BJ156" i="6" s="1"/>
  <c r="AN156" i="6"/>
  <c r="BI156" i="6" s="1"/>
  <c r="AF156" i="6"/>
  <c r="BA156" i="6" s="1"/>
  <c r="AU156" i="6"/>
  <c r="BP156" i="6" s="1"/>
  <c r="AC173" i="6"/>
  <c r="AS173" i="6"/>
  <c r="BN173" i="6" s="1"/>
  <c r="AP173" i="6"/>
  <c r="BK173" i="6" s="1"/>
  <c r="AO173" i="6"/>
  <c r="BJ173" i="6" s="1"/>
  <c r="AF173" i="6"/>
  <c r="BA173" i="6" s="1"/>
  <c r="AJ173" i="6"/>
  <c r="BE173" i="6" s="1"/>
  <c r="AU173" i="6"/>
  <c r="BP173" i="6" s="1"/>
  <c r="AH173" i="6"/>
  <c r="BC173" i="6" s="1"/>
  <c r="AI173" i="6"/>
  <c r="BD173" i="6" s="1"/>
  <c r="AW173" i="6"/>
  <c r="BR173" i="6" s="1"/>
  <c r="AR173" i="6"/>
  <c r="BM173" i="6" s="1"/>
  <c r="AM173" i="6"/>
  <c r="BH173" i="6" s="1"/>
  <c r="AN173" i="6"/>
  <c r="BI173" i="6" s="1"/>
  <c r="AC176" i="6"/>
  <c r="AJ176" i="6"/>
  <c r="BE176" i="6" s="1"/>
  <c r="AF176" i="6"/>
  <c r="BA176" i="6" s="1"/>
  <c r="AM176" i="6"/>
  <c r="BH176" i="6" s="1"/>
  <c r="AO176" i="6"/>
  <c r="BJ176" i="6" s="1"/>
  <c r="AP176" i="6"/>
  <c r="BK176" i="6" s="1"/>
  <c r="AR176" i="6"/>
  <c r="BM176" i="6" s="1"/>
  <c r="AS176" i="6"/>
  <c r="BN176" i="6" s="1"/>
  <c r="AW176" i="6"/>
  <c r="BR176" i="6" s="1"/>
  <c r="AI176" i="6"/>
  <c r="BD176" i="6" s="1"/>
  <c r="AU176" i="6"/>
  <c r="BP176" i="6" s="1"/>
  <c r="AN176" i="6"/>
  <c r="BI176" i="6" s="1"/>
  <c r="AH176" i="6"/>
  <c r="BC176" i="6" s="1"/>
  <c r="AC189" i="6"/>
  <c r="AU189" i="6"/>
  <c r="BP189" i="6" s="1"/>
  <c r="AW189" i="6"/>
  <c r="BR189" i="6" s="1"/>
  <c r="AN189" i="6"/>
  <c r="BI189" i="6" s="1"/>
  <c r="AJ189" i="6"/>
  <c r="BE189" i="6" s="1"/>
  <c r="AO189" i="6"/>
  <c r="BJ189" i="6" s="1"/>
  <c r="AP189" i="6"/>
  <c r="BK189" i="6" s="1"/>
  <c r="AS189" i="6"/>
  <c r="BN189" i="6" s="1"/>
  <c r="AM189" i="6"/>
  <c r="BH189" i="6" s="1"/>
  <c r="AR189" i="6"/>
  <c r="BM189" i="6" s="1"/>
  <c r="AF189" i="6"/>
  <c r="BA189" i="6" s="1"/>
  <c r="AI189" i="6"/>
  <c r="BD189" i="6" s="1"/>
  <c r="AH189" i="6"/>
  <c r="BC189" i="6" s="1"/>
  <c r="AX228" i="6"/>
  <c r="AX234" i="6"/>
  <c r="AC166" i="6"/>
  <c r="AU166" i="6"/>
  <c r="BP166" i="6" s="1"/>
  <c r="AW166" i="6"/>
  <c r="BR166" i="6" s="1"/>
  <c r="AH166" i="6"/>
  <c r="BC166" i="6" s="1"/>
  <c r="AP166" i="6"/>
  <c r="BK166" i="6" s="1"/>
  <c r="AR166" i="6"/>
  <c r="BM166" i="6" s="1"/>
  <c r="AS166" i="6"/>
  <c r="BN166" i="6" s="1"/>
  <c r="AJ166" i="6"/>
  <c r="BE166" i="6" s="1"/>
  <c r="AN166" i="6"/>
  <c r="BI166" i="6" s="1"/>
  <c r="AI166" i="6"/>
  <c r="BD166" i="6" s="1"/>
  <c r="AF166" i="6"/>
  <c r="BA166" i="6" s="1"/>
  <c r="AO166" i="6"/>
  <c r="BJ166" i="6" s="1"/>
  <c r="AM166" i="6"/>
  <c r="BH166" i="6" s="1"/>
  <c r="AC157" i="6"/>
  <c r="AO157" i="6"/>
  <c r="BJ157" i="6" s="1"/>
  <c r="AR157" i="6"/>
  <c r="BM157" i="6" s="1"/>
  <c r="AP157" i="6"/>
  <c r="BK157" i="6" s="1"/>
  <c r="AI157" i="6"/>
  <c r="BD157" i="6" s="1"/>
  <c r="AS157" i="6"/>
  <c r="BN157" i="6" s="1"/>
  <c r="AW157" i="6"/>
  <c r="BR157" i="6" s="1"/>
  <c r="AJ157" i="6"/>
  <c r="BE157" i="6" s="1"/>
  <c r="AF157" i="6"/>
  <c r="BA157" i="6" s="1"/>
  <c r="AH157" i="6"/>
  <c r="BC157" i="6" s="1"/>
  <c r="AM157" i="6"/>
  <c r="BH157" i="6" s="1"/>
  <c r="AN157" i="6"/>
  <c r="BI157" i="6" s="1"/>
  <c r="AU157" i="6"/>
  <c r="BP157" i="6" s="1"/>
  <c r="AX244" i="6"/>
  <c r="AR104" i="6"/>
  <c r="BM104" i="6" s="1"/>
  <c r="AS104" i="6"/>
  <c r="BN104" i="6" s="1"/>
  <c r="AU104" i="6"/>
  <c r="BP104" i="6" s="1"/>
  <c r="AJ104" i="6"/>
  <c r="BE104" i="6" s="1"/>
  <c r="AH104" i="6"/>
  <c r="BC104" i="6" s="1"/>
  <c r="AO104" i="6"/>
  <c r="BJ104" i="6" s="1"/>
  <c r="AP104" i="6"/>
  <c r="BK104" i="6" s="1"/>
  <c r="AW104" i="6"/>
  <c r="BR104" i="6" s="1"/>
  <c r="AI104" i="6"/>
  <c r="BD104" i="6" s="1"/>
  <c r="AM104" i="6"/>
  <c r="BH104" i="6" s="1"/>
  <c r="AN104" i="6"/>
  <c r="BI104" i="6" s="1"/>
  <c r="AF104" i="6"/>
  <c r="BA104" i="6" s="1"/>
  <c r="AX242" i="6"/>
  <c r="AC167" i="6"/>
  <c r="AF167" i="6"/>
  <c r="BA167" i="6" s="1"/>
  <c r="AH167" i="6"/>
  <c r="BC167" i="6" s="1"/>
  <c r="AP167" i="6"/>
  <c r="BK167" i="6" s="1"/>
  <c r="AR167" i="6"/>
  <c r="BM167" i="6" s="1"/>
  <c r="AS167" i="6"/>
  <c r="BN167" i="6" s="1"/>
  <c r="AU167" i="6"/>
  <c r="BP167" i="6" s="1"/>
  <c r="AJ167" i="6"/>
  <c r="BE167" i="6" s="1"/>
  <c r="AO167" i="6"/>
  <c r="BJ167" i="6" s="1"/>
  <c r="AI167" i="6"/>
  <c r="BD167" i="6" s="1"/>
  <c r="AW167" i="6"/>
  <c r="BR167" i="6" s="1"/>
  <c r="AM167" i="6"/>
  <c r="BH167" i="6" s="1"/>
  <c r="AN167" i="6"/>
  <c r="BI167" i="6" s="1"/>
  <c r="AC191" i="6"/>
  <c r="AJ191" i="6"/>
  <c r="BE191" i="6" s="1"/>
  <c r="AM191" i="6"/>
  <c r="BH191" i="6" s="1"/>
  <c r="AN191" i="6"/>
  <c r="BI191" i="6" s="1"/>
  <c r="AI191" i="6"/>
  <c r="BD191" i="6" s="1"/>
  <c r="AO191" i="6"/>
  <c r="BJ191" i="6" s="1"/>
  <c r="AR191" i="6"/>
  <c r="BM191" i="6" s="1"/>
  <c r="AH191" i="6"/>
  <c r="BC191" i="6" s="1"/>
  <c r="AS191" i="6"/>
  <c r="BN191" i="6" s="1"/>
  <c r="AW191" i="6"/>
  <c r="BR191" i="6" s="1"/>
  <c r="AP191" i="6"/>
  <c r="BK191" i="6" s="1"/>
  <c r="AF191" i="6"/>
  <c r="BA191" i="6" s="1"/>
  <c r="AU191" i="6"/>
  <c r="BP191" i="6" s="1"/>
  <c r="AX230" i="6"/>
  <c r="AC89" i="6"/>
  <c r="AN89" i="6"/>
  <c r="BI89" i="6" s="1"/>
  <c r="AU89" i="6"/>
  <c r="BP89" i="6" s="1"/>
  <c r="AO89" i="6"/>
  <c r="BJ89" i="6" s="1"/>
  <c r="AM89" i="6"/>
  <c r="BH89" i="6" s="1"/>
  <c r="AP89" i="6"/>
  <c r="BK89" i="6" s="1"/>
  <c r="AS89" i="6"/>
  <c r="BN89" i="6" s="1"/>
  <c r="AW89" i="6"/>
  <c r="BR89" i="6" s="1"/>
  <c r="AR89" i="6"/>
  <c r="BM89" i="6" s="1"/>
  <c r="AF89" i="6"/>
  <c r="BA89" i="6" s="1"/>
  <c r="AH89" i="6"/>
  <c r="BC89" i="6" s="1"/>
  <c r="AI89" i="6"/>
  <c r="BD89" i="6" s="1"/>
  <c r="AJ89" i="6"/>
  <c r="BE89" i="6" s="1"/>
  <c r="AC14" i="6"/>
  <c r="AJ14" i="6"/>
  <c r="BE14" i="6" s="1"/>
  <c r="AW14" i="6"/>
  <c r="BR14" i="6" s="1"/>
  <c r="AR14" i="6"/>
  <c r="BM14" i="6" s="1"/>
  <c r="AM14" i="6"/>
  <c r="BH14" i="6" s="1"/>
  <c r="AN14" i="6"/>
  <c r="BI14" i="6" s="1"/>
  <c r="AH14" i="6"/>
  <c r="BC14" i="6" s="1"/>
  <c r="AO14" i="6"/>
  <c r="BJ14" i="6" s="1"/>
  <c r="AI14" i="6"/>
  <c r="BD14" i="6" s="1"/>
  <c r="AP14" i="6"/>
  <c r="BK14" i="6" s="1"/>
  <c r="AS14" i="6"/>
  <c r="BN14" i="6" s="1"/>
  <c r="AF14" i="6"/>
  <c r="BA14" i="6" s="1"/>
  <c r="AU14" i="6"/>
  <c r="BP14" i="6" s="1"/>
  <c r="AC124" i="6"/>
  <c r="AP124" i="6"/>
  <c r="BK124" i="6" s="1"/>
  <c r="AR124" i="6"/>
  <c r="BM124" i="6" s="1"/>
  <c r="AH124" i="6"/>
  <c r="BC124" i="6" s="1"/>
  <c r="AI124" i="6"/>
  <c r="BD124" i="6" s="1"/>
  <c r="AF124" i="6"/>
  <c r="BA124" i="6" s="1"/>
  <c r="AU124" i="6"/>
  <c r="BP124" i="6" s="1"/>
  <c r="AO124" i="6"/>
  <c r="BJ124" i="6" s="1"/>
  <c r="AW124" i="6"/>
  <c r="BR124" i="6" s="1"/>
  <c r="AM124" i="6"/>
  <c r="BH124" i="6" s="1"/>
  <c r="AN124" i="6"/>
  <c r="BI124" i="6" s="1"/>
  <c r="AS124" i="6"/>
  <c r="BN124" i="6" s="1"/>
  <c r="AJ124" i="6"/>
  <c r="BE124" i="6" s="1"/>
  <c r="AC81" i="6"/>
  <c r="AI81" i="6"/>
  <c r="BD81" i="6" s="1"/>
  <c r="AJ81" i="6"/>
  <c r="BE81" i="6" s="1"/>
  <c r="AM81" i="6"/>
  <c r="BH81" i="6" s="1"/>
  <c r="AN81" i="6"/>
  <c r="BI81" i="6" s="1"/>
  <c r="AP81" i="6"/>
  <c r="BK81" i="6" s="1"/>
  <c r="AF81" i="6"/>
  <c r="BA81" i="6" s="1"/>
  <c r="AS81" i="6"/>
  <c r="BN81" i="6" s="1"/>
  <c r="AO81" i="6"/>
  <c r="BJ81" i="6" s="1"/>
  <c r="AU81" i="6"/>
  <c r="BP81" i="6" s="1"/>
  <c r="AH81" i="6"/>
  <c r="BC81" i="6" s="1"/>
  <c r="AR81" i="6"/>
  <c r="BM81" i="6" s="1"/>
  <c r="AW81" i="6"/>
  <c r="BR81" i="6" s="1"/>
  <c r="AC180" i="6"/>
  <c r="AJ180" i="6"/>
  <c r="BE180" i="6" s="1"/>
  <c r="AM180" i="6"/>
  <c r="BH180" i="6" s="1"/>
  <c r="AN180" i="6"/>
  <c r="BI180" i="6" s="1"/>
  <c r="AR180" i="6"/>
  <c r="BM180" i="6" s="1"/>
  <c r="AS180" i="6"/>
  <c r="BN180" i="6" s="1"/>
  <c r="AU180" i="6"/>
  <c r="BP180" i="6" s="1"/>
  <c r="AW180" i="6"/>
  <c r="BR180" i="6" s="1"/>
  <c r="AH180" i="6"/>
  <c r="BC180" i="6" s="1"/>
  <c r="AO180" i="6"/>
  <c r="BJ180" i="6" s="1"/>
  <c r="AF180" i="6"/>
  <c r="BA180" i="6" s="1"/>
  <c r="AP180" i="6"/>
  <c r="BK180" i="6" s="1"/>
  <c r="AI180" i="6"/>
  <c r="BD180" i="6" s="1"/>
  <c r="AC65" i="6"/>
  <c r="AM65" i="6"/>
  <c r="BH65" i="6" s="1"/>
  <c r="AJ65" i="6"/>
  <c r="BE65" i="6" s="1"/>
  <c r="AN65" i="6"/>
  <c r="BI65" i="6" s="1"/>
  <c r="AO65" i="6"/>
  <c r="BJ65" i="6" s="1"/>
  <c r="AP65" i="6"/>
  <c r="BK65" i="6" s="1"/>
  <c r="AR65" i="6"/>
  <c r="BM65" i="6" s="1"/>
  <c r="AS65" i="6"/>
  <c r="BN65" i="6" s="1"/>
  <c r="AF65" i="6"/>
  <c r="BA65" i="6" s="1"/>
  <c r="AH65" i="6"/>
  <c r="BC65" i="6" s="1"/>
  <c r="AI65" i="6"/>
  <c r="BD65" i="6" s="1"/>
  <c r="AW65" i="6"/>
  <c r="BR65" i="6" s="1"/>
  <c r="AU65" i="6"/>
  <c r="BP65" i="6" s="1"/>
  <c r="AC12" i="6"/>
  <c r="AO12" i="6"/>
  <c r="BJ12" i="6" s="1"/>
  <c r="AF12" i="6"/>
  <c r="BA12" i="6" s="1"/>
  <c r="AN12" i="6"/>
  <c r="BI12" i="6" s="1"/>
  <c r="AP12" i="6"/>
  <c r="BK12" i="6" s="1"/>
  <c r="AI12" i="6"/>
  <c r="BD12" i="6" s="1"/>
  <c r="AR12" i="6"/>
  <c r="BM12" i="6" s="1"/>
  <c r="AM12" i="6"/>
  <c r="BH12" i="6" s="1"/>
  <c r="AS12" i="6"/>
  <c r="BN12" i="6" s="1"/>
  <c r="AU12" i="6"/>
  <c r="BP12" i="6" s="1"/>
  <c r="AJ12" i="6"/>
  <c r="BE12" i="6" s="1"/>
  <c r="AW12" i="6"/>
  <c r="BR12" i="6" s="1"/>
  <c r="AH12" i="6"/>
  <c r="BC12" i="6" s="1"/>
  <c r="AC123" i="6"/>
  <c r="AU123" i="6"/>
  <c r="BP123" i="6" s="1"/>
  <c r="AM123" i="6"/>
  <c r="BH123" i="6" s="1"/>
  <c r="AN123" i="6"/>
  <c r="BI123" i="6" s="1"/>
  <c r="AS123" i="6"/>
  <c r="BN123" i="6" s="1"/>
  <c r="AW123" i="6"/>
  <c r="BR123" i="6" s="1"/>
  <c r="AP123" i="6"/>
  <c r="BK123" i="6" s="1"/>
  <c r="AH123" i="6"/>
  <c r="BC123" i="6" s="1"/>
  <c r="AJ123" i="6"/>
  <c r="BE123" i="6" s="1"/>
  <c r="AI123" i="6"/>
  <c r="BD123" i="6" s="1"/>
  <c r="AO123" i="6"/>
  <c r="BJ123" i="6" s="1"/>
  <c r="AR123" i="6"/>
  <c r="BM123" i="6" s="1"/>
  <c r="AF123" i="6"/>
  <c r="BA123" i="6" s="1"/>
  <c r="AC119" i="6"/>
  <c r="AU119" i="6"/>
  <c r="BP119" i="6" s="1"/>
  <c r="AH119" i="6"/>
  <c r="BC119" i="6" s="1"/>
  <c r="AI119" i="6"/>
  <c r="BD119" i="6" s="1"/>
  <c r="AJ119" i="6"/>
  <c r="BE119" i="6" s="1"/>
  <c r="AM119" i="6"/>
  <c r="BH119" i="6" s="1"/>
  <c r="AN119" i="6"/>
  <c r="BI119" i="6" s="1"/>
  <c r="AO119" i="6"/>
  <c r="BJ119" i="6" s="1"/>
  <c r="AW119" i="6"/>
  <c r="BR119" i="6" s="1"/>
  <c r="AR119" i="6"/>
  <c r="BM119" i="6" s="1"/>
  <c r="AS119" i="6"/>
  <c r="BN119" i="6" s="1"/>
  <c r="AP119" i="6"/>
  <c r="BK119" i="6" s="1"/>
  <c r="AF119" i="6"/>
  <c r="BA119" i="6" s="1"/>
  <c r="AC96" i="6"/>
  <c r="AR96" i="6"/>
  <c r="BM96" i="6" s="1"/>
  <c r="AU96" i="6"/>
  <c r="BP96" i="6" s="1"/>
  <c r="AW96" i="6"/>
  <c r="BR96" i="6" s="1"/>
  <c r="AI96" i="6"/>
  <c r="BD96" i="6" s="1"/>
  <c r="AH96" i="6"/>
  <c r="BC96" i="6" s="1"/>
  <c r="AJ96" i="6"/>
  <c r="BE96" i="6" s="1"/>
  <c r="AM96" i="6"/>
  <c r="BH96" i="6" s="1"/>
  <c r="AP96" i="6"/>
  <c r="BK96" i="6" s="1"/>
  <c r="AO96" i="6"/>
  <c r="BJ96" i="6" s="1"/>
  <c r="AS96" i="6"/>
  <c r="BN96" i="6" s="1"/>
  <c r="AF96" i="6"/>
  <c r="BA96" i="6" s="1"/>
  <c r="AN96" i="6"/>
  <c r="BI96" i="6" s="1"/>
  <c r="AX238" i="6"/>
  <c r="AX249" i="6"/>
  <c r="AC88" i="6"/>
  <c r="AW88" i="6"/>
  <c r="BR88" i="6" s="1"/>
  <c r="AH88" i="6"/>
  <c r="BC88" i="6" s="1"/>
  <c r="AO88" i="6"/>
  <c r="BJ88" i="6" s="1"/>
  <c r="AN88" i="6"/>
  <c r="BI88" i="6" s="1"/>
  <c r="AF88" i="6"/>
  <c r="BA88" i="6" s="1"/>
  <c r="AU88" i="6"/>
  <c r="BP88" i="6" s="1"/>
  <c r="AP88" i="6"/>
  <c r="BK88" i="6" s="1"/>
  <c r="AS88" i="6"/>
  <c r="BN88" i="6" s="1"/>
  <c r="AR88" i="6"/>
  <c r="BM88" i="6" s="1"/>
  <c r="AI88" i="6"/>
  <c r="BD88" i="6" s="1"/>
  <c r="AJ88" i="6"/>
  <c r="BE88" i="6" s="1"/>
  <c r="AM88" i="6"/>
  <c r="BH88" i="6" s="1"/>
  <c r="AC21" i="6"/>
  <c r="AP21" i="6"/>
  <c r="BK21" i="6" s="1"/>
  <c r="AS21" i="6"/>
  <c r="BN21" i="6" s="1"/>
  <c r="AR21" i="6"/>
  <c r="BM21" i="6" s="1"/>
  <c r="AW21" i="6"/>
  <c r="BR21" i="6" s="1"/>
  <c r="AI21" i="6"/>
  <c r="BD21" i="6" s="1"/>
  <c r="AM21" i="6"/>
  <c r="BH21" i="6" s="1"/>
  <c r="AO21" i="6"/>
  <c r="BJ21" i="6" s="1"/>
  <c r="AU21" i="6"/>
  <c r="BP21" i="6" s="1"/>
  <c r="AF21" i="6"/>
  <c r="BA21" i="6" s="1"/>
  <c r="AN21" i="6"/>
  <c r="BI21" i="6" s="1"/>
  <c r="AH21" i="6"/>
  <c r="BC21" i="6" s="1"/>
  <c r="AJ21" i="6"/>
  <c r="BE21" i="6" s="1"/>
  <c r="AC98" i="6"/>
  <c r="AU98" i="6"/>
  <c r="BP98" i="6" s="1"/>
  <c r="AN98" i="6"/>
  <c r="BI98" i="6" s="1"/>
  <c r="AS98" i="6"/>
  <c r="BN98" i="6" s="1"/>
  <c r="AH98" i="6"/>
  <c r="BC98" i="6" s="1"/>
  <c r="AJ98" i="6"/>
  <c r="BE98" i="6" s="1"/>
  <c r="AW98" i="6"/>
  <c r="BR98" i="6" s="1"/>
  <c r="AP98" i="6"/>
  <c r="BK98" i="6" s="1"/>
  <c r="AR98" i="6"/>
  <c r="BM98" i="6" s="1"/>
  <c r="AF98" i="6"/>
  <c r="BA98" i="6" s="1"/>
  <c r="AI98" i="6"/>
  <c r="BD98" i="6" s="1"/>
  <c r="AO98" i="6"/>
  <c r="BJ98" i="6" s="1"/>
  <c r="AM98" i="6"/>
  <c r="BH98" i="6" s="1"/>
  <c r="AC86" i="6"/>
  <c r="AW86" i="6"/>
  <c r="BR86" i="6" s="1"/>
  <c r="AI86" i="6"/>
  <c r="BD86" i="6" s="1"/>
  <c r="AJ86" i="6"/>
  <c r="BE86" i="6" s="1"/>
  <c r="AR86" i="6"/>
  <c r="BM86" i="6" s="1"/>
  <c r="AM86" i="6"/>
  <c r="BH86" i="6" s="1"/>
  <c r="AO86" i="6"/>
  <c r="BJ86" i="6" s="1"/>
  <c r="AF86" i="6"/>
  <c r="BA86" i="6" s="1"/>
  <c r="AN86" i="6"/>
  <c r="BI86" i="6" s="1"/>
  <c r="AP86" i="6"/>
  <c r="BK86" i="6" s="1"/>
  <c r="AS86" i="6"/>
  <c r="BN86" i="6" s="1"/>
  <c r="AU86" i="6"/>
  <c r="BP86" i="6" s="1"/>
  <c r="AH86" i="6"/>
  <c r="BC86" i="6" s="1"/>
  <c r="AC178" i="6"/>
  <c r="AM178" i="6"/>
  <c r="BH178" i="6" s="1"/>
  <c r="AH178" i="6"/>
  <c r="BC178" i="6" s="1"/>
  <c r="AN178" i="6"/>
  <c r="BI178" i="6" s="1"/>
  <c r="AO178" i="6"/>
  <c r="BJ178" i="6" s="1"/>
  <c r="AP178" i="6"/>
  <c r="BK178" i="6" s="1"/>
  <c r="AR178" i="6"/>
  <c r="BM178" i="6" s="1"/>
  <c r="AU178" i="6"/>
  <c r="BP178" i="6" s="1"/>
  <c r="AS178" i="6"/>
  <c r="BN178" i="6" s="1"/>
  <c r="AW178" i="6"/>
  <c r="BR178" i="6" s="1"/>
  <c r="AJ178" i="6"/>
  <c r="BE178" i="6" s="1"/>
  <c r="AI178" i="6"/>
  <c r="BD178" i="6" s="1"/>
  <c r="AF178" i="6"/>
  <c r="BA178" i="6" s="1"/>
  <c r="AC7" i="6"/>
  <c r="AH7" i="6"/>
  <c r="BC7" i="6" s="1"/>
  <c r="AS7" i="6"/>
  <c r="BN7" i="6" s="1"/>
  <c r="AP7" i="6"/>
  <c r="BK7" i="6" s="1"/>
  <c r="AU7" i="6"/>
  <c r="BP7" i="6" s="1"/>
  <c r="AR7" i="6"/>
  <c r="BM7" i="6" s="1"/>
  <c r="AF7" i="6"/>
  <c r="BA7" i="6" s="1"/>
  <c r="AW7" i="6"/>
  <c r="BR7" i="6" s="1"/>
  <c r="AI7" i="6"/>
  <c r="BD7" i="6" s="1"/>
  <c r="AJ7" i="6"/>
  <c r="BE7" i="6" s="1"/>
  <c r="AM7" i="6"/>
  <c r="BH7" i="6" s="1"/>
  <c r="AN7" i="6"/>
  <c r="BI7" i="6" s="1"/>
  <c r="AO7" i="6"/>
  <c r="BJ7" i="6" s="1"/>
  <c r="AC15" i="6"/>
  <c r="AO15" i="6"/>
  <c r="BJ15" i="6" s="1"/>
  <c r="AU15" i="6"/>
  <c r="BP15" i="6" s="1"/>
  <c r="AP15" i="6"/>
  <c r="BK15" i="6" s="1"/>
  <c r="AR15" i="6"/>
  <c r="BM15" i="6" s="1"/>
  <c r="AS15" i="6"/>
  <c r="BN15" i="6" s="1"/>
  <c r="AW15" i="6"/>
  <c r="BR15" i="6" s="1"/>
  <c r="AI15" i="6"/>
  <c r="BD15" i="6" s="1"/>
  <c r="AH15" i="6"/>
  <c r="BC15" i="6" s="1"/>
  <c r="AM15" i="6"/>
  <c r="BH15" i="6" s="1"/>
  <c r="AN15" i="6"/>
  <c r="BI15" i="6" s="1"/>
  <c r="AF15" i="6"/>
  <c r="BA15" i="6" s="1"/>
  <c r="AJ15" i="6"/>
  <c r="BE15" i="6" s="1"/>
  <c r="AU111" i="6"/>
  <c r="BP111" i="6" s="1"/>
  <c r="AW111" i="6"/>
  <c r="BR111" i="6" s="1"/>
  <c r="AF111" i="6"/>
  <c r="BA111" i="6" s="1"/>
  <c r="AN111" i="6"/>
  <c r="BI111" i="6" s="1"/>
  <c r="AS111" i="6"/>
  <c r="BN111" i="6" s="1"/>
  <c r="AR111" i="6"/>
  <c r="BM111" i="6" s="1"/>
  <c r="AM111" i="6"/>
  <c r="BH111" i="6" s="1"/>
  <c r="AH111" i="6"/>
  <c r="BC111" i="6" s="1"/>
  <c r="AI111" i="6"/>
  <c r="BD111" i="6" s="1"/>
  <c r="AO111" i="6"/>
  <c r="BJ111" i="6" s="1"/>
  <c r="AP111" i="6"/>
  <c r="BK111" i="6" s="1"/>
  <c r="AJ111" i="6"/>
  <c r="BE111" i="6" s="1"/>
  <c r="AC153" i="6"/>
  <c r="AH153" i="6"/>
  <c r="BC153" i="6" s="1"/>
  <c r="AJ153" i="6"/>
  <c r="BE153" i="6" s="1"/>
  <c r="AR153" i="6"/>
  <c r="BM153" i="6" s="1"/>
  <c r="AI153" i="6"/>
  <c r="BD153" i="6" s="1"/>
  <c r="AM153" i="6"/>
  <c r="BH153" i="6" s="1"/>
  <c r="AO153" i="6"/>
  <c r="BJ153" i="6" s="1"/>
  <c r="AW153" i="6"/>
  <c r="BR153" i="6" s="1"/>
  <c r="AN153" i="6"/>
  <c r="BI153" i="6" s="1"/>
  <c r="AS153" i="6"/>
  <c r="BN153" i="6" s="1"/>
  <c r="AF153" i="6"/>
  <c r="BA153" i="6" s="1"/>
  <c r="AP153" i="6"/>
  <c r="BK153" i="6" s="1"/>
  <c r="AU153" i="6"/>
  <c r="BP153" i="6" s="1"/>
  <c r="AC68" i="6"/>
  <c r="AJ68" i="6"/>
  <c r="BE68" i="6" s="1"/>
  <c r="AN68" i="6"/>
  <c r="BI68" i="6" s="1"/>
  <c r="AO68" i="6"/>
  <c r="BJ68" i="6" s="1"/>
  <c r="AP68" i="6"/>
  <c r="BK68" i="6" s="1"/>
  <c r="AF68" i="6"/>
  <c r="BA68" i="6" s="1"/>
  <c r="AI68" i="6"/>
  <c r="BD68" i="6" s="1"/>
  <c r="AR68" i="6"/>
  <c r="BM68" i="6" s="1"/>
  <c r="AS68" i="6"/>
  <c r="BN68" i="6" s="1"/>
  <c r="AU68" i="6"/>
  <c r="BP68" i="6" s="1"/>
  <c r="AW68" i="6"/>
  <c r="BR68" i="6" s="1"/>
  <c r="AH68" i="6"/>
  <c r="BC68" i="6" s="1"/>
  <c r="AM68" i="6"/>
  <c r="BH68" i="6" s="1"/>
  <c r="AC83" i="6"/>
  <c r="AJ83" i="6"/>
  <c r="BE83" i="6" s="1"/>
  <c r="AM83" i="6"/>
  <c r="BH83" i="6" s="1"/>
  <c r="AS83" i="6"/>
  <c r="BN83" i="6" s="1"/>
  <c r="AW83" i="6"/>
  <c r="BR83" i="6" s="1"/>
  <c r="AF83" i="6"/>
  <c r="BA83" i="6" s="1"/>
  <c r="AI83" i="6"/>
  <c r="BD83" i="6" s="1"/>
  <c r="AN83" i="6"/>
  <c r="BI83" i="6" s="1"/>
  <c r="AR83" i="6"/>
  <c r="BM83" i="6" s="1"/>
  <c r="AO83" i="6"/>
  <c r="BJ83" i="6" s="1"/>
  <c r="AU83" i="6"/>
  <c r="BP83" i="6" s="1"/>
  <c r="AP83" i="6"/>
  <c r="BK83" i="6" s="1"/>
  <c r="AH83" i="6"/>
  <c r="BC83" i="6" s="1"/>
  <c r="AC84" i="6"/>
  <c r="AH84" i="6"/>
  <c r="BC84" i="6" s="1"/>
  <c r="AI84" i="6"/>
  <c r="BD84" i="6" s="1"/>
  <c r="AJ84" i="6"/>
  <c r="BE84" i="6" s="1"/>
  <c r="AM84" i="6"/>
  <c r="BH84" i="6" s="1"/>
  <c r="AN84" i="6"/>
  <c r="BI84" i="6" s="1"/>
  <c r="AR84" i="6"/>
  <c r="BM84" i="6" s="1"/>
  <c r="AU84" i="6"/>
  <c r="BP84" i="6" s="1"/>
  <c r="AP84" i="6"/>
  <c r="BK84" i="6" s="1"/>
  <c r="AS84" i="6"/>
  <c r="BN84" i="6" s="1"/>
  <c r="AW84" i="6"/>
  <c r="BR84" i="6" s="1"/>
  <c r="AO84" i="6"/>
  <c r="BJ84" i="6" s="1"/>
  <c r="AF84" i="6"/>
  <c r="BA84" i="6" s="1"/>
  <c r="AF108" i="6"/>
  <c r="BA108" i="6" s="1"/>
  <c r="AH108" i="6"/>
  <c r="BC108" i="6" s="1"/>
  <c r="AJ108" i="6"/>
  <c r="BE108" i="6" s="1"/>
  <c r="AR108" i="6"/>
  <c r="BM108" i="6" s="1"/>
  <c r="AI108" i="6"/>
  <c r="BD108" i="6" s="1"/>
  <c r="AN108" i="6"/>
  <c r="BI108" i="6" s="1"/>
  <c r="AO108" i="6"/>
  <c r="BJ108" i="6" s="1"/>
  <c r="AP108" i="6"/>
  <c r="BK108" i="6" s="1"/>
  <c r="AS108" i="6"/>
  <c r="BN108" i="6" s="1"/>
  <c r="AU108" i="6"/>
  <c r="BP108" i="6" s="1"/>
  <c r="AW108" i="6"/>
  <c r="BR108" i="6" s="1"/>
  <c r="AM108" i="6"/>
  <c r="BH108" i="6" s="1"/>
  <c r="AC159" i="6"/>
  <c r="AI159" i="6"/>
  <c r="BD159" i="6" s="1"/>
  <c r="AJ159" i="6"/>
  <c r="BE159" i="6" s="1"/>
  <c r="AM159" i="6"/>
  <c r="BH159" i="6" s="1"/>
  <c r="AN159" i="6"/>
  <c r="BI159" i="6" s="1"/>
  <c r="AO159" i="6"/>
  <c r="BJ159" i="6" s="1"/>
  <c r="AR159" i="6"/>
  <c r="BM159" i="6" s="1"/>
  <c r="AP159" i="6"/>
  <c r="BK159" i="6" s="1"/>
  <c r="AU159" i="6"/>
  <c r="BP159" i="6" s="1"/>
  <c r="AS159" i="6"/>
  <c r="BN159" i="6" s="1"/>
  <c r="AW159" i="6"/>
  <c r="BR159" i="6" s="1"/>
  <c r="AF159" i="6"/>
  <c r="BA159" i="6" s="1"/>
  <c r="AH159" i="6"/>
  <c r="BC159" i="6" s="1"/>
  <c r="AC184" i="6"/>
  <c r="AN184" i="6"/>
  <c r="BI184" i="6" s="1"/>
  <c r="AO184" i="6"/>
  <c r="BJ184" i="6" s="1"/>
  <c r="AF184" i="6"/>
  <c r="BA184" i="6" s="1"/>
  <c r="AH184" i="6"/>
  <c r="BC184" i="6" s="1"/>
  <c r="AI184" i="6"/>
  <c r="BD184" i="6" s="1"/>
  <c r="AJ184" i="6"/>
  <c r="BE184" i="6" s="1"/>
  <c r="AS184" i="6"/>
  <c r="BN184" i="6" s="1"/>
  <c r="AP184" i="6"/>
  <c r="BK184" i="6" s="1"/>
  <c r="AR184" i="6"/>
  <c r="BM184" i="6" s="1"/>
  <c r="AU184" i="6"/>
  <c r="BP184" i="6" s="1"/>
  <c r="AW184" i="6"/>
  <c r="BR184" i="6" s="1"/>
  <c r="AM184" i="6"/>
  <c r="BH184" i="6" s="1"/>
  <c r="AC177" i="6"/>
  <c r="AP177" i="6"/>
  <c r="BK177" i="6" s="1"/>
  <c r="AW177" i="6"/>
  <c r="BR177" i="6" s="1"/>
  <c r="AM177" i="6"/>
  <c r="BH177" i="6" s="1"/>
  <c r="AN177" i="6"/>
  <c r="BI177" i="6" s="1"/>
  <c r="AO177" i="6"/>
  <c r="BJ177" i="6" s="1"/>
  <c r="AH177" i="6"/>
  <c r="BC177" i="6" s="1"/>
  <c r="AF177" i="6"/>
  <c r="BA177" i="6" s="1"/>
  <c r="AJ177" i="6"/>
  <c r="BE177" i="6" s="1"/>
  <c r="AR177" i="6"/>
  <c r="BM177" i="6" s="1"/>
  <c r="AI177" i="6"/>
  <c r="BD177" i="6" s="1"/>
  <c r="AS177" i="6"/>
  <c r="BN177" i="6" s="1"/>
  <c r="AU177" i="6"/>
  <c r="BP177" i="6" s="1"/>
  <c r="AC186" i="6"/>
  <c r="AH186" i="6"/>
  <c r="BC186" i="6" s="1"/>
  <c r="AI186" i="6"/>
  <c r="BD186" i="6" s="1"/>
  <c r="AJ186" i="6"/>
  <c r="BE186" i="6" s="1"/>
  <c r="AW186" i="6"/>
  <c r="BR186" i="6" s="1"/>
  <c r="AF186" i="6"/>
  <c r="BA186" i="6" s="1"/>
  <c r="AM186" i="6"/>
  <c r="BH186" i="6" s="1"/>
  <c r="AN186" i="6"/>
  <c r="BI186" i="6" s="1"/>
  <c r="AR186" i="6"/>
  <c r="BM186" i="6" s="1"/>
  <c r="AU186" i="6"/>
  <c r="BP186" i="6" s="1"/>
  <c r="AP186" i="6"/>
  <c r="BK186" i="6" s="1"/>
  <c r="AO186" i="6"/>
  <c r="BJ186" i="6" s="1"/>
  <c r="AS186" i="6"/>
  <c r="BN186" i="6" s="1"/>
  <c r="AX243" i="6"/>
  <c r="AX241" i="6"/>
  <c r="AX239" i="6"/>
  <c r="AC226" i="6"/>
  <c r="AF226" i="6"/>
  <c r="BA226" i="6" s="1"/>
  <c r="AI226" i="6"/>
  <c r="BD226" i="6" s="1"/>
  <c r="AM226" i="6"/>
  <c r="BH226" i="6" s="1"/>
  <c r="AN226" i="6"/>
  <c r="BI226" i="6" s="1"/>
  <c r="AR226" i="6"/>
  <c r="BM226" i="6" s="1"/>
  <c r="AS226" i="6"/>
  <c r="BN226" i="6" s="1"/>
  <c r="AH226" i="6"/>
  <c r="BC226" i="6" s="1"/>
  <c r="AO226" i="6"/>
  <c r="BJ226" i="6" s="1"/>
  <c r="AP226" i="6"/>
  <c r="BK226" i="6" s="1"/>
  <c r="AW226" i="6"/>
  <c r="BR226" i="6" s="1"/>
  <c r="AJ226" i="6"/>
  <c r="BE226" i="6" s="1"/>
  <c r="AU226" i="6"/>
  <c r="BP226" i="6" s="1"/>
  <c r="AC93" i="6"/>
  <c r="AI93" i="6"/>
  <c r="BD93" i="6" s="1"/>
  <c r="AJ93" i="6"/>
  <c r="BE93" i="6" s="1"/>
  <c r="AN93" i="6"/>
  <c r="BI93" i="6" s="1"/>
  <c r="AU93" i="6"/>
  <c r="BP93" i="6" s="1"/>
  <c r="AS93" i="6"/>
  <c r="BN93" i="6" s="1"/>
  <c r="AW93" i="6"/>
  <c r="BR93" i="6" s="1"/>
  <c r="AM93" i="6"/>
  <c r="BH93" i="6" s="1"/>
  <c r="AO93" i="6"/>
  <c r="BJ93" i="6" s="1"/>
  <c r="AP93" i="6"/>
  <c r="BK93" i="6" s="1"/>
  <c r="AR93" i="6"/>
  <c r="BM93" i="6" s="1"/>
  <c r="AH93" i="6"/>
  <c r="BC93" i="6" s="1"/>
  <c r="AF93" i="6"/>
  <c r="BA93" i="6" s="1"/>
  <c r="AC3" i="6"/>
  <c r="AO3" i="6"/>
  <c r="BJ3" i="6" s="1"/>
  <c r="AS3" i="6"/>
  <c r="BN3" i="6" s="1"/>
  <c r="AR3" i="6"/>
  <c r="BM3" i="6" s="1"/>
  <c r="AU3" i="6"/>
  <c r="BP3" i="6" s="1"/>
  <c r="AJ3" i="6"/>
  <c r="BE3" i="6" s="1"/>
  <c r="AH3" i="6"/>
  <c r="BC3" i="6" s="1"/>
  <c r="AW3" i="6"/>
  <c r="BR3" i="6" s="1"/>
  <c r="AN3" i="6"/>
  <c r="BI3" i="6" s="1"/>
  <c r="AM3" i="6"/>
  <c r="BH3" i="6" s="1"/>
  <c r="AI3" i="6"/>
  <c r="BD3" i="6" s="1"/>
  <c r="AP3" i="6"/>
  <c r="BK3" i="6" s="1"/>
  <c r="AF3" i="6"/>
  <c r="BA3" i="6" s="1"/>
  <c r="AC155" i="6"/>
  <c r="AW155" i="6"/>
  <c r="BR155" i="6" s="1"/>
  <c r="AS155" i="6"/>
  <c r="BN155" i="6" s="1"/>
  <c r="AP155" i="6"/>
  <c r="BK155" i="6" s="1"/>
  <c r="AF155" i="6"/>
  <c r="BA155" i="6" s="1"/>
  <c r="AH155" i="6"/>
  <c r="BC155" i="6" s="1"/>
  <c r="AI155" i="6"/>
  <c r="BD155" i="6" s="1"/>
  <c r="AR155" i="6"/>
  <c r="BM155" i="6" s="1"/>
  <c r="AJ155" i="6"/>
  <c r="BE155" i="6" s="1"/>
  <c r="AM155" i="6"/>
  <c r="BH155" i="6" s="1"/>
  <c r="AN155" i="6"/>
  <c r="BI155" i="6" s="1"/>
  <c r="AU155" i="6"/>
  <c r="BP155" i="6" s="1"/>
  <c r="AO155" i="6"/>
  <c r="BJ155" i="6" s="1"/>
  <c r="AC116" i="6"/>
  <c r="AR116" i="6"/>
  <c r="BM116" i="6" s="1"/>
  <c r="AS116" i="6"/>
  <c r="BN116" i="6" s="1"/>
  <c r="AI116" i="6"/>
  <c r="BD116" i="6" s="1"/>
  <c r="AJ116" i="6"/>
  <c r="BE116" i="6" s="1"/>
  <c r="AM116" i="6"/>
  <c r="BH116" i="6" s="1"/>
  <c r="AN116" i="6"/>
  <c r="BI116" i="6" s="1"/>
  <c r="AF116" i="6"/>
  <c r="BA116" i="6" s="1"/>
  <c r="AW116" i="6"/>
  <c r="BR116" i="6" s="1"/>
  <c r="AU116" i="6"/>
  <c r="BP116" i="6" s="1"/>
  <c r="AH116" i="6"/>
  <c r="BC116" i="6" s="1"/>
  <c r="AP116" i="6"/>
  <c r="BK116" i="6" s="1"/>
  <c r="AO116" i="6"/>
  <c r="BJ116" i="6" s="1"/>
  <c r="AC95" i="6"/>
  <c r="AR95" i="6"/>
  <c r="BM95" i="6" s="1"/>
  <c r="AF95" i="6"/>
  <c r="BA95" i="6" s="1"/>
  <c r="AI95" i="6"/>
  <c r="BD95" i="6" s="1"/>
  <c r="AJ95" i="6"/>
  <c r="BE95" i="6" s="1"/>
  <c r="AM95" i="6"/>
  <c r="BH95" i="6" s="1"/>
  <c r="AP95" i="6"/>
  <c r="BK95" i="6" s="1"/>
  <c r="AW95" i="6"/>
  <c r="BR95" i="6" s="1"/>
  <c r="AN95" i="6"/>
  <c r="BI95" i="6" s="1"/>
  <c r="AS95" i="6"/>
  <c r="BN95" i="6" s="1"/>
  <c r="AU95" i="6"/>
  <c r="BP95" i="6" s="1"/>
  <c r="AH95" i="6"/>
  <c r="BC95" i="6" s="1"/>
  <c r="AO95" i="6"/>
  <c r="BJ95" i="6" s="1"/>
  <c r="AX236" i="6"/>
  <c r="AC165" i="6"/>
  <c r="AR165" i="6"/>
  <c r="BM165" i="6" s="1"/>
  <c r="AF165" i="6"/>
  <c r="BA165" i="6" s="1"/>
  <c r="AI165" i="6"/>
  <c r="BD165" i="6" s="1"/>
  <c r="AO165" i="6"/>
  <c r="BJ165" i="6" s="1"/>
  <c r="AP165" i="6"/>
  <c r="BK165" i="6" s="1"/>
  <c r="AS165" i="6"/>
  <c r="BN165" i="6" s="1"/>
  <c r="AJ165" i="6"/>
  <c r="BE165" i="6" s="1"/>
  <c r="AU165" i="6"/>
  <c r="BP165" i="6" s="1"/>
  <c r="AM165" i="6"/>
  <c r="BH165" i="6" s="1"/>
  <c r="AN165" i="6"/>
  <c r="BI165" i="6" s="1"/>
  <c r="AH165" i="6"/>
  <c r="BC165" i="6" s="1"/>
  <c r="AW165" i="6"/>
  <c r="BR165" i="6" s="1"/>
  <c r="AC22" i="6"/>
  <c r="AS22" i="6"/>
  <c r="BN22" i="6" s="1"/>
  <c r="AU22" i="6"/>
  <c r="BP22" i="6" s="1"/>
  <c r="AH22" i="6"/>
  <c r="BC22" i="6" s="1"/>
  <c r="AI22" i="6"/>
  <c r="BD22" i="6" s="1"/>
  <c r="AF22" i="6"/>
  <c r="BA22" i="6" s="1"/>
  <c r="AJ22" i="6"/>
  <c r="BE22" i="6" s="1"/>
  <c r="AM22" i="6"/>
  <c r="BH22" i="6" s="1"/>
  <c r="AP22" i="6"/>
  <c r="BK22" i="6" s="1"/>
  <c r="AO22" i="6"/>
  <c r="BJ22" i="6" s="1"/>
  <c r="AR22" i="6"/>
  <c r="BM22" i="6" s="1"/>
  <c r="AW22" i="6"/>
  <c r="BR22" i="6" s="1"/>
  <c r="AN22" i="6"/>
  <c r="BI22" i="6" s="1"/>
  <c r="AC101" i="6"/>
  <c r="AN101" i="6"/>
  <c r="BI101" i="6" s="1"/>
  <c r="AO101" i="6"/>
  <c r="BJ101" i="6" s="1"/>
  <c r="AI101" i="6"/>
  <c r="BD101" i="6" s="1"/>
  <c r="AH101" i="6"/>
  <c r="BC101" i="6" s="1"/>
  <c r="AP101" i="6"/>
  <c r="BK101" i="6" s="1"/>
  <c r="AR101" i="6"/>
  <c r="BM101" i="6" s="1"/>
  <c r="AS101" i="6"/>
  <c r="BN101" i="6" s="1"/>
  <c r="AU101" i="6"/>
  <c r="BP101" i="6" s="1"/>
  <c r="AJ101" i="6"/>
  <c r="BE101" i="6" s="1"/>
  <c r="AF101" i="6"/>
  <c r="BA101" i="6" s="1"/>
  <c r="AW101" i="6"/>
  <c r="BR101" i="6" s="1"/>
  <c r="AM101" i="6"/>
  <c r="BH101" i="6" s="1"/>
  <c r="AW102" i="6"/>
  <c r="BR102" i="6" s="1"/>
  <c r="AH102" i="6"/>
  <c r="BC102" i="6" s="1"/>
  <c r="AO102" i="6"/>
  <c r="BJ102" i="6" s="1"/>
  <c r="AF102" i="6"/>
  <c r="BA102" i="6" s="1"/>
  <c r="AI102" i="6"/>
  <c r="BD102" i="6" s="1"/>
  <c r="AN102" i="6"/>
  <c r="BI102" i="6" s="1"/>
  <c r="AJ102" i="6"/>
  <c r="BE102" i="6" s="1"/>
  <c r="AM102" i="6"/>
  <c r="BH102" i="6" s="1"/>
  <c r="AP102" i="6"/>
  <c r="BK102" i="6" s="1"/>
  <c r="AR102" i="6"/>
  <c r="BM102" i="6" s="1"/>
  <c r="AS102" i="6"/>
  <c r="BN102" i="6" s="1"/>
  <c r="AU102" i="6"/>
  <c r="BP102" i="6" s="1"/>
  <c r="AC82" i="6"/>
  <c r="AW82" i="6"/>
  <c r="BR82" i="6" s="1"/>
  <c r="AI82" i="6"/>
  <c r="BD82" i="6" s="1"/>
  <c r="AF82" i="6"/>
  <c r="BA82" i="6" s="1"/>
  <c r="AH82" i="6"/>
  <c r="BC82" i="6" s="1"/>
  <c r="AJ82" i="6"/>
  <c r="BE82" i="6" s="1"/>
  <c r="AM82" i="6"/>
  <c r="BH82" i="6" s="1"/>
  <c r="AN82" i="6"/>
  <c r="BI82" i="6" s="1"/>
  <c r="AP82" i="6"/>
  <c r="BK82" i="6" s="1"/>
  <c r="AO82" i="6"/>
  <c r="BJ82" i="6" s="1"/>
  <c r="AR82" i="6"/>
  <c r="BM82" i="6" s="1"/>
  <c r="AU82" i="6"/>
  <c r="BP82" i="6" s="1"/>
  <c r="AS82" i="6"/>
  <c r="BN82" i="6" s="1"/>
  <c r="AC91" i="6"/>
  <c r="AS91" i="6"/>
  <c r="BN91" i="6" s="1"/>
  <c r="AU91" i="6"/>
  <c r="BP91" i="6" s="1"/>
  <c r="AW91" i="6"/>
  <c r="BR91" i="6" s="1"/>
  <c r="AF91" i="6"/>
  <c r="BA91" i="6" s="1"/>
  <c r="AN91" i="6"/>
  <c r="BI91" i="6" s="1"/>
  <c r="AI91" i="6"/>
  <c r="BD91" i="6" s="1"/>
  <c r="AJ91" i="6"/>
  <c r="BE91" i="6" s="1"/>
  <c r="AM91" i="6"/>
  <c r="BH91" i="6" s="1"/>
  <c r="AO91" i="6"/>
  <c r="BJ91" i="6" s="1"/>
  <c r="AH91" i="6"/>
  <c r="BC91" i="6" s="1"/>
  <c r="AP91" i="6"/>
  <c r="BK91" i="6" s="1"/>
  <c r="AR91" i="6"/>
  <c r="BM91" i="6" s="1"/>
  <c r="AF112" i="6"/>
  <c r="BA112" i="6" s="1"/>
  <c r="AI112" i="6"/>
  <c r="BD112" i="6" s="1"/>
  <c r="AP112" i="6"/>
  <c r="BK112" i="6" s="1"/>
  <c r="AO112" i="6"/>
  <c r="BJ112" i="6" s="1"/>
  <c r="AR112" i="6"/>
  <c r="BM112" i="6" s="1"/>
  <c r="AS112" i="6"/>
  <c r="BN112" i="6" s="1"/>
  <c r="AH112" i="6"/>
  <c r="BC112" i="6" s="1"/>
  <c r="AU112" i="6"/>
  <c r="BP112" i="6" s="1"/>
  <c r="AJ112" i="6"/>
  <c r="BE112" i="6" s="1"/>
  <c r="AM112" i="6"/>
  <c r="BH112" i="6" s="1"/>
  <c r="AW112" i="6"/>
  <c r="BR112" i="6" s="1"/>
  <c r="AN112" i="6"/>
  <c r="BI112" i="6" s="1"/>
  <c r="AC160" i="6"/>
  <c r="AR160" i="6"/>
  <c r="BM160" i="6" s="1"/>
  <c r="AJ160" i="6"/>
  <c r="BE160" i="6" s="1"/>
  <c r="AS160" i="6"/>
  <c r="BN160" i="6" s="1"/>
  <c r="AU160" i="6"/>
  <c r="BP160" i="6" s="1"/>
  <c r="AW160" i="6"/>
  <c r="BR160" i="6" s="1"/>
  <c r="AF160" i="6"/>
  <c r="BA160" i="6" s="1"/>
  <c r="AN160" i="6"/>
  <c r="BI160" i="6" s="1"/>
  <c r="AP160" i="6"/>
  <c r="BK160" i="6" s="1"/>
  <c r="AO160" i="6"/>
  <c r="BJ160" i="6" s="1"/>
  <c r="AI160" i="6"/>
  <c r="BD160" i="6" s="1"/>
  <c r="AH160" i="6"/>
  <c r="BC160" i="6" s="1"/>
  <c r="AM160" i="6"/>
  <c r="BH160" i="6" s="1"/>
  <c r="AC174" i="6"/>
  <c r="AM174" i="6"/>
  <c r="BH174" i="6" s="1"/>
  <c r="AN174" i="6"/>
  <c r="BI174" i="6" s="1"/>
  <c r="AS174" i="6"/>
  <c r="BN174" i="6" s="1"/>
  <c r="AU174" i="6"/>
  <c r="BP174" i="6" s="1"/>
  <c r="AF174" i="6"/>
  <c r="BA174" i="6" s="1"/>
  <c r="AH174" i="6"/>
  <c r="BC174" i="6" s="1"/>
  <c r="AI174" i="6"/>
  <c r="BD174" i="6" s="1"/>
  <c r="AP174" i="6"/>
  <c r="BK174" i="6" s="1"/>
  <c r="AO174" i="6"/>
  <c r="BJ174" i="6" s="1"/>
  <c r="AR174" i="6"/>
  <c r="BM174" i="6" s="1"/>
  <c r="AJ174" i="6"/>
  <c r="BE174" i="6" s="1"/>
  <c r="AW174" i="6"/>
  <c r="BR174" i="6" s="1"/>
  <c r="AC183" i="6"/>
  <c r="AU183" i="6"/>
  <c r="BP183" i="6" s="1"/>
  <c r="AW183" i="6"/>
  <c r="BR183" i="6" s="1"/>
  <c r="AN183" i="6"/>
  <c r="BI183" i="6" s="1"/>
  <c r="AO183" i="6"/>
  <c r="BJ183" i="6" s="1"/>
  <c r="AP183" i="6"/>
  <c r="BK183" i="6" s="1"/>
  <c r="AS183" i="6"/>
  <c r="BN183" i="6" s="1"/>
  <c r="AI183" i="6"/>
  <c r="BD183" i="6" s="1"/>
  <c r="AF183" i="6"/>
  <c r="BA183" i="6" s="1"/>
  <c r="AM183" i="6"/>
  <c r="BH183" i="6" s="1"/>
  <c r="AR183" i="6"/>
  <c r="BM183" i="6" s="1"/>
  <c r="AH183" i="6"/>
  <c r="BC183" i="6" s="1"/>
  <c r="AJ183" i="6"/>
  <c r="BE183" i="6" s="1"/>
  <c r="AC190" i="6"/>
  <c r="AS190" i="6"/>
  <c r="BN190" i="6" s="1"/>
  <c r="AO190" i="6"/>
  <c r="BJ190" i="6" s="1"/>
  <c r="AP190" i="6"/>
  <c r="BK190" i="6" s="1"/>
  <c r="AU190" i="6"/>
  <c r="BP190" i="6" s="1"/>
  <c r="AI190" i="6"/>
  <c r="BD190" i="6" s="1"/>
  <c r="AM190" i="6"/>
  <c r="BH190" i="6" s="1"/>
  <c r="AN190" i="6"/>
  <c r="BI190" i="6" s="1"/>
  <c r="AF190" i="6"/>
  <c r="BA190" i="6" s="1"/>
  <c r="AJ190" i="6"/>
  <c r="BE190" i="6" s="1"/>
  <c r="AH190" i="6"/>
  <c r="BC190" i="6" s="1"/>
  <c r="AW190" i="6"/>
  <c r="BR190" i="6" s="1"/>
  <c r="AR190" i="6"/>
  <c r="BM190" i="6" s="1"/>
  <c r="AX247" i="6"/>
  <c r="AC99" i="6"/>
  <c r="AF99" i="6"/>
  <c r="BA99" i="6" s="1"/>
  <c r="AI99" i="6"/>
  <c r="BD99" i="6" s="1"/>
  <c r="AH99" i="6"/>
  <c r="BC99" i="6" s="1"/>
  <c r="AM99" i="6"/>
  <c r="BH99" i="6" s="1"/>
  <c r="AP99" i="6"/>
  <c r="BK99" i="6" s="1"/>
  <c r="AJ99" i="6"/>
  <c r="BE99" i="6" s="1"/>
  <c r="AS99" i="6"/>
  <c r="BN99" i="6" s="1"/>
  <c r="AW99" i="6"/>
  <c r="BR99" i="6" s="1"/>
  <c r="AN99" i="6"/>
  <c r="BI99" i="6" s="1"/>
  <c r="AO99" i="6"/>
  <c r="BJ99" i="6" s="1"/>
  <c r="AR99" i="6"/>
  <c r="BM99" i="6" s="1"/>
  <c r="AU99" i="6"/>
  <c r="BP99" i="6" s="1"/>
  <c r="AC67" i="6"/>
  <c r="AS67" i="6"/>
  <c r="BN67" i="6" s="1"/>
  <c r="AU67" i="6"/>
  <c r="BP67" i="6" s="1"/>
  <c r="AW67" i="6"/>
  <c r="BR67" i="6" s="1"/>
  <c r="AI67" i="6"/>
  <c r="BD67" i="6" s="1"/>
  <c r="AJ67" i="6"/>
  <c r="BE67" i="6" s="1"/>
  <c r="AM67" i="6"/>
  <c r="BH67" i="6" s="1"/>
  <c r="AH67" i="6"/>
  <c r="BC67" i="6" s="1"/>
  <c r="AN67" i="6"/>
  <c r="BI67" i="6" s="1"/>
  <c r="AP67" i="6"/>
  <c r="BK67" i="6" s="1"/>
  <c r="AR67" i="6"/>
  <c r="BM67" i="6" s="1"/>
  <c r="AF67" i="6"/>
  <c r="BA67" i="6" s="1"/>
  <c r="AO67" i="6"/>
  <c r="BJ67" i="6" s="1"/>
  <c r="AC66" i="6"/>
  <c r="AR66" i="6"/>
  <c r="BM66" i="6" s="1"/>
  <c r="AS66" i="6"/>
  <c r="BN66" i="6" s="1"/>
  <c r="AH66" i="6"/>
  <c r="BC66" i="6" s="1"/>
  <c r="AP66" i="6"/>
  <c r="BK66" i="6" s="1"/>
  <c r="AF66" i="6"/>
  <c r="BA66" i="6" s="1"/>
  <c r="AN66" i="6"/>
  <c r="BI66" i="6" s="1"/>
  <c r="AI66" i="6"/>
  <c r="BD66" i="6" s="1"/>
  <c r="AU66" i="6"/>
  <c r="BP66" i="6" s="1"/>
  <c r="AW66" i="6"/>
  <c r="BR66" i="6" s="1"/>
  <c r="AJ66" i="6"/>
  <c r="BE66" i="6" s="1"/>
  <c r="AO66" i="6"/>
  <c r="BJ66" i="6" s="1"/>
  <c r="AM66" i="6"/>
  <c r="BH66" i="6" s="1"/>
  <c r="AC23" i="6"/>
  <c r="AN23" i="6"/>
  <c r="BI23" i="6" s="1"/>
  <c r="AI23" i="6"/>
  <c r="BD23" i="6" s="1"/>
  <c r="AS23" i="6"/>
  <c r="BN23" i="6" s="1"/>
  <c r="AH23" i="6"/>
  <c r="BC23" i="6" s="1"/>
  <c r="AJ23" i="6"/>
  <c r="BE23" i="6" s="1"/>
  <c r="AW23" i="6"/>
  <c r="BR23" i="6" s="1"/>
  <c r="AO23" i="6"/>
  <c r="BJ23" i="6" s="1"/>
  <c r="AM23" i="6"/>
  <c r="BH23" i="6" s="1"/>
  <c r="AP23" i="6"/>
  <c r="BK23" i="6" s="1"/>
  <c r="AF23" i="6"/>
  <c r="BA23" i="6" s="1"/>
  <c r="AR23" i="6"/>
  <c r="BM23" i="6" s="1"/>
  <c r="AU23" i="6"/>
  <c r="BP23" i="6" s="1"/>
  <c r="AC2" i="6"/>
  <c r="AH2" i="6"/>
  <c r="BC2" i="6" s="1"/>
  <c r="AN2" i="6"/>
  <c r="BI2" i="6" s="1"/>
  <c r="AI2" i="6"/>
  <c r="BD2" i="6" s="1"/>
  <c r="AJ2" i="6"/>
  <c r="AO2" i="6"/>
  <c r="BJ2" i="6" s="1"/>
  <c r="AP2" i="6"/>
  <c r="AR2" i="6"/>
  <c r="BM2" i="6" s="1"/>
  <c r="AU2" i="6"/>
  <c r="BP2" i="6" s="1"/>
  <c r="AS2" i="6"/>
  <c r="AM2" i="6"/>
  <c r="BH2" i="6" s="1"/>
  <c r="AW2" i="6"/>
  <c r="BR2" i="6" s="1"/>
  <c r="AC20" i="6"/>
  <c r="AF20" i="6"/>
  <c r="BA20" i="6" s="1"/>
  <c r="AI20" i="6"/>
  <c r="BD20" i="6" s="1"/>
  <c r="AH20" i="6"/>
  <c r="BC20" i="6" s="1"/>
  <c r="AM20" i="6"/>
  <c r="BH20" i="6" s="1"/>
  <c r="AU20" i="6"/>
  <c r="BP20" i="6" s="1"/>
  <c r="AS20" i="6"/>
  <c r="BN20" i="6" s="1"/>
  <c r="AN20" i="6"/>
  <c r="BI20" i="6" s="1"/>
  <c r="AJ20" i="6"/>
  <c r="BE20" i="6" s="1"/>
  <c r="AO20" i="6"/>
  <c r="BJ20" i="6" s="1"/>
  <c r="AP20" i="6"/>
  <c r="BK20" i="6" s="1"/>
  <c r="AR20" i="6"/>
  <c r="BM20" i="6" s="1"/>
  <c r="AW20" i="6"/>
  <c r="BR20" i="6" s="1"/>
  <c r="AC117" i="6"/>
  <c r="AM117" i="6"/>
  <c r="BH117" i="6" s="1"/>
  <c r="AO117" i="6"/>
  <c r="BJ117" i="6" s="1"/>
  <c r="AN117" i="6"/>
  <c r="BI117" i="6" s="1"/>
  <c r="AR117" i="6"/>
  <c r="BM117" i="6" s="1"/>
  <c r="AS117" i="6"/>
  <c r="BN117" i="6" s="1"/>
  <c r="AP117" i="6"/>
  <c r="BK117" i="6" s="1"/>
  <c r="AH117" i="6"/>
  <c r="BC117" i="6" s="1"/>
  <c r="AU117" i="6"/>
  <c r="BP117" i="6" s="1"/>
  <c r="AW117" i="6"/>
  <c r="BR117" i="6" s="1"/>
  <c r="AF117" i="6"/>
  <c r="BA117" i="6" s="1"/>
  <c r="AI117" i="6"/>
  <c r="BD117" i="6" s="1"/>
  <c r="AJ117" i="6"/>
  <c r="BE117" i="6" s="1"/>
  <c r="AC75" i="6"/>
  <c r="AP75" i="6"/>
  <c r="BK75" i="6" s="1"/>
  <c r="AU75" i="6"/>
  <c r="BP75" i="6" s="1"/>
  <c r="AR75" i="6"/>
  <c r="BM75" i="6" s="1"/>
  <c r="AH75" i="6"/>
  <c r="BC75" i="6" s="1"/>
  <c r="AF75" i="6"/>
  <c r="BA75" i="6" s="1"/>
  <c r="AN75" i="6"/>
  <c r="BI75" i="6" s="1"/>
  <c r="AO75" i="6"/>
  <c r="BJ75" i="6" s="1"/>
  <c r="AI75" i="6"/>
  <c r="BD75" i="6" s="1"/>
  <c r="AJ75" i="6"/>
  <c r="BE75" i="6" s="1"/>
  <c r="AM75" i="6"/>
  <c r="BH75" i="6" s="1"/>
  <c r="AS75" i="6"/>
  <c r="BN75" i="6" s="1"/>
  <c r="AW75" i="6"/>
  <c r="BR75" i="6" s="1"/>
  <c r="AC72" i="6"/>
  <c r="AW72" i="6"/>
  <c r="BR72" i="6" s="1"/>
  <c r="AF72" i="6"/>
  <c r="BA72" i="6" s="1"/>
  <c r="AN72" i="6"/>
  <c r="BI72" i="6" s="1"/>
  <c r="AP72" i="6"/>
  <c r="BK72" i="6" s="1"/>
  <c r="AR72" i="6"/>
  <c r="BM72" i="6" s="1"/>
  <c r="AJ72" i="6"/>
  <c r="BE72" i="6" s="1"/>
  <c r="AM72" i="6"/>
  <c r="BH72" i="6" s="1"/>
  <c r="AO72" i="6"/>
  <c r="BJ72" i="6" s="1"/>
  <c r="AH72" i="6"/>
  <c r="BC72" i="6" s="1"/>
  <c r="AS72" i="6"/>
  <c r="BN72" i="6" s="1"/>
  <c r="AI72" i="6"/>
  <c r="BD72" i="6" s="1"/>
  <c r="AU72" i="6"/>
  <c r="BP72" i="6" s="1"/>
  <c r="AC87" i="6"/>
  <c r="AP87" i="6"/>
  <c r="BK87" i="6" s="1"/>
  <c r="AR87" i="6"/>
  <c r="BM87" i="6" s="1"/>
  <c r="AS87" i="6"/>
  <c r="BN87" i="6" s="1"/>
  <c r="AU87" i="6"/>
  <c r="BP87" i="6" s="1"/>
  <c r="AJ87" i="6"/>
  <c r="BE87" i="6" s="1"/>
  <c r="AM87" i="6"/>
  <c r="BH87" i="6" s="1"/>
  <c r="AW87" i="6"/>
  <c r="BR87" i="6" s="1"/>
  <c r="AF87" i="6"/>
  <c r="BA87" i="6" s="1"/>
  <c r="AN87" i="6"/>
  <c r="BI87" i="6" s="1"/>
  <c r="AI87" i="6"/>
  <c r="BD87" i="6" s="1"/>
  <c r="AO87" i="6"/>
  <c r="BJ87" i="6" s="1"/>
  <c r="AH87" i="6"/>
  <c r="BC87" i="6" s="1"/>
  <c r="AC158" i="6"/>
  <c r="AH158" i="6"/>
  <c r="BC158" i="6" s="1"/>
  <c r="AM158" i="6"/>
  <c r="BH158" i="6" s="1"/>
  <c r="AI158" i="6"/>
  <c r="BD158" i="6" s="1"/>
  <c r="AJ158" i="6"/>
  <c r="BE158" i="6" s="1"/>
  <c r="AO158" i="6"/>
  <c r="BJ158" i="6" s="1"/>
  <c r="AP158" i="6"/>
  <c r="BK158" i="6" s="1"/>
  <c r="AW158" i="6"/>
  <c r="BR158" i="6" s="1"/>
  <c r="AS158" i="6"/>
  <c r="BN158" i="6" s="1"/>
  <c r="AR158" i="6"/>
  <c r="BM158" i="6" s="1"/>
  <c r="AF158" i="6"/>
  <c r="BA158" i="6" s="1"/>
  <c r="AN158" i="6"/>
  <c r="BI158" i="6" s="1"/>
  <c r="AU158" i="6"/>
  <c r="BP158" i="6" s="1"/>
  <c r="AC162" i="6"/>
  <c r="AP162" i="6"/>
  <c r="BK162" i="6" s="1"/>
  <c r="AS162" i="6"/>
  <c r="BN162" i="6" s="1"/>
  <c r="AH162" i="6"/>
  <c r="BC162" i="6" s="1"/>
  <c r="AU162" i="6"/>
  <c r="BP162" i="6" s="1"/>
  <c r="AF162" i="6"/>
  <c r="BA162" i="6" s="1"/>
  <c r="AJ162" i="6"/>
  <c r="BE162" i="6" s="1"/>
  <c r="AO162" i="6"/>
  <c r="BJ162" i="6" s="1"/>
  <c r="AI162" i="6"/>
  <c r="BD162" i="6" s="1"/>
  <c r="AM162" i="6"/>
  <c r="BH162" i="6" s="1"/>
  <c r="AR162" i="6"/>
  <c r="BM162" i="6" s="1"/>
  <c r="AW162" i="6"/>
  <c r="BR162" i="6" s="1"/>
  <c r="AN162" i="6"/>
  <c r="BI162" i="6" s="1"/>
  <c r="AC179" i="6"/>
  <c r="AF179" i="6"/>
  <c r="BA179" i="6" s="1"/>
  <c r="AN179" i="6"/>
  <c r="BI179" i="6" s="1"/>
  <c r="AM179" i="6"/>
  <c r="BH179" i="6" s="1"/>
  <c r="AO179" i="6"/>
  <c r="BJ179" i="6" s="1"/>
  <c r="AP179" i="6"/>
  <c r="BK179" i="6" s="1"/>
  <c r="AS179" i="6"/>
  <c r="BN179" i="6" s="1"/>
  <c r="AH179" i="6"/>
  <c r="BC179" i="6" s="1"/>
  <c r="AR179" i="6"/>
  <c r="BM179" i="6" s="1"/>
  <c r="AU179" i="6"/>
  <c r="BP179" i="6" s="1"/>
  <c r="AW179" i="6"/>
  <c r="BR179" i="6" s="1"/>
  <c r="AI179" i="6"/>
  <c r="BD179" i="6" s="1"/>
  <c r="AJ179" i="6"/>
  <c r="BE179" i="6" s="1"/>
  <c r="AC181" i="6"/>
  <c r="AW181" i="6"/>
  <c r="BR181" i="6" s="1"/>
  <c r="AN181" i="6"/>
  <c r="BI181" i="6" s="1"/>
  <c r="AF181" i="6"/>
  <c r="BA181" i="6" s="1"/>
  <c r="AH181" i="6"/>
  <c r="BC181" i="6" s="1"/>
  <c r="AO181" i="6"/>
  <c r="BJ181" i="6" s="1"/>
  <c r="AP181" i="6"/>
  <c r="BK181" i="6" s="1"/>
  <c r="AR181" i="6"/>
  <c r="BM181" i="6" s="1"/>
  <c r="AU181" i="6"/>
  <c r="BP181" i="6" s="1"/>
  <c r="AI181" i="6"/>
  <c r="BD181" i="6" s="1"/>
  <c r="AM181" i="6"/>
  <c r="BH181" i="6" s="1"/>
  <c r="AS181" i="6"/>
  <c r="BN181" i="6" s="1"/>
  <c r="AJ181" i="6"/>
  <c r="BE181" i="6" s="1"/>
  <c r="AC185" i="6"/>
  <c r="AN185" i="6"/>
  <c r="BI185" i="6" s="1"/>
  <c r="AO185" i="6"/>
  <c r="BJ185" i="6" s="1"/>
  <c r="AM185" i="6"/>
  <c r="BH185" i="6" s="1"/>
  <c r="AP185" i="6"/>
  <c r="BK185" i="6" s="1"/>
  <c r="AF185" i="6"/>
  <c r="BA185" i="6" s="1"/>
  <c r="AI185" i="6"/>
  <c r="BD185" i="6" s="1"/>
  <c r="AS185" i="6"/>
  <c r="BN185" i="6" s="1"/>
  <c r="AJ185" i="6"/>
  <c r="BE185" i="6" s="1"/>
  <c r="AH185" i="6"/>
  <c r="BC185" i="6" s="1"/>
  <c r="AW185" i="6"/>
  <c r="BR185" i="6" s="1"/>
  <c r="AR185" i="6"/>
  <c r="BM185" i="6" s="1"/>
  <c r="AU185" i="6"/>
  <c r="BP185" i="6" s="1"/>
  <c r="AS107" i="6"/>
  <c r="BN107" i="6" s="1"/>
  <c r="AU107" i="6"/>
  <c r="BP107" i="6" s="1"/>
  <c r="AW107" i="6"/>
  <c r="BR107" i="6" s="1"/>
  <c r="AM107" i="6"/>
  <c r="BH107" i="6" s="1"/>
  <c r="AI107" i="6"/>
  <c r="BD107" i="6" s="1"/>
  <c r="AJ107" i="6"/>
  <c r="BE107" i="6" s="1"/>
  <c r="AN107" i="6"/>
  <c r="BI107" i="6" s="1"/>
  <c r="AR107" i="6"/>
  <c r="BM107" i="6" s="1"/>
  <c r="AF107" i="6"/>
  <c r="BA107" i="6" s="1"/>
  <c r="AH107" i="6"/>
  <c r="BC107" i="6" s="1"/>
  <c r="AO107" i="6"/>
  <c r="BJ107" i="6" s="1"/>
  <c r="AP107" i="6"/>
  <c r="BK107" i="6" s="1"/>
  <c r="AX246" i="6"/>
  <c r="AC69" i="6"/>
  <c r="AF69" i="6"/>
  <c r="BA69" i="6" s="1"/>
  <c r="AH69" i="6"/>
  <c r="BC69" i="6" s="1"/>
  <c r="AJ69" i="6"/>
  <c r="BE69" i="6" s="1"/>
  <c r="AR69" i="6"/>
  <c r="BM69" i="6" s="1"/>
  <c r="AI69" i="6"/>
  <c r="BD69" i="6" s="1"/>
  <c r="AM69" i="6"/>
  <c r="BH69" i="6" s="1"/>
  <c r="AO69" i="6"/>
  <c r="BJ69" i="6" s="1"/>
  <c r="AW69" i="6"/>
  <c r="BR69" i="6" s="1"/>
  <c r="AS69" i="6"/>
  <c r="BN69" i="6" s="1"/>
  <c r="AU69" i="6"/>
  <c r="BP69" i="6" s="1"/>
  <c r="AN69" i="6"/>
  <c r="BI69" i="6" s="1"/>
  <c r="AP69" i="6"/>
  <c r="BK69" i="6" s="1"/>
  <c r="AF105" i="6"/>
  <c r="BA105" i="6" s="1"/>
  <c r="AH105" i="6"/>
  <c r="BC105" i="6" s="1"/>
  <c r="AI105" i="6"/>
  <c r="BD105" i="6" s="1"/>
  <c r="AM105" i="6"/>
  <c r="BH105" i="6" s="1"/>
  <c r="AS105" i="6"/>
  <c r="BN105" i="6" s="1"/>
  <c r="AJ105" i="6"/>
  <c r="BE105" i="6" s="1"/>
  <c r="AN105" i="6"/>
  <c r="BI105" i="6" s="1"/>
  <c r="AO105" i="6"/>
  <c r="BJ105" i="6" s="1"/>
  <c r="AU105" i="6"/>
  <c r="BP105" i="6" s="1"/>
  <c r="AP105" i="6"/>
  <c r="BK105" i="6" s="1"/>
  <c r="AR105" i="6"/>
  <c r="BM105" i="6" s="1"/>
  <c r="AW105" i="6"/>
  <c r="BR105" i="6" s="1"/>
  <c r="AC122" i="6"/>
  <c r="AR122" i="6"/>
  <c r="BM122" i="6" s="1"/>
  <c r="AS122" i="6"/>
  <c r="BN122" i="6" s="1"/>
  <c r="AW122" i="6"/>
  <c r="BR122" i="6" s="1"/>
  <c r="AU122" i="6"/>
  <c r="BP122" i="6" s="1"/>
  <c r="AF122" i="6"/>
  <c r="BA122" i="6" s="1"/>
  <c r="AJ122" i="6"/>
  <c r="BE122" i="6" s="1"/>
  <c r="AH122" i="6"/>
  <c r="BC122" i="6" s="1"/>
  <c r="AM122" i="6"/>
  <c r="BH122" i="6" s="1"/>
  <c r="AN122" i="6"/>
  <c r="BI122" i="6" s="1"/>
  <c r="AI122" i="6"/>
  <c r="BD122" i="6" s="1"/>
  <c r="AO122" i="6"/>
  <c r="BJ122" i="6" s="1"/>
  <c r="AP122" i="6"/>
  <c r="BK122" i="6" s="1"/>
  <c r="AC18" i="6"/>
  <c r="AI18" i="6"/>
  <c r="BD18" i="6" s="1"/>
  <c r="AH18" i="6"/>
  <c r="BC18" i="6" s="1"/>
  <c r="AP18" i="6"/>
  <c r="BK18" i="6" s="1"/>
  <c r="AJ18" i="6"/>
  <c r="BE18" i="6" s="1"/>
  <c r="AN18" i="6"/>
  <c r="BI18" i="6" s="1"/>
  <c r="AW18" i="6"/>
  <c r="BR18" i="6" s="1"/>
  <c r="AF18" i="6"/>
  <c r="BA18" i="6" s="1"/>
  <c r="AR18" i="6"/>
  <c r="BM18" i="6" s="1"/>
  <c r="AM18" i="6"/>
  <c r="BH18" i="6" s="1"/>
  <c r="AS18" i="6"/>
  <c r="BN18" i="6" s="1"/>
  <c r="AU18" i="6"/>
  <c r="BP18" i="6" s="1"/>
  <c r="AO18" i="6"/>
  <c r="BJ18" i="6" s="1"/>
  <c r="AC78" i="6"/>
  <c r="AR78" i="6"/>
  <c r="BM78" i="6" s="1"/>
  <c r="AU78" i="6"/>
  <c r="BP78" i="6" s="1"/>
  <c r="AS78" i="6"/>
  <c r="BN78" i="6" s="1"/>
  <c r="AF78" i="6"/>
  <c r="BA78" i="6" s="1"/>
  <c r="AP78" i="6"/>
  <c r="BK78" i="6" s="1"/>
  <c r="AO78" i="6"/>
  <c r="BJ78" i="6" s="1"/>
  <c r="AH78" i="6"/>
  <c r="BC78" i="6" s="1"/>
  <c r="AW78" i="6"/>
  <c r="BR78" i="6" s="1"/>
  <c r="AM78" i="6"/>
  <c r="BH78" i="6" s="1"/>
  <c r="AI78" i="6"/>
  <c r="BD78" i="6" s="1"/>
  <c r="AJ78" i="6"/>
  <c r="BE78" i="6" s="1"/>
  <c r="AN78" i="6"/>
  <c r="BI78" i="6" s="1"/>
  <c r="AC120" i="6"/>
  <c r="AF120" i="6"/>
  <c r="BA120" i="6" s="1"/>
  <c r="AN120" i="6"/>
  <c r="BI120" i="6" s="1"/>
  <c r="AI120" i="6"/>
  <c r="BD120" i="6" s="1"/>
  <c r="AH120" i="6"/>
  <c r="BC120" i="6" s="1"/>
  <c r="AJ120" i="6"/>
  <c r="BE120" i="6" s="1"/>
  <c r="AP120" i="6"/>
  <c r="BK120" i="6" s="1"/>
  <c r="AR120" i="6"/>
  <c r="BM120" i="6" s="1"/>
  <c r="AM120" i="6"/>
  <c r="BH120" i="6" s="1"/>
  <c r="AW120" i="6"/>
  <c r="BR120" i="6" s="1"/>
  <c r="AO120" i="6"/>
  <c r="BJ120" i="6" s="1"/>
  <c r="AS120" i="6"/>
  <c r="BN120" i="6" s="1"/>
  <c r="AU120" i="6"/>
  <c r="BP120" i="6" s="1"/>
  <c r="AC121" i="6"/>
  <c r="AN121" i="6"/>
  <c r="BI121" i="6" s="1"/>
  <c r="AU121" i="6"/>
  <c r="BP121" i="6" s="1"/>
  <c r="AW121" i="6"/>
  <c r="BR121" i="6" s="1"/>
  <c r="AS121" i="6"/>
  <c r="BN121" i="6" s="1"/>
  <c r="AM121" i="6"/>
  <c r="BH121" i="6" s="1"/>
  <c r="AO121" i="6"/>
  <c r="BJ121" i="6" s="1"/>
  <c r="AJ121" i="6"/>
  <c r="BE121" i="6" s="1"/>
  <c r="AF121" i="6"/>
  <c r="BA121" i="6" s="1"/>
  <c r="AR121" i="6"/>
  <c r="BM121" i="6" s="1"/>
  <c r="AH121" i="6"/>
  <c r="BC121" i="6" s="1"/>
  <c r="AP121" i="6"/>
  <c r="BK121" i="6" s="1"/>
  <c r="AI121" i="6"/>
  <c r="BD121" i="6" s="1"/>
  <c r="AC92" i="6"/>
  <c r="AN92" i="6"/>
  <c r="BI92" i="6" s="1"/>
  <c r="AP92" i="6"/>
  <c r="BK92" i="6" s="1"/>
  <c r="AR92" i="6"/>
  <c r="BM92" i="6" s="1"/>
  <c r="AU92" i="6"/>
  <c r="BP92" i="6" s="1"/>
  <c r="AW92" i="6"/>
  <c r="BR92" i="6" s="1"/>
  <c r="AO92" i="6"/>
  <c r="BJ92" i="6" s="1"/>
  <c r="AF92" i="6"/>
  <c r="BA92" i="6" s="1"/>
  <c r="AM92" i="6"/>
  <c r="BH92" i="6" s="1"/>
  <c r="AI92" i="6"/>
  <c r="BD92" i="6" s="1"/>
  <c r="AH92" i="6"/>
  <c r="BC92" i="6" s="1"/>
  <c r="AS92" i="6"/>
  <c r="BN92" i="6" s="1"/>
  <c r="AJ92" i="6"/>
  <c r="BE92" i="6" s="1"/>
  <c r="AX240" i="6"/>
  <c r="AC79" i="6"/>
  <c r="AM79" i="6"/>
  <c r="BH79" i="6" s="1"/>
  <c r="AO79" i="6"/>
  <c r="BJ79" i="6" s="1"/>
  <c r="AR79" i="6"/>
  <c r="BM79" i="6" s="1"/>
  <c r="AN79" i="6"/>
  <c r="BI79" i="6" s="1"/>
  <c r="AW79" i="6"/>
  <c r="BR79" i="6" s="1"/>
  <c r="AI79" i="6"/>
  <c r="BD79" i="6" s="1"/>
  <c r="AU79" i="6"/>
  <c r="BP79" i="6" s="1"/>
  <c r="AH79" i="6"/>
  <c r="BC79" i="6" s="1"/>
  <c r="AS79" i="6"/>
  <c r="BN79" i="6" s="1"/>
  <c r="AJ79" i="6"/>
  <c r="BE79" i="6" s="1"/>
  <c r="AF79" i="6"/>
  <c r="BA79" i="6" s="1"/>
  <c r="AP79" i="6"/>
  <c r="BK79" i="6" s="1"/>
  <c r="AC9" i="6"/>
  <c r="AH9" i="6"/>
  <c r="BC9" i="6" s="1"/>
  <c r="AU9" i="6"/>
  <c r="BP9" i="6" s="1"/>
  <c r="AI9" i="6"/>
  <c r="BD9" i="6" s="1"/>
  <c r="AJ9" i="6"/>
  <c r="BE9" i="6" s="1"/>
  <c r="AM9" i="6"/>
  <c r="BH9" i="6" s="1"/>
  <c r="AO9" i="6"/>
  <c r="BJ9" i="6" s="1"/>
  <c r="AR9" i="6"/>
  <c r="BM9" i="6" s="1"/>
  <c r="AW9" i="6"/>
  <c r="BR9" i="6" s="1"/>
  <c r="AF9" i="6"/>
  <c r="BA9" i="6" s="1"/>
  <c r="AN9" i="6"/>
  <c r="BI9" i="6" s="1"/>
  <c r="AP9" i="6"/>
  <c r="BK9" i="6" s="1"/>
  <c r="AS9" i="6"/>
  <c r="BN9" i="6" s="1"/>
  <c r="AC13" i="6"/>
  <c r="AU13" i="6"/>
  <c r="BP13" i="6" s="1"/>
  <c r="AF13" i="6"/>
  <c r="BA13" i="6" s="1"/>
  <c r="AN13" i="6"/>
  <c r="BI13" i="6" s="1"/>
  <c r="AH13" i="6"/>
  <c r="BC13" i="6" s="1"/>
  <c r="AP13" i="6"/>
  <c r="BK13" i="6" s="1"/>
  <c r="AI13" i="6"/>
  <c r="BD13" i="6" s="1"/>
  <c r="AJ13" i="6"/>
  <c r="BE13" i="6" s="1"/>
  <c r="AM13" i="6"/>
  <c r="BH13" i="6" s="1"/>
  <c r="AW13" i="6"/>
  <c r="BR13" i="6" s="1"/>
  <c r="AS13" i="6"/>
  <c r="BN13" i="6" s="1"/>
  <c r="AO13" i="6"/>
  <c r="BJ13" i="6" s="1"/>
  <c r="AR13" i="6"/>
  <c r="BM13" i="6" s="1"/>
  <c r="AX232" i="6"/>
  <c r="AC8" i="6"/>
  <c r="AN8" i="6"/>
  <c r="BI8" i="6" s="1"/>
  <c r="AR8" i="6"/>
  <c r="BM8" i="6" s="1"/>
  <c r="AM8" i="6"/>
  <c r="BH8" i="6" s="1"/>
  <c r="AO8" i="6"/>
  <c r="BJ8" i="6" s="1"/>
  <c r="AH8" i="6"/>
  <c r="BC8" i="6" s="1"/>
  <c r="AI8" i="6"/>
  <c r="BD8" i="6" s="1"/>
  <c r="AP8" i="6"/>
  <c r="BK8" i="6" s="1"/>
  <c r="AS8" i="6"/>
  <c r="BN8" i="6" s="1"/>
  <c r="AW8" i="6"/>
  <c r="BR8" i="6" s="1"/>
  <c r="AF8" i="6"/>
  <c r="BA8" i="6" s="1"/>
  <c r="AU8" i="6"/>
  <c r="BP8" i="6" s="1"/>
  <c r="AJ8" i="6"/>
  <c r="BE8" i="6" s="1"/>
  <c r="AC71" i="6"/>
  <c r="AR71" i="6"/>
  <c r="BM71" i="6" s="1"/>
  <c r="AU71" i="6"/>
  <c r="BP71" i="6" s="1"/>
  <c r="AH71" i="6"/>
  <c r="BC71" i="6" s="1"/>
  <c r="AW71" i="6"/>
  <c r="BR71" i="6" s="1"/>
  <c r="AM71" i="6"/>
  <c r="BH71" i="6" s="1"/>
  <c r="AS71" i="6"/>
  <c r="BN71" i="6" s="1"/>
  <c r="AJ71" i="6"/>
  <c r="BE71" i="6" s="1"/>
  <c r="AN71" i="6"/>
  <c r="BI71" i="6" s="1"/>
  <c r="AI71" i="6"/>
  <c r="BD71" i="6" s="1"/>
  <c r="AO71" i="6"/>
  <c r="BJ71" i="6" s="1"/>
  <c r="AP71" i="6"/>
  <c r="BK71" i="6" s="1"/>
  <c r="AF71" i="6"/>
  <c r="BA71" i="6" s="1"/>
  <c r="AC11" i="6"/>
  <c r="AF11" i="6"/>
  <c r="BA11" i="6" s="1"/>
  <c r="AJ11" i="6"/>
  <c r="BE11" i="6" s="1"/>
  <c r="AH11" i="6"/>
  <c r="BC11" i="6" s="1"/>
  <c r="AR11" i="6"/>
  <c r="BM11" i="6" s="1"/>
  <c r="AM11" i="6"/>
  <c r="BH11" i="6" s="1"/>
  <c r="AP11" i="6"/>
  <c r="BK11" i="6" s="1"/>
  <c r="AW11" i="6"/>
  <c r="BR11" i="6" s="1"/>
  <c r="AS11" i="6"/>
  <c r="BN11" i="6" s="1"/>
  <c r="AI11" i="6"/>
  <c r="BD11" i="6" s="1"/>
  <c r="AN11" i="6"/>
  <c r="BI11" i="6" s="1"/>
  <c r="AO11" i="6"/>
  <c r="BJ11" i="6" s="1"/>
  <c r="AU11" i="6"/>
  <c r="BP11" i="6" s="1"/>
  <c r="AH113" i="6"/>
  <c r="BC113" i="6" s="1"/>
  <c r="AI113" i="6"/>
  <c r="BD113" i="6" s="1"/>
  <c r="AN113" i="6"/>
  <c r="BI113" i="6" s="1"/>
  <c r="AS113" i="6"/>
  <c r="BN113" i="6" s="1"/>
  <c r="AU113" i="6"/>
  <c r="BP113" i="6" s="1"/>
  <c r="AW113" i="6"/>
  <c r="BR113" i="6" s="1"/>
  <c r="AO113" i="6"/>
  <c r="BJ113" i="6" s="1"/>
  <c r="AP113" i="6"/>
  <c r="BK113" i="6" s="1"/>
  <c r="AR113" i="6"/>
  <c r="BM113" i="6" s="1"/>
  <c r="AF113" i="6"/>
  <c r="BA113" i="6" s="1"/>
  <c r="AJ113" i="6"/>
  <c r="BE113" i="6" s="1"/>
  <c r="AM113" i="6"/>
  <c r="BH113" i="6" s="1"/>
  <c r="AC94" i="6"/>
  <c r="AJ94" i="6"/>
  <c r="BE94" i="6" s="1"/>
  <c r="AM94" i="6"/>
  <c r="BH94" i="6" s="1"/>
  <c r="AN94" i="6"/>
  <c r="BI94" i="6" s="1"/>
  <c r="AO94" i="6"/>
  <c r="BJ94" i="6" s="1"/>
  <c r="AR94" i="6"/>
  <c r="BM94" i="6" s="1"/>
  <c r="AF94" i="6"/>
  <c r="BA94" i="6" s="1"/>
  <c r="AS94" i="6"/>
  <c r="BN94" i="6" s="1"/>
  <c r="AP94" i="6"/>
  <c r="BK94" i="6" s="1"/>
  <c r="AU94" i="6"/>
  <c r="BP94" i="6" s="1"/>
  <c r="AW94" i="6"/>
  <c r="BR94" i="6" s="1"/>
  <c r="AH94" i="6"/>
  <c r="BC94" i="6" s="1"/>
  <c r="AI94" i="6"/>
  <c r="BD94" i="6" s="1"/>
  <c r="AX245" i="6"/>
  <c r="AC5" i="6"/>
  <c r="AN5" i="6"/>
  <c r="BI5" i="6" s="1"/>
  <c r="AR5" i="6"/>
  <c r="BM5" i="6" s="1"/>
  <c r="AP5" i="6"/>
  <c r="BK5" i="6" s="1"/>
  <c r="AS5" i="6"/>
  <c r="BN5" i="6" s="1"/>
  <c r="AJ5" i="6"/>
  <c r="BE5" i="6" s="1"/>
  <c r="AF5" i="6"/>
  <c r="BA5" i="6" s="1"/>
  <c r="AH5" i="6"/>
  <c r="BC5" i="6" s="1"/>
  <c r="AI5" i="6"/>
  <c r="BD5" i="6" s="1"/>
  <c r="AW5" i="6"/>
  <c r="BR5" i="6" s="1"/>
  <c r="AM5" i="6"/>
  <c r="BH5" i="6" s="1"/>
  <c r="AO5" i="6"/>
  <c r="BJ5" i="6" s="1"/>
  <c r="AU5" i="6"/>
  <c r="BP5" i="6" s="1"/>
  <c r="AC6" i="6"/>
  <c r="AF6" i="6"/>
  <c r="BA6" i="6" s="1"/>
  <c r="AU6" i="6"/>
  <c r="BP6" i="6" s="1"/>
  <c r="AH6" i="6"/>
  <c r="BC6" i="6" s="1"/>
  <c r="AI6" i="6"/>
  <c r="BD6" i="6" s="1"/>
  <c r="AM6" i="6"/>
  <c r="BH6" i="6" s="1"/>
  <c r="AN6" i="6"/>
  <c r="BI6" i="6" s="1"/>
  <c r="AW6" i="6"/>
  <c r="BR6" i="6" s="1"/>
  <c r="AS6" i="6"/>
  <c r="BN6" i="6" s="1"/>
  <c r="AO6" i="6"/>
  <c r="BJ6" i="6" s="1"/>
  <c r="AP6" i="6"/>
  <c r="BK6" i="6" s="1"/>
  <c r="AR6" i="6"/>
  <c r="BM6" i="6" s="1"/>
  <c r="AJ6" i="6"/>
  <c r="BE6" i="6" s="1"/>
  <c r="AC76" i="6"/>
  <c r="AH76" i="6"/>
  <c r="BC76" i="6" s="1"/>
  <c r="AJ76" i="6"/>
  <c r="BE76" i="6" s="1"/>
  <c r="AM76" i="6"/>
  <c r="BH76" i="6" s="1"/>
  <c r="AN76" i="6"/>
  <c r="BI76" i="6" s="1"/>
  <c r="AF76" i="6"/>
  <c r="BA76" i="6" s="1"/>
  <c r="AU76" i="6"/>
  <c r="BP76" i="6" s="1"/>
  <c r="AO76" i="6"/>
  <c r="BJ76" i="6" s="1"/>
  <c r="AS76" i="6"/>
  <c r="BN76" i="6" s="1"/>
  <c r="AR76" i="6"/>
  <c r="BM76" i="6" s="1"/>
  <c r="AP76" i="6"/>
  <c r="BK76" i="6" s="1"/>
  <c r="AW76" i="6"/>
  <c r="BR76" i="6" s="1"/>
  <c r="AI76" i="6"/>
  <c r="BD76" i="6" s="1"/>
  <c r="AC74" i="6"/>
  <c r="AU74" i="6"/>
  <c r="BP74" i="6" s="1"/>
  <c r="AW74" i="6"/>
  <c r="BR74" i="6" s="1"/>
  <c r="AO74" i="6"/>
  <c r="BJ74" i="6" s="1"/>
  <c r="AF74" i="6"/>
  <c r="BA74" i="6" s="1"/>
  <c r="AI74" i="6"/>
  <c r="BD74" i="6" s="1"/>
  <c r="AJ74" i="6"/>
  <c r="BE74" i="6" s="1"/>
  <c r="AM74" i="6"/>
  <c r="BH74" i="6" s="1"/>
  <c r="AS74" i="6"/>
  <c r="BN74" i="6" s="1"/>
  <c r="AH74" i="6"/>
  <c r="BC74" i="6" s="1"/>
  <c r="AP74" i="6"/>
  <c r="BK74" i="6" s="1"/>
  <c r="AR74" i="6"/>
  <c r="BM74" i="6" s="1"/>
  <c r="AN74" i="6"/>
  <c r="BI74" i="6" s="1"/>
  <c r="AC85" i="6"/>
  <c r="AR85" i="6"/>
  <c r="BM85" i="6" s="1"/>
  <c r="AS85" i="6"/>
  <c r="BN85" i="6" s="1"/>
  <c r="AU85" i="6"/>
  <c r="BP85" i="6" s="1"/>
  <c r="AW85" i="6"/>
  <c r="BR85" i="6" s="1"/>
  <c r="AM85" i="6"/>
  <c r="BH85" i="6" s="1"/>
  <c r="AH85" i="6"/>
  <c r="BC85" i="6" s="1"/>
  <c r="AN85" i="6"/>
  <c r="BI85" i="6" s="1"/>
  <c r="AP85" i="6"/>
  <c r="BK85" i="6" s="1"/>
  <c r="AF85" i="6"/>
  <c r="BA85" i="6" s="1"/>
  <c r="AI85" i="6"/>
  <c r="BD85" i="6" s="1"/>
  <c r="AJ85" i="6"/>
  <c r="BE85" i="6" s="1"/>
  <c r="AO85" i="6"/>
  <c r="BJ85" i="6" s="1"/>
  <c r="AC163" i="6"/>
  <c r="AS163" i="6"/>
  <c r="BN163" i="6" s="1"/>
  <c r="AH163" i="6"/>
  <c r="BC163" i="6" s="1"/>
  <c r="AI163" i="6"/>
  <c r="BD163" i="6" s="1"/>
  <c r="AJ163" i="6"/>
  <c r="BE163" i="6" s="1"/>
  <c r="AO163" i="6"/>
  <c r="BJ163" i="6" s="1"/>
  <c r="AN163" i="6"/>
  <c r="BI163" i="6" s="1"/>
  <c r="AP163" i="6"/>
  <c r="BK163" i="6" s="1"/>
  <c r="AU163" i="6"/>
  <c r="BP163" i="6" s="1"/>
  <c r="AW163" i="6"/>
  <c r="BR163" i="6" s="1"/>
  <c r="AM163" i="6"/>
  <c r="BH163" i="6" s="1"/>
  <c r="AR163" i="6"/>
  <c r="BM163" i="6" s="1"/>
  <c r="AF163" i="6"/>
  <c r="BA163" i="6" s="1"/>
  <c r="AC161" i="6"/>
  <c r="AU161" i="6"/>
  <c r="BP161" i="6" s="1"/>
  <c r="AF161" i="6"/>
  <c r="BA161" i="6" s="1"/>
  <c r="AH161" i="6"/>
  <c r="BC161" i="6" s="1"/>
  <c r="AJ161" i="6"/>
  <c r="BE161" i="6" s="1"/>
  <c r="AM161" i="6"/>
  <c r="BH161" i="6" s="1"/>
  <c r="AN161" i="6"/>
  <c r="BI161" i="6" s="1"/>
  <c r="AO161" i="6"/>
  <c r="BJ161" i="6" s="1"/>
  <c r="AW161" i="6"/>
  <c r="BR161" i="6" s="1"/>
  <c r="AR161" i="6"/>
  <c r="BM161" i="6" s="1"/>
  <c r="AP161" i="6"/>
  <c r="BK161" i="6" s="1"/>
  <c r="AS161" i="6"/>
  <c r="BN161" i="6" s="1"/>
  <c r="AI161" i="6"/>
  <c r="BD161" i="6" s="1"/>
  <c r="AC182" i="6"/>
  <c r="AR182" i="6"/>
  <c r="BM182" i="6" s="1"/>
  <c r="AS182" i="6"/>
  <c r="BN182" i="6" s="1"/>
  <c r="AU182" i="6"/>
  <c r="BP182" i="6" s="1"/>
  <c r="AF182" i="6"/>
  <c r="BA182" i="6" s="1"/>
  <c r="AH182" i="6"/>
  <c r="BC182" i="6" s="1"/>
  <c r="AN182" i="6"/>
  <c r="BI182" i="6" s="1"/>
  <c r="AO182" i="6"/>
  <c r="BJ182" i="6" s="1"/>
  <c r="AW182" i="6"/>
  <c r="BR182" i="6" s="1"/>
  <c r="AM182" i="6"/>
  <c r="BH182" i="6" s="1"/>
  <c r="AP182" i="6"/>
  <c r="BK182" i="6" s="1"/>
  <c r="AI182" i="6"/>
  <c r="BD182" i="6" s="1"/>
  <c r="AJ182" i="6"/>
  <c r="BE182" i="6" s="1"/>
  <c r="AC187" i="6"/>
  <c r="AM187" i="6"/>
  <c r="BH187" i="6" s="1"/>
  <c r="AN187" i="6"/>
  <c r="BI187" i="6" s="1"/>
  <c r="AO187" i="6"/>
  <c r="BJ187" i="6" s="1"/>
  <c r="AJ187" i="6"/>
  <c r="BE187" i="6" s="1"/>
  <c r="AP187" i="6"/>
  <c r="BK187" i="6" s="1"/>
  <c r="AR187" i="6"/>
  <c r="BM187" i="6" s="1"/>
  <c r="AW187" i="6"/>
  <c r="BR187" i="6" s="1"/>
  <c r="AF187" i="6"/>
  <c r="BA187" i="6" s="1"/>
  <c r="AU187" i="6"/>
  <c r="BP187" i="6" s="1"/>
  <c r="AI187" i="6"/>
  <c r="BD187" i="6" s="1"/>
  <c r="AS187" i="6"/>
  <c r="BN187" i="6" s="1"/>
  <c r="AH187" i="6"/>
  <c r="BC187" i="6" s="1"/>
  <c r="AC227" i="6"/>
  <c r="AR227" i="6"/>
  <c r="BM227" i="6" s="1"/>
  <c r="AH227" i="6"/>
  <c r="BC227" i="6" s="1"/>
  <c r="AI227" i="6"/>
  <c r="BD227" i="6" s="1"/>
  <c r="AJ227" i="6"/>
  <c r="BE227" i="6" s="1"/>
  <c r="AM227" i="6"/>
  <c r="BH227" i="6" s="1"/>
  <c r="AN227" i="6"/>
  <c r="BI227" i="6" s="1"/>
  <c r="AO227" i="6"/>
  <c r="BJ227" i="6" s="1"/>
  <c r="AU227" i="6"/>
  <c r="BP227" i="6" s="1"/>
  <c r="AW227" i="6"/>
  <c r="BR227" i="6" s="1"/>
  <c r="AS227" i="6"/>
  <c r="BN227" i="6" s="1"/>
  <c r="AF227" i="6"/>
  <c r="BA227" i="6" s="1"/>
  <c r="AP227" i="6"/>
  <c r="BK227" i="6" s="1"/>
  <c r="AX233" i="6"/>
  <c r="AC175" i="6"/>
  <c r="AS175" i="6"/>
  <c r="BN175" i="6" s="1"/>
  <c r="AU175" i="6"/>
  <c r="BP175" i="6" s="1"/>
  <c r="AW175" i="6"/>
  <c r="BR175" i="6" s="1"/>
  <c r="AH175" i="6"/>
  <c r="BC175" i="6" s="1"/>
  <c r="AI175" i="6"/>
  <c r="BD175" i="6" s="1"/>
  <c r="AJ175" i="6"/>
  <c r="BE175" i="6" s="1"/>
  <c r="AM175" i="6"/>
  <c r="BH175" i="6" s="1"/>
  <c r="AF175" i="6"/>
  <c r="BA175" i="6" s="1"/>
  <c r="AR175" i="6"/>
  <c r="BM175" i="6" s="1"/>
  <c r="AN175" i="6"/>
  <c r="BI175" i="6" s="1"/>
  <c r="AP175" i="6"/>
  <c r="BK175" i="6" s="1"/>
  <c r="AO175" i="6"/>
  <c r="BJ175" i="6" s="1"/>
  <c r="AC118" i="6"/>
  <c r="AM118" i="6"/>
  <c r="BH118" i="6" s="1"/>
  <c r="AO118" i="6"/>
  <c r="BJ118" i="6" s="1"/>
  <c r="AP118" i="6"/>
  <c r="BK118" i="6" s="1"/>
  <c r="AR118" i="6"/>
  <c r="BM118" i="6" s="1"/>
  <c r="AW118" i="6"/>
  <c r="BR118" i="6" s="1"/>
  <c r="AN118" i="6"/>
  <c r="BI118" i="6" s="1"/>
  <c r="AS118" i="6"/>
  <c r="BN118" i="6" s="1"/>
  <c r="AF118" i="6"/>
  <c r="BA118" i="6" s="1"/>
  <c r="AI118" i="6"/>
  <c r="BD118" i="6" s="1"/>
  <c r="AU118" i="6"/>
  <c r="BP118" i="6" s="1"/>
  <c r="AJ118" i="6"/>
  <c r="BE118" i="6" s="1"/>
  <c r="AH118" i="6"/>
  <c r="BC118" i="6" s="1"/>
  <c r="AC115" i="6"/>
  <c r="AS115" i="6"/>
  <c r="BN115" i="6" s="1"/>
  <c r="AI115" i="6"/>
  <c r="BD115" i="6" s="1"/>
  <c r="AJ115" i="6"/>
  <c r="BE115" i="6" s="1"/>
  <c r="AM115" i="6"/>
  <c r="BH115" i="6" s="1"/>
  <c r="AP115" i="6"/>
  <c r="BK115" i="6" s="1"/>
  <c r="AF115" i="6"/>
  <c r="BA115" i="6" s="1"/>
  <c r="AH115" i="6"/>
  <c r="BC115" i="6" s="1"/>
  <c r="AN115" i="6"/>
  <c r="BI115" i="6" s="1"/>
  <c r="AO115" i="6"/>
  <c r="BJ115" i="6" s="1"/>
  <c r="AU115" i="6"/>
  <c r="BP115" i="6" s="1"/>
  <c r="AW115" i="6"/>
  <c r="BR115" i="6" s="1"/>
  <c r="AR115" i="6"/>
  <c r="BM115" i="6" s="1"/>
  <c r="AC16" i="6"/>
  <c r="AM16" i="6"/>
  <c r="BH16" i="6" s="1"/>
  <c r="AN16" i="6"/>
  <c r="BI16" i="6" s="1"/>
  <c r="AI16" i="6"/>
  <c r="BD16" i="6" s="1"/>
  <c r="AO16" i="6"/>
  <c r="BJ16" i="6" s="1"/>
  <c r="AW16" i="6"/>
  <c r="BR16" i="6" s="1"/>
  <c r="AJ16" i="6"/>
  <c r="BE16" i="6" s="1"/>
  <c r="AP16" i="6"/>
  <c r="BK16" i="6" s="1"/>
  <c r="AH16" i="6"/>
  <c r="BC16" i="6" s="1"/>
  <c r="AR16" i="6"/>
  <c r="BM16" i="6" s="1"/>
  <c r="AS16" i="6"/>
  <c r="BN16" i="6" s="1"/>
  <c r="AU16" i="6"/>
  <c r="BP16" i="6" s="1"/>
  <c r="AF16" i="6"/>
  <c r="BA16" i="6" s="1"/>
  <c r="AC77" i="6"/>
  <c r="AR77" i="6"/>
  <c r="BM77" i="6" s="1"/>
  <c r="AS77" i="6"/>
  <c r="BN77" i="6" s="1"/>
  <c r="AU77" i="6"/>
  <c r="BP77" i="6" s="1"/>
  <c r="AW77" i="6"/>
  <c r="BR77" i="6" s="1"/>
  <c r="AM77" i="6"/>
  <c r="BH77" i="6" s="1"/>
  <c r="AH77" i="6"/>
  <c r="BC77" i="6" s="1"/>
  <c r="AI77" i="6"/>
  <c r="BD77" i="6" s="1"/>
  <c r="AN77" i="6"/>
  <c r="BI77" i="6" s="1"/>
  <c r="AO77" i="6"/>
  <c r="BJ77" i="6" s="1"/>
  <c r="AP77" i="6"/>
  <c r="BK77" i="6" s="1"/>
  <c r="AJ77" i="6"/>
  <c r="BE77" i="6" s="1"/>
  <c r="AF77" i="6"/>
  <c r="BA77" i="6" s="1"/>
  <c r="AC17" i="6"/>
  <c r="AH17" i="6"/>
  <c r="BC17" i="6" s="1"/>
  <c r="AR17" i="6"/>
  <c r="BM17" i="6" s="1"/>
  <c r="AO17" i="6"/>
  <c r="BJ17" i="6" s="1"/>
  <c r="AS17" i="6"/>
  <c r="BN17" i="6" s="1"/>
  <c r="AF17" i="6"/>
  <c r="BA17" i="6" s="1"/>
  <c r="AU17" i="6"/>
  <c r="BP17" i="6" s="1"/>
  <c r="AI17" i="6"/>
  <c r="BD17" i="6" s="1"/>
  <c r="AJ17" i="6"/>
  <c r="BE17" i="6" s="1"/>
  <c r="AM17" i="6"/>
  <c r="BH17" i="6" s="1"/>
  <c r="AN17" i="6"/>
  <c r="BI17" i="6" s="1"/>
  <c r="AP17" i="6"/>
  <c r="BK17" i="6" s="1"/>
  <c r="AW17" i="6"/>
  <c r="BR17" i="6" s="1"/>
  <c r="AC114" i="6"/>
  <c r="AI114" i="6"/>
  <c r="BD114" i="6" s="1"/>
  <c r="AN114" i="6"/>
  <c r="BI114" i="6" s="1"/>
  <c r="AM114" i="6"/>
  <c r="BH114" i="6" s="1"/>
  <c r="AO114" i="6"/>
  <c r="BJ114" i="6" s="1"/>
  <c r="AP114" i="6"/>
  <c r="BK114" i="6" s="1"/>
  <c r="AR114" i="6"/>
  <c r="BM114" i="6" s="1"/>
  <c r="AS114" i="6"/>
  <c r="BN114" i="6" s="1"/>
  <c r="AU114" i="6"/>
  <c r="BP114" i="6" s="1"/>
  <c r="AH114" i="6"/>
  <c r="BC114" i="6" s="1"/>
  <c r="AF114" i="6"/>
  <c r="BA114" i="6" s="1"/>
  <c r="AW114" i="6"/>
  <c r="BR114" i="6" s="1"/>
  <c r="AJ114" i="6"/>
  <c r="BE114" i="6" s="1"/>
  <c r="AC10" i="6"/>
  <c r="AM10" i="6"/>
  <c r="BH10" i="6" s="1"/>
  <c r="AJ10" i="6"/>
  <c r="BE10" i="6" s="1"/>
  <c r="AR10" i="6"/>
  <c r="BM10" i="6" s="1"/>
  <c r="AP10" i="6"/>
  <c r="BK10" i="6" s="1"/>
  <c r="AS10" i="6"/>
  <c r="BN10" i="6" s="1"/>
  <c r="AH10" i="6"/>
  <c r="BC10" i="6" s="1"/>
  <c r="AN10" i="6"/>
  <c r="BI10" i="6" s="1"/>
  <c r="AF10" i="6"/>
  <c r="BA10" i="6" s="1"/>
  <c r="AI10" i="6"/>
  <c r="BD10" i="6" s="1"/>
  <c r="AU10" i="6"/>
  <c r="BP10" i="6" s="1"/>
  <c r="AW10" i="6"/>
  <c r="BR10" i="6" s="1"/>
  <c r="AO10" i="6"/>
  <c r="BJ10" i="6" s="1"/>
  <c r="AC4" i="6"/>
  <c r="AS4" i="6"/>
  <c r="BN4" i="6" s="1"/>
  <c r="AW4" i="6"/>
  <c r="BR4" i="6" s="1"/>
  <c r="AM4" i="6"/>
  <c r="BH4" i="6" s="1"/>
  <c r="AO4" i="6"/>
  <c r="BJ4" i="6" s="1"/>
  <c r="AR4" i="6"/>
  <c r="BM4" i="6" s="1"/>
  <c r="AF4" i="6"/>
  <c r="BA4" i="6" s="1"/>
  <c r="AH4" i="6"/>
  <c r="BC4" i="6" s="1"/>
  <c r="AI4" i="6"/>
  <c r="BD4" i="6" s="1"/>
  <c r="AJ4" i="6"/>
  <c r="BE4" i="6" s="1"/>
  <c r="AN4" i="6"/>
  <c r="BI4" i="6" s="1"/>
  <c r="AP4" i="6"/>
  <c r="BK4" i="6" s="1"/>
  <c r="AU4" i="6"/>
  <c r="BP4" i="6" s="1"/>
  <c r="AC19" i="6"/>
  <c r="AJ19" i="6"/>
  <c r="BE19" i="6" s="1"/>
  <c r="AP19" i="6"/>
  <c r="BK19" i="6" s="1"/>
  <c r="AR19" i="6"/>
  <c r="BM19" i="6" s="1"/>
  <c r="AS19" i="6"/>
  <c r="BN19" i="6" s="1"/>
  <c r="AU19" i="6"/>
  <c r="BP19" i="6" s="1"/>
  <c r="AW19" i="6"/>
  <c r="BR19" i="6" s="1"/>
  <c r="AI19" i="6"/>
  <c r="BD19" i="6" s="1"/>
  <c r="AF19" i="6"/>
  <c r="BA19" i="6" s="1"/>
  <c r="AH19" i="6"/>
  <c r="BC19" i="6" s="1"/>
  <c r="AM19" i="6"/>
  <c r="BH19" i="6" s="1"/>
  <c r="AN19" i="6"/>
  <c r="BI19" i="6" s="1"/>
  <c r="AO19" i="6"/>
  <c r="BJ19" i="6" s="1"/>
  <c r="AC73" i="6"/>
  <c r="AJ73" i="6"/>
  <c r="BE73" i="6" s="1"/>
  <c r="AN73" i="6"/>
  <c r="BI73" i="6" s="1"/>
  <c r="AM73" i="6"/>
  <c r="BH73" i="6" s="1"/>
  <c r="AO73" i="6"/>
  <c r="BJ73" i="6" s="1"/>
  <c r="AR73" i="6"/>
  <c r="BM73" i="6" s="1"/>
  <c r="AF73" i="6"/>
  <c r="BA73" i="6" s="1"/>
  <c r="AW73" i="6"/>
  <c r="BR73" i="6" s="1"/>
  <c r="AU73" i="6"/>
  <c r="BP73" i="6" s="1"/>
  <c r="AP73" i="6"/>
  <c r="BK73" i="6" s="1"/>
  <c r="AI73" i="6"/>
  <c r="BD73" i="6" s="1"/>
  <c r="AS73" i="6"/>
  <c r="BN73" i="6" s="1"/>
  <c r="AH73" i="6"/>
  <c r="BC73" i="6" s="1"/>
  <c r="AC125" i="6"/>
  <c r="AW125" i="6"/>
  <c r="BR125" i="6" s="1"/>
  <c r="AP125" i="6"/>
  <c r="BK125" i="6" s="1"/>
  <c r="AJ125" i="6"/>
  <c r="BE125" i="6" s="1"/>
  <c r="AM125" i="6"/>
  <c r="BH125" i="6" s="1"/>
  <c r="AN125" i="6"/>
  <c r="BI125" i="6" s="1"/>
  <c r="AS125" i="6"/>
  <c r="BN125" i="6" s="1"/>
  <c r="AI125" i="6"/>
  <c r="BD125" i="6" s="1"/>
  <c r="AO125" i="6"/>
  <c r="BJ125" i="6" s="1"/>
  <c r="AF125" i="6"/>
  <c r="BA125" i="6" s="1"/>
  <c r="AH125" i="6"/>
  <c r="BC125" i="6" s="1"/>
  <c r="AR125" i="6"/>
  <c r="BM125" i="6" s="1"/>
  <c r="AU125" i="6"/>
  <c r="BP125" i="6" s="1"/>
  <c r="AC97" i="6"/>
  <c r="AF97" i="6"/>
  <c r="BA97" i="6" s="1"/>
  <c r="AH97" i="6"/>
  <c r="BC97" i="6" s="1"/>
  <c r="AJ97" i="6"/>
  <c r="BE97" i="6" s="1"/>
  <c r="AR97" i="6"/>
  <c r="BM97" i="6" s="1"/>
  <c r="AU97" i="6"/>
  <c r="BP97" i="6" s="1"/>
  <c r="AI97" i="6"/>
  <c r="BD97" i="6" s="1"/>
  <c r="AO97" i="6"/>
  <c r="BJ97" i="6" s="1"/>
  <c r="AW97" i="6"/>
  <c r="BR97" i="6" s="1"/>
  <c r="AP97" i="6"/>
  <c r="BK97" i="6" s="1"/>
  <c r="AS97" i="6"/>
  <c r="BN97" i="6" s="1"/>
  <c r="AN97" i="6"/>
  <c r="BI97" i="6" s="1"/>
  <c r="AM97" i="6"/>
  <c r="BH97" i="6" s="1"/>
  <c r="AC164" i="6"/>
  <c r="AI164" i="6"/>
  <c r="BD164" i="6" s="1"/>
  <c r="AJ164" i="6"/>
  <c r="BE164" i="6" s="1"/>
  <c r="AM164" i="6"/>
  <c r="BH164" i="6" s="1"/>
  <c r="AN164" i="6"/>
  <c r="BI164" i="6" s="1"/>
  <c r="AP164" i="6"/>
  <c r="BK164" i="6" s="1"/>
  <c r="AS164" i="6"/>
  <c r="BN164" i="6" s="1"/>
  <c r="AH164" i="6"/>
  <c r="BC164" i="6" s="1"/>
  <c r="AU164" i="6"/>
  <c r="BP164" i="6" s="1"/>
  <c r="AO164" i="6"/>
  <c r="BJ164" i="6" s="1"/>
  <c r="AW164" i="6"/>
  <c r="BR164" i="6" s="1"/>
  <c r="AF164" i="6"/>
  <c r="BA164" i="6" s="1"/>
  <c r="AR164" i="6"/>
  <c r="BM164" i="6" s="1"/>
  <c r="AX231" i="6"/>
  <c r="AX229" i="6"/>
  <c r="AX248" i="6"/>
  <c r="AX154" i="6"/>
  <c r="AC109" i="6"/>
  <c r="AC104" i="6"/>
  <c r="AC105" i="6"/>
  <c r="AC111" i="6"/>
  <c r="AC108" i="6"/>
  <c r="AC107" i="6"/>
  <c r="AC113" i="6"/>
  <c r="AC102" i="6"/>
  <c r="AC112" i="6"/>
  <c r="AC106" i="6"/>
  <c r="AF4" i="5"/>
  <c r="AG4" i="5"/>
  <c r="AH4" i="5"/>
  <c r="AI4" i="5"/>
  <c r="AT110" i="6" l="1"/>
  <c r="BO110" i="6" s="1"/>
  <c r="AL110" i="6"/>
  <c r="BG110" i="6" s="1"/>
  <c r="AE110" i="6"/>
  <c r="AZ110" i="6" s="1"/>
  <c r="AV110" i="6"/>
  <c r="BQ110" i="6" s="1"/>
  <c r="AQ110" i="6"/>
  <c r="BL110" i="6" s="1"/>
  <c r="AK110" i="6"/>
  <c r="BF110" i="6" s="1"/>
  <c r="AD110" i="6"/>
  <c r="AY110" i="6" s="1"/>
  <c r="AG110" i="6"/>
  <c r="BB110" i="6" s="1"/>
  <c r="BN259" i="6"/>
  <c r="AX250" i="6"/>
  <c r="BN2" i="6"/>
  <c r="BE2" i="6"/>
  <c r="BK2" i="6"/>
  <c r="AX254" i="6"/>
  <c r="AX252" i="6"/>
  <c r="AX257" i="6"/>
  <c r="AX255" i="6"/>
  <c r="AX253" i="6"/>
  <c r="AX235" i="6"/>
  <c r="AX251" i="6"/>
  <c r="AX237" i="6"/>
  <c r="AX29" i="6"/>
  <c r="AX126" i="6"/>
  <c r="AX27" i="6"/>
  <c r="AX30" i="6"/>
  <c r="AX24" i="6"/>
  <c r="AX132" i="6"/>
  <c r="AX130" i="6"/>
  <c r="AX131" i="6"/>
  <c r="AX25" i="6"/>
  <c r="AX26" i="6"/>
  <c r="AX127" i="6"/>
  <c r="AX129" i="6"/>
  <c r="AX259" i="6"/>
  <c r="AX28" i="6"/>
  <c r="AX128" i="6"/>
  <c r="AX5" i="6"/>
  <c r="AX174" i="6"/>
  <c r="AX12" i="6"/>
  <c r="AX10" i="6"/>
  <c r="AX94" i="6"/>
  <c r="AX185" i="6"/>
  <c r="AX177" i="6"/>
  <c r="AX86" i="6"/>
  <c r="AX14" i="6"/>
  <c r="AX191" i="6"/>
  <c r="AX164" i="6"/>
  <c r="AX153" i="6"/>
  <c r="AX178" i="6"/>
  <c r="AX85" i="6"/>
  <c r="AX181" i="6"/>
  <c r="AX117" i="6"/>
  <c r="AX101" i="6"/>
  <c r="AX89" i="6"/>
  <c r="AX157" i="6"/>
  <c r="AX189" i="6"/>
  <c r="AX19" i="6"/>
  <c r="AX11" i="6"/>
  <c r="AX79" i="6"/>
  <c r="AX179" i="6"/>
  <c r="AX112" i="6"/>
  <c r="AX116" i="6"/>
  <c r="AX125" i="6"/>
  <c r="AX74" i="6"/>
  <c r="AX8" i="6"/>
  <c r="AX9" i="6"/>
  <c r="AX121" i="6"/>
  <c r="AX69" i="6"/>
  <c r="AX158" i="6"/>
  <c r="AX99" i="6"/>
  <c r="AX22" i="6"/>
  <c r="AX123" i="6"/>
  <c r="AX173" i="6"/>
  <c r="AX109" i="6"/>
  <c r="AX186" i="6"/>
  <c r="AX80" i="6"/>
  <c r="AX122" i="6"/>
  <c r="AX16" i="6"/>
  <c r="AX187" i="6"/>
  <c r="AX6" i="6"/>
  <c r="AX87" i="6"/>
  <c r="AX119" i="6"/>
  <c r="AX17" i="6"/>
  <c r="AX76" i="6"/>
  <c r="AX18" i="6"/>
  <c r="AX184" i="6"/>
  <c r="AX155" i="6"/>
  <c r="AX73" i="6"/>
  <c r="AX175" i="6"/>
  <c r="AX105" i="6"/>
  <c r="AX75" i="6"/>
  <c r="AX165" i="6"/>
  <c r="AX65" i="6"/>
  <c r="AX81" i="6"/>
  <c r="AX124" i="6"/>
  <c r="AX92" i="6"/>
  <c r="AX95" i="6"/>
  <c r="AX93" i="6"/>
  <c r="AX159" i="6"/>
  <c r="AX96" i="6"/>
  <c r="AX176" i="6"/>
  <c r="AX70" i="6"/>
  <c r="AX188" i="6"/>
  <c r="AX182" i="6"/>
  <c r="AX113" i="6"/>
  <c r="AX20" i="6"/>
  <c r="AX102" i="6"/>
  <c r="AX3" i="6"/>
  <c r="AX68" i="6"/>
  <c r="AX111" i="6"/>
  <c r="AX167" i="6"/>
  <c r="AX100" i="6"/>
  <c r="AC110" i="6"/>
  <c r="AN110" i="6"/>
  <c r="BI110" i="6" s="1"/>
  <c r="AO110" i="6"/>
  <c r="BJ110" i="6" s="1"/>
  <c r="AP110" i="6"/>
  <c r="BK110" i="6" s="1"/>
  <c r="AR110" i="6"/>
  <c r="BM110" i="6" s="1"/>
  <c r="AU110" i="6"/>
  <c r="BP110" i="6" s="1"/>
  <c r="AH110" i="6"/>
  <c r="BC110" i="6" s="1"/>
  <c r="AI110" i="6"/>
  <c r="BD110" i="6" s="1"/>
  <c r="AF110" i="6"/>
  <c r="BA110" i="6" s="1"/>
  <c r="AJ110" i="6"/>
  <c r="BE110" i="6" s="1"/>
  <c r="AM110" i="6"/>
  <c r="BH110" i="6" s="1"/>
  <c r="AS110" i="6"/>
  <c r="BN110" i="6" s="1"/>
  <c r="AW110" i="6"/>
  <c r="BR110" i="6" s="1"/>
  <c r="AX4" i="6"/>
  <c r="AX67" i="6"/>
  <c r="AX83" i="6"/>
  <c r="AX21" i="6"/>
  <c r="AX90" i="6"/>
  <c r="AX77" i="6"/>
  <c r="AX78" i="6"/>
  <c r="AX118" i="6"/>
  <c r="AX114" i="6"/>
  <c r="AX115" i="6"/>
  <c r="AX120" i="6"/>
  <c r="AX107" i="6"/>
  <c r="AX162" i="6"/>
  <c r="AX72" i="6"/>
  <c r="AX2" i="6"/>
  <c r="AX91" i="6"/>
  <c r="AX82" i="6"/>
  <c r="AX98" i="6"/>
  <c r="AX156" i="6"/>
  <c r="AX106" i="6"/>
  <c r="AX226" i="6"/>
  <c r="AX97" i="6"/>
  <c r="AX183" i="6"/>
  <c r="AX160" i="6"/>
  <c r="AX104" i="6"/>
  <c r="AX166" i="6"/>
  <c r="AX66" i="6"/>
  <c r="AX108" i="6"/>
  <c r="AX7" i="6"/>
  <c r="AX227" i="6"/>
  <c r="AX71" i="6"/>
  <c r="AX84" i="6"/>
  <c r="AX180" i="6"/>
  <c r="AX161" i="6"/>
  <c r="AX23" i="6"/>
  <c r="AX163" i="6"/>
  <c r="AX13" i="6"/>
  <c r="AX190" i="6"/>
  <c r="AX15" i="6"/>
  <c r="AX88" i="6"/>
  <c r="BH3" i="4"/>
  <c r="AZ6" i="4"/>
  <c r="BG6" i="4" s="1"/>
  <c r="AZ7" i="4"/>
  <c r="BG7" i="4" s="1"/>
  <c r="AZ8" i="4"/>
  <c r="BG8" i="4" s="1"/>
  <c r="AG6" i="4"/>
  <c r="AH6" i="4" s="1"/>
  <c r="AU6" i="4" s="1"/>
  <c r="AG7" i="4"/>
  <c r="AH7" i="4" s="1"/>
  <c r="AU7" i="4" s="1"/>
  <c r="AG8" i="4"/>
  <c r="AH8" i="4" s="1"/>
  <c r="AU8" i="4" s="1"/>
  <c r="P6" i="4"/>
  <c r="AC6" i="4" s="1"/>
  <c r="P7" i="4"/>
  <c r="AC7" i="4" s="1"/>
  <c r="G6" i="4"/>
  <c r="K6" i="4" s="1"/>
  <c r="G7" i="4"/>
  <c r="K7" i="4" s="1"/>
  <c r="BH6" i="4"/>
  <c r="BH7" i="4"/>
  <c r="BH8" i="4"/>
  <c r="AV6" i="4"/>
  <c r="AV7" i="4"/>
  <c r="AV8" i="4"/>
  <c r="AD6" i="4"/>
  <c r="AD7" i="4"/>
  <c r="AC8" i="4"/>
  <c r="AD8" i="4"/>
  <c r="L6" i="4"/>
  <c r="L7" i="4"/>
  <c r="L3" i="4"/>
  <c r="D5" i="4"/>
  <c r="AX110" i="6" l="1"/>
  <c r="AW8" i="4"/>
  <c r="AE8" i="4"/>
  <c r="AE6" i="4"/>
  <c r="AW7" i="4"/>
  <c r="AW6" i="4"/>
  <c r="AE7" i="4"/>
  <c r="BI7" i="4"/>
  <c r="BI6" i="4"/>
  <c r="M7" i="4"/>
  <c r="BI8" i="4"/>
  <c r="M6" i="4"/>
  <c r="AG6" i="3" l="1"/>
  <c r="AG5" i="3"/>
  <c r="F5" i="3"/>
  <c r="AE4" i="5" l="1"/>
  <c r="AD4" i="5"/>
  <c r="AC4" i="5"/>
  <c r="AD5" i="3" l="1"/>
  <c r="C4" i="5" l="1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B4" i="5"/>
  <c r="AG7" i="3" l="1"/>
  <c r="O7" i="3"/>
  <c r="F7" i="3"/>
  <c r="AO10" i="2"/>
  <c r="AQ10" i="2" s="1"/>
  <c r="W10" i="2"/>
  <c r="Y10" i="2" s="1"/>
  <c r="AL10" i="2" s="1"/>
  <c r="AN10" i="2" s="1"/>
  <c r="N7" i="3" l="1"/>
  <c r="AH7" i="3"/>
  <c r="AP7" i="3" s="1"/>
  <c r="AR7" i="3" s="1"/>
  <c r="AY10" i="2"/>
  <c r="BA10" i="2" s="1"/>
  <c r="P7" i="3"/>
  <c r="AC7" i="3" s="1"/>
  <c r="AE7" i="3" s="1"/>
  <c r="AF7" i="3"/>
  <c r="E10" i="2"/>
  <c r="E7" i="3" s="1"/>
  <c r="G10" i="2" l="1"/>
  <c r="AO7" i="2"/>
  <c r="AO6" i="2"/>
  <c r="AF5" i="3" s="1"/>
  <c r="AO4" i="2"/>
  <c r="AQ4" i="2" s="1"/>
  <c r="AO5" i="2"/>
  <c r="AQ5" i="2" s="1"/>
  <c r="AO3" i="2"/>
  <c r="AQ3" i="2" s="1"/>
  <c r="AQ6" i="2" l="1"/>
  <c r="AH5" i="3" s="1"/>
  <c r="AP5" i="3" s="1"/>
  <c r="AR5" i="3" s="1"/>
  <c r="AQ7" i="2"/>
  <c r="AH6" i="3" s="1"/>
  <c r="AP6" i="3" s="1"/>
  <c r="AR6" i="3" s="1"/>
  <c r="AF6" i="3"/>
  <c r="G7" i="3"/>
  <c r="K7" i="3" s="1"/>
  <c r="M7" i="3" s="1"/>
  <c r="T10" i="2"/>
  <c r="V10" i="2" s="1"/>
  <c r="AF5" i="4"/>
  <c r="AF4" i="4"/>
  <c r="N5" i="3" s="1"/>
  <c r="AF3" i="4" l="1"/>
  <c r="N5" i="4"/>
  <c r="P5" i="4" s="1"/>
  <c r="N4" i="4"/>
  <c r="P4" i="4" s="1"/>
  <c r="N3" i="4"/>
  <c r="L4" i="4" l="1"/>
  <c r="L5" i="4"/>
  <c r="BH4" i="4" l="1"/>
  <c r="BH5" i="4"/>
  <c r="AD4" i="4"/>
  <c r="AD5" i="4"/>
  <c r="AC4" i="4"/>
  <c r="AC5" i="4"/>
  <c r="AX5" i="4"/>
  <c r="AZ5" i="4" s="1"/>
  <c r="BG5" i="4" s="1"/>
  <c r="AX4" i="4"/>
  <c r="AZ4" i="4" s="1"/>
  <c r="BG4" i="4" s="1"/>
  <c r="AZ3" i="4"/>
  <c r="BG3" i="4" s="1"/>
  <c r="AF4" i="3"/>
  <c r="AH4" i="3" s="1"/>
  <c r="AP4" i="3" s="1"/>
  <c r="AF3" i="3"/>
  <c r="AH3" i="3" s="1"/>
  <c r="AP3" i="3" s="1"/>
  <c r="AG5" i="4"/>
  <c r="AH5" i="4" s="1"/>
  <c r="AU5" i="4" s="1"/>
  <c r="AG4" i="4"/>
  <c r="O5" i="3" s="1"/>
  <c r="AG3" i="4"/>
  <c r="AH3" i="4" s="1"/>
  <c r="AU3" i="4" s="1"/>
  <c r="AV4" i="4"/>
  <c r="AV5" i="4"/>
  <c r="AZ8" i="2"/>
  <c r="AY4" i="2"/>
  <c r="AY5" i="2"/>
  <c r="AY6" i="2"/>
  <c r="AY7" i="2"/>
  <c r="AY8" i="2"/>
  <c r="AY3" i="2"/>
  <c r="E5" i="4"/>
  <c r="G5" i="4" s="1"/>
  <c r="K5" i="4" s="1"/>
  <c r="M5" i="4" s="1"/>
  <c r="E4" i="4"/>
  <c r="G4" i="4" s="1"/>
  <c r="K4" i="4" s="1"/>
  <c r="M4" i="4" s="1"/>
  <c r="E3" i="4"/>
  <c r="G3" i="4" s="1"/>
  <c r="K3" i="4" s="1"/>
  <c r="AE5" i="4" l="1"/>
  <c r="BA8" i="2"/>
  <c r="AH4" i="4"/>
  <c r="BI4" i="4"/>
  <c r="AW5" i="4"/>
  <c r="BI5" i="4"/>
  <c r="AE4" i="4"/>
  <c r="AU4" i="4" l="1"/>
  <c r="AW4" i="4" s="1"/>
  <c r="P5" i="3"/>
  <c r="AC5" i="3" s="1"/>
  <c r="AE5" i="3" s="1"/>
  <c r="N4" i="3"/>
  <c r="P4" i="3" s="1"/>
  <c r="AC4" i="3" s="1"/>
  <c r="N3" i="3"/>
  <c r="P3" i="3" s="1"/>
  <c r="AC3" i="3" s="1"/>
  <c r="W7" i="2"/>
  <c r="Y7" i="2" s="1"/>
  <c r="AL7" i="2" s="1"/>
  <c r="W6" i="2"/>
  <c r="Y6" i="2" s="1"/>
  <c r="AL6" i="2" s="1"/>
  <c r="W5" i="2"/>
  <c r="Y5" i="2" s="1"/>
  <c r="AL5" i="2" s="1"/>
  <c r="W4" i="2"/>
  <c r="Y4" i="2" s="1"/>
  <c r="AL4" i="2" s="1"/>
  <c r="W3" i="2"/>
  <c r="Y3" i="2" s="1"/>
  <c r="AL3" i="2" s="1"/>
  <c r="D4" i="3" l="1"/>
  <c r="D3" i="3"/>
  <c r="AQ3" i="3" s="1"/>
  <c r="D3" i="2"/>
  <c r="AM3" i="2" l="1"/>
  <c r="AN3" i="2" s="1"/>
  <c r="AZ3" i="2"/>
  <c r="BA3" i="2" s="1"/>
  <c r="AR3" i="3"/>
  <c r="AD3" i="3"/>
  <c r="AE3" i="3" s="1"/>
  <c r="L3" i="3"/>
  <c r="L4" i="3"/>
  <c r="AQ4" i="3"/>
  <c r="AR4" i="3" s="1"/>
  <c r="AD4" i="3"/>
  <c r="AE4" i="3" s="1"/>
  <c r="G3" i="3"/>
  <c r="K3" i="3" s="1"/>
  <c r="F4" i="3"/>
  <c r="M3" i="3" l="1"/>
  <c r="P3" i="4"/>
  <c r="AC3" i="4" s="1"/>
  <c r="M3" i="4"/>
  <c r="AE3" i="4" l="1"/>
  <c r="AV3" i="4"/>
  <c r="AW3" i="4" s="1"/>
  <c r="BI3" i="4"/>
  <c r="E7" i="2" l="1"/>
  <c r="G7" i="2" s="1"/>
  <c r="T7" i="2" s="1"/>
  <c r="E6" i="2"/>
  <c r="E5" i="2"/>
  <c r="G5" i="2" s="1"/>
  <c r="T5" i="2" s="1"/>
  <c r="E4" i="2"/>
  <c r="G4" i="2" s="1"/>
  <c r="T4" i="2" s="1"/>
  <c r="E5" i="3" l="1"/>
  <c r="G6" i="2"/>
  <c r="E4" i="3"/>
  <c r="G4" i="3" s="1"/>
  <c r="K4" i="3" s="1"/>
  <c r="M4" i="3" s="1"/>
  <c r="G3" i="2"/>
  <c r="V3" i="2" s="1"/>
  <c r="G5" i="3" l="1"/>
  <c r="T6" i="2"/>
  <c r="D4" i="2"/>
  <c r="AZ4" i="2" s="1"/>
  <c r="D5" i="2"/>
  <c r="AZ5" i="2" s="1"/>
  <c r="D6" i="2"/>
  <c r="AZ6" i="2" s="1"/>
  <c r="D7" i="2"/>
  <c r="AZ7" i="2" s="1"/>
  <c r="C4" i="1"/>
  <c r="C12" i="1" s="1"/>
  <c r="U7" i="2" l="1"/>
  <c r="V7" i="2" s="1"/>
  <c r="AM7" i="2"/>
  <c r="U6" i="2"/>
  <c r="V6" i="2" s="1"/>
  <c r="AM6" i="2"/>
  <c r="U5" i="2"/>
  <c r="V5" i="2" s="1"/>
  <c r="AM5" i="2"/>
  <c r="U4" i="2"/>
  <c r="V4" i="2" s="1"/>
  <c r="AM4" i="2"/>
  <c r="V4" i="1"/>
  <c r="V5" i="1"/>
  <c r="V6" i="1"/>
  <c r="V7" i="1"/>
  <c r="V8" i="1"/>
  <c r="V9" i="1"/>
  <c r="V10" i="1"/>
  <c r="V11" i="1"/>
  <c r="V12" i="1"/>
  <c r="V13" i="1"/>
  <c r="U14" i="1"/>
  <c r="V14" i="1"/>
  <c r="U15" i="1"/>
  <c r="V15" i="1"/>
  <c r="U16" i="1"/>
  <c r="V16" i="1"/>
  <c r="U17" i="1"/>
  <c r="V17" i="1"/>
  <c r="U18" i="1"/>
  <c r="V18" i="1"/>
  <c r="U19" i="1"/>
  <c r="V19" i="1"/>
  <c r="V20" i="1"/>
  <c r="V21" i="1"/>
  <c r="V22" i="1"/>
  <c r="V3" i="1"/>
  <c r="O20" i="1"/>
  <c r="P20" i="1"/>
  <c r="Q20" i="1"/>
  <c r="R20" i="1"/>
  <c r="S20" i="1"/>
  <c r="T20" i="1"/>
  <c r="N20" i="1"/>
  <c r="E13" i="1"/>
  <c r="U13" i="1" s="1"/>
  <c r="E12" i="1"/>
  <c r="U12" i="1" s="1"/>
  <c r="E11" i="1"/>
  <c r="U11" i="1" s="1"/>
  <c r="E10" i="1"/>
  <c r="U10" i="1" s="1"/>
  <c r="E9" i="1"/>
  <c r="U9" i="1" s="1"/>
  <c r="E8" i="1"/>
  <c r="U8" i="1" s="1"/>
  <c r="E7" i="1"/>
  <c r="U7" i="1" s="1"/>
  <c r="E6" i="1"/>
  <c r="U6" i="1" s="1"/>
  <c r="E5" i="1"/>
  <c r="U5" i="1" s="1"/>
  <c r="E4" i="1"/>
  <c r="U4" i="1" s="1"/>
  <c r="E3" i="1"/>
  <c r="U3" i="1" s="1"/>
  <c r="E22" i="1"/>
  <c r="U22" i="1" s="1"/>
  <c r="E21" i="1"/>
  <c r="U21" i="1" s="1"/>
  <c r="D20" i="1"/>
  <c r="E20" i="1"/>
  <c r="W5" i="1" l="1"/>
  <c r="W3" i="1"/>
  <c r="W22" i="1"/>
  <c r="W9" i="1"/>
  <c r="W10" i="1"/>
  <c r="W21" i="1"/>
  <c r="W6" i="1"/>
  <c r="U20" i="1"/>
  <c r="W20" i="1" s="1"/>
  <c r="W7" i="1"/>
  <c r="W8" i="1"/>
  <c r="BA4" i="2"/>
  <c r="AN4" i="2"/>
  <c r="W4" i="1"/>
  <c r="BA5" i="2"/>
  <c r="AN5" i="2"/>
  <c r="BA6" i="2"/>
  <c r="AN6" i="2"/>
  <c r="BA7" i="2"/>
  <c r="AN7" i="2"/>
  <c r="D9" i="1"/>
  <c r="D10" i="1"/>
  <c r="D8" i="1"/>
  <c r="D7" i="1"/>
  <c r="D6" i="1"/>
  <c r="D12" i="1"/>
  <c r="D13" i="1"/>
  <c r="D11" i="1"/>
  <c r="D4" i="1"/>
  <c r="D5" i="1"/>
  <c r="D3" i="1"/>
  <c r="D22" i="1"/>
  <c r="D17" i="1"/>
  <c r="D18" i="1"/>
  <c r="D14" i="1"/>
  <c r="D15" i="1"/>
  <c r="D16" i="1"/>
  <c r="D19" i="1"/>
  <c r="AT103" i="6" l="1"/>
  <c r="BO103" i="6" s="1"/>
  <c r="AL103" i="6"/>
  <c r="BG103" i="6" s="1"/>
  <c r="AE103" i="6"/>
  <c r="AZ103" i="6" s="1"/>
  <c r="AV103" i="6"/>
  <c r="BQ103" i="6" s="1"/>
  <c r="AQ103" i="6"/>
  <c r="BL103" i="6" s="1"/>
  <c r="AK103" i="6"/>
  <c r="BF103" i="6" s="1"/>
  <c r="AD103" i="6"/>
  <c r="AY103" i="6" s="1"/>
  <c r="AG103" i="6"/>
  <c r="BB103" i="6" s="1"/>
  <c r="AC103" i="6"/>
  <c r="AO103" i="6"/>
  <c r="BJ103" i="6" s="1"/>
  <c r="AP103" i="6"/>
  <c r="AR103" i="6"/>
  <c r="BM103" i="6" s="1"/>
  <c r="AS103" i="6"/>
  <c r="AW103" i="6"/>
  <c r="BR103" i="6" s="1"/>
  <c r="AI103" i="6"/>
  <c r="BD103" i="6" s="1"/>
  <c r="AM103" i="6"/>
  <c r="BH103" i="6" s="1"/>
  <c r="AN103" i="6"/>
  <c r="BI103" i="6" s="1"/>
  <c r="AU103" i="6"/>
  <c r="BP103" i="6" s="1"/>
  <c r="AF103" i="6"/>
  <c r="BA103" i="6" s="1"/>
  <c r="AH103" i="6"/>
  <c r="BC103" i="6" s="1"/>
  <c r="AJ103" i="6"/>
  <c r="D22" i="12" l="1" a="1"/>
  <c r="D22" i="12" s="1"/>
  <c r="S6" i="12" a="1"/>
  <c r="S6" i="12" s="1"/>
  <c r="X22" i="12" a="1"/>
  <c r="X22" i="12" s="1"/>
  <c r="O6" i="12" a="1"/>
  <c r="O6" i="12" s="1"/>
  <c r="F6" i="12" a="1"/>
  <c r="F6" i="12" s="1"/>
  <c r="L22" i="12" a="1"/>
  <c r="L22" i="12" s="1"/>
  <c r="E22" i="12" a="1"/>
  <c r="E22" i="12" s="1"/>
  <c r="U22" i="12" a="1"/>
  <c r="U22" i="12" s="1"/>
  <c r="O22" i="12" a="1"/>
  <c r="O22" i="12" s="1"/>
  <c r="C6" i="12" a="1"/>
  <c r="C6" i="12" s="1"/>
  <c r="R22" i="12" a="1"/>
  <c r="R22" i="12" s="1"/>
  <c r="K6" i="12" a="1"/>
  <c r="K6" i="12" s="1"/>
  <c r="K22" i="12" a="1"/>
  <c r="K22" i="12" s="1"/>
  <c r="P22" i="12" a="1"/>
  <c r="P22" i="12" s="1"/>
  <c r="P6" i="12" a="1"/>
  <c r="P6" i="12" s="1"/>
  <c r="V6" i="12" a="1"/>
  <c r="V6" i="12" s="1"/>
  <c r="L6" i="12" a="1"/>
  <c r="L6" i="12" s="1"/>
  <c r="B6" i="12" a="1"/>
  <c r="B6" i="12" s="1"/>
  <c r="W22" i="12" a="1"/>
  <c r="W22" i="12" s="1"/>
  <c r="R6" i="12" a="1"/>
  <c r="R6" i="12" s="1"/>
  <c r="G6" i="12" a="1"/>
  <c r="G6" i="12" s="1"/>
  <c r="H6" i="12" a="1"/>
  <c r="H6" i="12" s="1"/>
  <c r="M22" i="12" a="1"/>
  <c r="M22" i="12" s="1"/>
  <c r="F22" i="12" a="1"/>
  <c r="F22" i="12" s="1"/>
  <c r="H22" i="12" a="1"/>
  <c r="H22" i="12" s="1"/>
  <c r="N22" i="12" a="1"/>
  <c r="N22" i="12" s="1"/>
  <c r="D6" i="12" a="1"/>
  <c r="D6" i="12" s="1"/>
  <c r="S22" i="12" a="1"/>
  <c r="S22" i="12" s="1"/>
  <c r="V22" i="12" a="1"/>
  <c r="V22" i="12" s="1"/>
  <c r="Q22" i="12" a="1"/>
  <c r="Q22" i="12" s="1"/>
  <c r="G22" i="12" a="1"/>
  <c r="G22" i="12" s="1"/>
  <c r="Q6" i="12" a="1"/>
  <c r="Q6" i="12" s="1"/>
  <c r="I6" i="12" a="1"/>
  <c r="I6" i="12" s="1"/>
  <c r="N6" i="12" a="1"/>
  <c r="N6" i="12" s="1"/>
  <c r="T6" i="12" a="1"/>
  <c r="T6" i="12" s="1"/>
  <c r="J6" i="12" a="1"/>
  <c r="J6" i="12" s="1"/>
  <c r="E6" i="12" a="1"/>
  <c r="E6" i="12" s="1"/>
  <c r="W6" i="12" a="1"/>
  <c r="W6" i="12" s="1"/>
  <c r="U6" i="12" a="1"/>
  <c r="U6" i="12" s="1"/>
  <c r="I22" i="12" a="1"/>
  <c r="I22" i="12" s="1"/>
  <c r="B22" i="12" a="1"/>
  <c r="B22" i="12" s="1"/>
  <c r="T22" i="12" a="1"/>
  <c r="T22" i="12" s="1"/>
  <c r="M6" i="12" a="1"/>
  <c r="M6" i="12" s="1"/>
  <c r="X6" i="12" a="1"/>
  <c r="X6" i="12" s="1"/>
  <c r="C22" i="12" a="1"/>
  <c r="C22" i="12" s="1"/>
  <c r="J22" i="12" a="1"/>
  <c r="J22" i="12" s="1"/>
  <c r="X3" i="12" a="1"/>
  <c r="X3" i="12" s="1"/>
  <c r="X9" i="12" a="1"/>
  <c r="X9" i="12" s="1"/>
  <c r="W24" i="12" a="1"/>
  <c r="W24" i="12" s="1"/>
  <c r="W9" i="12" a="1"/>
  <c r="W9" i="12" s="1"/>
  <c r="W8" i="12" a="1"/>
  <c r="W8" i="12" s="1"/>
  <c r="V8" i="12" a="1"/>
  <c r="V8" i="12" s="1"/>
  <c r="X23" i="12" a="1"/>
  <c r="X23" i="12" s="1"/>
  <c r="V7" i="12" a="1"/>
  <c r="V7" i="12" s="1"/>
  <c r="V5" i="12" a="1"/>
  <c r="V5" i="12" s="1"/>
  <c r="W19" i="12" a="1"/>
  <c r="W19" i="12" s="1"/>
  <c r="V9" i="12" a="1"/>
  <c r="V9" i="12" s="1"/>
  <c r="W5" i="12" a="1"/>
  <c r="W5" i="12" s="1"/>
  <c r="X19" i="12" a="1"/>
  <c r="X19" i="12" s="1"/>
  <c r="X7" i="12" a="1"/>
  <c r="X7" i="12" s="1"/>
  <c r="V21" i="12" a="1"/>
  <c r="V21" i="12" s="1"/>
  <c r="V24" i="12" a="1"/>
  <c r="V24" i="12" s="1"/>
  <c r="X8" i="12" a="1"/>
  <c r="X8" i="12" s="1"/>
  <c r="V25" i="12" a="1"/>
  <c r="V25" i="12" s="1"/>
  <c r="W20" i="12" a="1"/>
  <c r="W20" i="12" s="1"/>
  <c r="X20" i="12" a="1"/>
  <c r="X20" i="12" s="1"/>
  <c r="W3" i="12" a="1"/>
  <c r="W3" i="12" s="1"/>
  <c r="W21" i="12" a="1"/>
  <c r="W21" i="12" s="1"/>
  <c r="V20" i="12" a="1"/>
  <c r="V20" i="12" s="1"/>
  <c r="W4" i="12" a="1"/>
  <c r="W4" i="12" s="1"/>
  <c r="W25" i="12" a="1"/>
  <c r="W25" i="12" s="1"/>
  <c r="X24" i="12" a="1"/>
  <c r="X24" i="12" s="1"/>
  <c r="V3" i="12" a="1"/>
  <c r="V3" i="12" s="1"/>
  <c r="X21" i="12" a="1"/>
  <c r="X21" i="12" s="1"/>
  <c r="X4" i="12" a="1"/>
  <c r="X4" i="12" s="1"/>
  <c r="X5" i="12" a="1"/>
  <c r="X5" i="12" s="1"/>
  <c r="X25" i="12" a="1"/>
  <c r="X25" i="12" s="1"/>
  <c r="W7" i="12" a="1"/>
  <c r="W7" i="12" s="1"/>
  <c r="V4" i="12" a="1"/>
  <c r="V4" i="12" s="1"/>
  <c r="W23" i="12" a="1"/>
  <c r="W23" i="12" s="1"/>
  <c r="V23" i="12" a="1"/>
  <c r="V23" i="12" s="1"/>
  <c r="V19" i="12" a="1"/>
  <c r="V19" i="12" s="1"/>
  <c r="L5" i="12" a="1"/>
  <c r="L5" i="12" s="1"/>
  <c r="U9" i="12" a="1"/>
  <c r="U9" i="12" s="1"/>
  <c r="M4" i="12" a="1"/>
  <c r="M4" i="12" s="1"/>
  <c r="B9" i="12" a="1"/>
  <c r="B9" i="12" s="1"/>
  <c r="C4" i="12" a="1"/>
  <c r="C4" i="12" s="1"/>
  <c r="J8" i="12" a="1"/>
  <c r="J8" i="12" s="1"/>
  <c r="F4" i="12" a="1"/>
  <c r="F4" i="12" s="1"/>
  <c r="Q3" i="12" a="1"/>
  <c r="Q3" i="12" s="1"/>
  <c r="E5" i="12" a="1"/>
  <c r="E5" i="12" s="1"/>
  <c r="C23" i="12" a="1"/>
  <c r="C23" i="12" s="1"/>
  <c r="T19" i="12" a="1"/>
  <c r="T19" i="12" s="1"/>
  <c r="H20" i="12" a="1"/>
  <c r="H20" i="12" s="1"/>
  <c r="K25" i="12" a="1"/>
  <c r="K25" i="12" s="1"/>
  <c r="I23" i="12" a="1"/>
  <c r="I23" i="12" s="1"/>
  <c r="M20" i="12" a="1"/>
  <c r="M20" i="12" s="1"/>
  <c r="L21" i="12" a="1"/>
  <c r="L21" i="12" s="1"/>
  <c r="L24" i="12" a="1"/>
  <c r="L24" i="12" s="1"/>
  <c r="D21" i="12" a="1"/>
  <c r="D21" i="12" s="1"/>
  <c r="J7" i="12" a="1"/>
  <c r="J7" i="12" s="1"/>
  <c r="C19" i="12" a="1"/>
  <c r="C19" i="12" s="1"/>
  <c r="O7" i="12" a="1"/>
  <c r="O7" i="12" s="1"/>
  <c r="I3" i="12" a="1"/>
  <c r="I3" i="12" s="1"/>
  <c r="U8" i="12" a="1"/>
  <c r="U8" i="12" s="1"/>
  <c r="G5" i="12" a="1"/>
  <c r="G5" i="12" s="1"/>
  <c r="K4" i="12" a="1"/>
  <c r="K4" i="12" s="1"/>
  <c r="T3" i="12" a="1"/>
  <c r="T3" i="12" s="1"/>
  <c r="O4" i="12" a="1"/>
  <c r="O4" i="12" s="1"/>
  <c r="P4" i="12" a="1"/>
  <c r="P4" i="12" s="1"/>
  <c r="H3" i="12" a="1"/>
  <c r="H3" i="12" s="1"/>
  <c r="S23" i="12" a="1"/>
  <c r="S23" i="12" s="1"/>
  <c r="E24" i="12" a="1"/>
  <c r="E24" i="12" s="1"/>
  <c r="R20" i="12" a="1"/>
  <c r="R20" i="12" s="1"/>
  <c r="L19" i="12" a="1"/>
  <c r="L19" i="12" s="1"/>
  <c r="I21" i="12" a="1"/>
  <c r="I21" i="12" s="1"/>
  <c r="J21" i="12" a="1"/>
  <c r="J21" i="12" s="1"/>
  <c r="U23" i="12" a="1"/>
  <c r="U23" i="12" s="1"/>
  <c r="T23" i="12" a="1"/>
  <c r="T23" i="12" s="1"/>
  <c r="T21" i="12" a="1"/>
  <c r="T21" i="12" s="1"/>
  <c r="N20" i="12" a="1"/>
  <c r="N20" i="12" s="1"/>
  <c r="C24" i="12" a="1"/>
  <c r="C24" i="12" s="1"/>
  <c r="H19" i="12" a="1"/>
  <c r="H19" i="12" s="1"/>
  <c r="K9" i="12" a="1"/>
  <c r="K9" i="12" s="1"/>
  <c r="E20" i="12" a="1"/>
  <c r="E20" i="12" s="1"/>
  <c r="J5" i="12" a="1"/>
  <c r="J5" i="12" s="1"/>
  <c r="H4" i="12" a="1"/>
  <c r="H4" i="12" s="1"/>
  <c r="H9" i="12" a="1"/>
  <c r="H9" i="12" s="1"/>
  <c r="K5" i="12" a="1"/>
  <c r="K5" i="12" s="1"/>
  <c r="G8" i="12" a="1"/>
  <c r="G8" i="12" s="1"/>
  <c r="D7" i="12" a="1"/>
  <c r="D7" i="12" s="1"/>
  <c r="N8" i="12" a="1"/>
  <c r="N8" i="12" s="1"/>
  <c r="R7" i="12" a="1"/>
  <c r="R7" i="12" s="1"/>
  <c r="K7" i="12" a="1"/>
  <c r="K7" i="12" s="1"/>
  <c r="Q23" i="12" a="1"/>
  <c r="Q23" i="12" s="1"/>
  <c r="P20" i="12" a="1"/>
  <c r="P20" i="12" s="1"/>
  <c r="H24" i="12" a="1"/>
  <c r="H24" i="12" s="1"/>
  <c r="K19" i="12" a="1"/>
  <c r="K19" i="12" s="1"/>
  <c r="R25" i="12" a="1"/>
  <c r="R25" i="12" s="1"/>
  <c r="P21" i="12" a="1"/>
  <c r="P21" i="12" s="1"/>
  <c r="D19" i="12" a="1"/>
  <c r="D19" i="12" s="1"/>
  <c r="B24" i="12" a="1"/>
  <c r="B24" i="12" s="1"/>
  <c r="B25" i="12" a="1"/>
  <c r="B25" i="12" s="1"/>
  <c r="E7" i="12" a="1"/>
  <c r="E7" i="12" s="1"/>
  <c r="R23" i="12" a="1"/>
  <c r="R23" i="12" s="1"/>
  <c r="C9" i="12" a="1"/>
  <c r="C9" i="12" s="1"/>
  <c r="L8" i="12" a="1"/>
  <c r="L8" i="12" s="1"/>
  <c r="F3" i="12" a="1"/>
  <c r="F3" i="12" s="1"/>
  <c r="S3" i="12" a="1"/>
  <c r="S3" i="12" s="1"/>
  <c r="S4" i="12" a="1"/>
  <c r="S4" i="12" s="1"/>
  <c r="L7" i="12" a="1"/>
  <c r="L7" i="12" s="1"/>
  <c r="O9" i="12" a="1"/>
  <c r="O9" i="12" s="1"/>
  <c r="K8" i="12" a="1"/>
  <c r="K8" i="12" s="1"/>
  <c r="U4" i="12" a="1"/>
  <c r="U4" i="12" s="1"/>
  <c r="J3" i="12" a="1"/>
  <c r="J3" i="12" s="1"/>
  <c r="E21" i="12" a="1"/>
  <c r="E21" i="12" s="1"/>
  <c r="U25" i="12" a="1"/>
  <c r="U25" i="12" s="1"/>
  <c r="F19" i="12" a="1"/>
  <c r="F19" i="12" s="1"/>
  <c r="O25" i="12" a="1"/>
  <c r="O25" i="12" s="1"/>
  <c r="R24" i="12" a="1"/>
  <c r="R24" i="12" s="1"/>
  <c r="Q24" i="12" a="1"/>
  <c r="Q24" i="12" s="1"/>
  <c r="M23" i="12" a="1"/>
  <c r="M23" i="12" s="1"/>
  <c r="H23" i="12" a="1"/>
  <c r="H23" i="12" s="1"/>
  <c r="O20" i="12" a="1"/>
  <c r="O20" i="12" s="1"/>
  <c r="P25" i="12" a="1"/>
  <c r="P25" i="12" s="1"/>
  <c r="I19" i="12" a="1"/>
  <c r="I19" i="12" s="1"/>
  <c r="O5" i="12" a="1"/>
  <c r="O5" i="12" s="1"/>
  <c r="E9" i="12" a="1"/>
  <c r="E9" i="12" s="1"/>
  <c r="F8" i="12" a="1"/>
  <c r="F8" i="12" s="1"/>
  <c r="S9" i="12" a="1"/>
  <c r="S9" i="12" s="1"/>
  <c r="R8" i="12" a="1"/>
  <c r="R8" i="12" s="1"/>
  <c r="J4" i="12" a="1"/>
  <c r="J4" i="12" s="1"/>
  <c r="T5" i="12" a="1"/>
  <c r="T5" i="12" s="1"/>
  <c r="B8" i="12" a="1"/>
  <c r="B8" i="12" s="1"/>
  <c r="T8" i="12" a="1"/>
  <c r="T8" i="12" s="1"/>
  <c r="P5" i="12" a="1"/>
  <c r="P5" i="12" s="1"/>
  <c r="G20" i="12" a="1"/>
  <c r="G20" i="12" s="1"/>
  <c r="J19" i="12" a="1"/>
  <c r="J19" i="12" s="1"/>
  <c r="P24" i="12" a="1"/>
  <c r="P24" i="12" s="1"/>
  <c r="L23" i="12" a="1"/>
  <c r="L23" i="12" s="1"/>
  <c r="C20" i="12" a="1"/>
  <c r="C20" i="12" s="1"/>
  <c r="U20" i="12" a="1"/>
  <c r="U20" i="12" s="1"/>
  <c r="F9" i="12" a="1"/>
  <c r="F9" i="12" s="1"/>
  <c r="N25" i="12" a="1"/>
  <c r="N25" i="12" s="1"/>
  <c r="C21" i="12" a="1"/>
  <c r="C21" i="12" s="1"/>
  <c r="M5" i="12" a="1"/>
  <c r="M5" i="12" s="1"/>
  <c r="N7" i="12" a="1"/>
  <c r="N7" i="12" s="1"/>
  <c r="N5" i="12" a="1"/>
  <c r="N5" i="12" s="1"/>
  <c r="M3" i="12" a="1"/>
  <c r="M3" i="12" s="1"/>
  <c r="L3" i="12" a="1"/>
  <c r="L3" i="12" s="1"/>
  <c r="D9" i="12" a="1"/>
  <c r="D9" i="12" s="1"/>
  <c r="H7" i="12" a="1"/>
  <c r="H7" i="12" s="1"/>
  <c r="N9" i="12" a="1"/>
  <c r="N9" i="12" s="1"/>
  <c r="R9" i="12" a="1"/>
  <c r="R9" i="12" s="1"/>
  <c r="M25" i="12" a="1"/>
  <c r="M25" i="12" s="1"/>
  <c r="U21" i="12" a="1"/>
  <c r="U21" i="12" s="1"/>
  <c r="G24" i="12" a="1"/>
  <c r="G24" i="12" s="1"/>
  <c r="G19" i="12" a="1"/>
  <c r="G19" i="12" s="1"/>
  <c r="Q19" i="12" a="1"/>
  <c r="Q19" i="12" s="1"/>
  <c r="G21" i="12" a="1"/>
  <c r="G21" i="12" s="1"/>
  <c r="E19" i="12" a="1"/>
  <c r="E19" i="12" s="1"/>
  <c r="D20" i="12" a="1"/>
  <c r="D20" i="12" s="1"/>
  <c r="L4" i="12" a="1"/>
  <c r="L4" i="12" s="1"/>
  <c r="G25" i="12" a="1"/>
  <c r="G25" i="12" s="1"/>
  <c r="K21" i="12" a="1"/>
  <c r="K21" i="12" s="1"/>
  <c r="B5" i="12" a="1"/>
  <c r="B5" i="12" s="1"/>
  <c r="B7" i="12" a="1"/>
  <c r="B7" i="12" s="1"/>
  <c r="H8" i="12" a="1"/>
  <c r="H8" i="12" s="1"/>
  <c r="G4" i="12" a="1"/>
  <c r="G4" i="12" s="1"/>
  <c r="S8" i="12" a="1"/>
  <c r="S8" i="12" s="1"/>
  <c r="D4" i="12" a="1"/>
  <c r="D4" i="12" s="1"/>
  <c r="C3" i="12" a="1"/>
  <c r="C3" i="12" s="1"/>
  <c r="P8" i="12" a="1"/>
  <c r="P8" i="12" s="1"/>
  <c r="T9" i="12" a="1"/>
  <c r="T9" i="12" s="1"/>
  <c r="D23" i="12" a="1"/>
  <c r="D23" i="12" s="1"/>
  <c r="M19" i="12" a="1"/>
  <c r="M19" i="12" s="1"/>
  <c r="Q25" i="12" a="1"/>
  <c r="Q25" i="12" s="1"/>
  <c r="I25" i="12" a="1"/>
  <c r="I25" i="12" s="1"/>
  <c r="F21" i="12" a="1"/>
  <c r="F21" i="12" s="1"/>
  <c r="B23" i="12" a="1"/>
  <c r="B23" i="12" s="1"/>
  <c r="P7" i="12" a="1"/>
  <c r="P7" i="12" s="1"/>
  <c r="F7" i="12" a="1"/>
  <c r="F7" i="12" s="1"/>
  <c r="S24" i="12" a="1"/>
  <c r="S24" i="12" s="1"/>
  <c r="B3" i="12" a="1"/>
  <c r="B3" i="12" s="1"/>
  <c r="Q5" i="12" a="1"/>
  <c r="Q5" i="12" s="1"/>
  <c r="Q7" i="12" a="1"/>
  <c r="Q7" i="12" s="1"/>
  <c r="U7" i="12" a="1"/>
  <c r="U7" i="12" s="1"/>
  <c r="J9" i="12" a="1"/>
  <c r="J9" i="12" s="1"/>
  <c r="S7" i="12" a="1"/>
  <c r="S7" i="12" s="1"/>
  <c r="E4" i="12" a="1"/>
  <c r="E4" i="12" s="1"/>
  <c r="U3" i="12" a="1"/>
  <c r="U3" i="12" s="1"/>
  <c r="C8" i="12" a="1"/>
  <c r="C8" i="12" s="1"/>
  <c r="E25" i="12" a="1"/>
  <c r="E25" i="12" s="1"/>
  <c r="J25" i="12" a="1"/>
  <c r="J25" i="12" s="1"/>
  <c r="B21" i="12" a="1"/>
  <c r="B21" i="12" s="1"/>
  <c r="R21" i="12" a="1"/>
  <c r="R21" i="12" s="1"/>
  <c r="N21" i="12" a="1"/>
  <c r="N21" i="12" s="1"/>
  <c r="R19" i="12" a="1"/>
  <c r="R19" i="12" s="1"/>
  <c r="O24" i="12" a="1"/>
  <c r="O24" i="12" s="1"/>
  <c r="J20" i="12" a="1"/>
  <c r="J20" i="12" s="1"/>
  <c r="P9" i="12" a="1"/>
  <c r="P9" i="12" s="1"/>
  <c r="D25" i="12" a="1"/>
  <c r="D25" i="12" s="1"/>
  <c r="I8" i="12" a="1"/>
  <c r="I8" i="12" s="1"/>
  <c r="U24" i="12" a="1"/>
  <c r="U24" i="12" s="1"/>
  <c r="G3" i="12" a="1"/>
  <c r="G3" i="12" s="1"/>
  <c r="I9" i="12" a="1"/>
  <c r="I9" i="12" s="1"/>
  <c r="H5" i="12" a="1"/>
  <c r="H5" i="12" s="1"/>
  <c r="R4" i="12" a="1"/>
  <c r="R4" i="12" s="1"/>
  <c r="N3" i="12" a="1"/>
  <c r="N3" i="12" s="1"/>
  <c r="P3" i="12" a="1"/>
  <c r="P3" i="12" s="1"/>
  <c r="E8" i="12" a="1"/>
  <c r="E8" i="12" s="1"/>
  <c r="C7" i="12" a="1"/>
  <c r="C7" i="12" s="1"/>
  <c r="M9" i="12" a="1"/>
  <c r="M9" i="12" s="1"/>
  <c r="D24" i="12" a="1"/>
  <c r="D24" i="12" s="1"/>
  <c r="S21" i="12" a="1"/>
  <c r="S21" i="12" s="1"/>
  <c r="I24" i="12" a="1"/>
  <c r="I24" i="12" s="1"/>
  <c r="H21" i="12" a="1"/>
  <c r="H21" i="12" s="1"/>
  <c r="C25" i="12" a="1"/>
  <c r="C25" i="12" s="1"/>
  <c r="B20" i="12" a="1"/>
  <c r="B20" i="12" s="1"/>
  <c r="K23" i="12" a="1"/>
  <c r="K23" i="12" s="1"/>
  <c r="P19" i="12" a="1"/>
  <c r="P19" i="12" s="1"/>
  <c r="T25" i="12" a="1"/>
  <c r="T25" i="12" s="1"/>
  <c r="B19" i="12" a="1"/>
  <c r="B19" i="12" s="1"/>
  <c r="H25" i="12" a="1"/>
  <c r="H25" i="12" s="1"/>
  <c r="I7" i="12" a="1"/>
  <c r="I7" i="12" s="1"/>
  <c r="Q21" i="12" a="1"/>
  <c r="Q21" i="12" s="1"/>
  <c r="P23" i="12" a="1"/>
  <c r="P23" i="12" s="1"/>
  <c r="C5" i="12" a="1"/>
  <c r="C5" i="12" s="1"/>
  <c r="R3" i="12" a="1"/>
  <c r="R3" i="12" s="1"/>
  <c r="I4" i="12" a="1"/>
  <c r="I4" i="12" s="1"/>
  <c r="R5" i="12" a="1"/>
  <c r="R5" i="12" s="1"/>
  <c r="L9" i="12" a="1"/>
  <c r="L9" i="12" s="1"/>
  <c r="N4" i="12" a="1"/>
  <c r="N4" i="12" s="1"/>
  <c r="E3" i="12" a="1"/>
  <c r="E3" i="12" s="1"/>
  <c r="K24" i="12" a="1"/>
  <c r="K24" i="12" s="1"/>
  <c r="O23" i="12" a="1"/>
  <c r="O23" i="12" s="1"/>
  <c r="G7" i="12" a="1"/>
  <c r="G7" i="12" s="1"/>
  <c r="N24" i="12" a="1"/>
  <c r="N24" i="12" s="1"/>
  <c r="M7" i="12" a="1"/>
  <c r="M7" i="12" s="1"/>
  <c r="D3" i="12" a="1"/>
  <c r="D3" i="12" s="1"/>
  <c r="S5" i="12" a="1"/>
  <c r="S5" i="12" s="1"/>
  <c r="G9" i="12" a="1"/>
  <c r="G9" i="12" s="1"/>
  <c r="F5" i="12" a="1"/>
  <c r="F5" i="12" s="1"/>
  <c r="D8" i="12" a="1"/>
  <c r="D8" i="12" s="1"/>
  <c r="K3" i="12" a="1"/>
  <c r="K3" i="12" s="1"/>
  <c r="T7" i="12" a="1"/>
  <c r="T7" i="12" s="1"/>
  <c r="M24" i="12" a="1"/>
  <c r="M24" i="12" s="1"/>
  <c r="O19" i="12" a="1"/>
  <c r="O19" i="12" s="1"/>
  <c r="N23" i="12" a="1"/>
  <c r="N23" i="12" s="1"/>
  <c r="G23" i="12" a="1"/>
  <c r="G23" i="12" s="1"/>
  <c r="O21" i="12" a="1"/>
  <c r="O21" i="12" s="1"/>
  <c r="F24" i="12" a="1"/>
  <c r="F24" i="12" s="1"/>
  <c r="F20" i="12" a="1"/>
  <c r="F20" i="12" s="1"/>
  <c r="T24" i="12" a="1"/>
  <c r="T24" i="12" s="1"/>
  <c r="S19" i="12" a="1"/>
  <c r="S19" i="12" s="1"/>
  <c r="N19" i="12" a="1"/>
  <c r="N19" i="12" s="1"/>
  <c r="F23" i="12" a="1"/>
  <c r="F23" i="12" s="1"/>
  <c r="Q8" i="12" a="1"/>
  <c r="Q8" i="12" s="1"/>
  <c r="B4" i="12" a="1"/>
  <c r="B4" i="12" s="1"/>
  <c r="F25" i="12" a="1"/>
  <c r="F25" i="12" s="1"/>
  <c r="Q9" i="12" a="1"/>
  <c r="Q9" i="12" s="1"/>
  <c r="Q4" i="12" a="1"/>
  <c r="Q4" i="12" s="1"/>
  <c r="I5" i="12" a="1"/>
  <c r="I5" i="12" s="1"/>
  <c r="D5" i="12" a="1"/>
  <c r="D5" i="12" s="1"/>
  <c r="O8" i="12" a="1"/>
  <c r="O8" i="12" s="1"/>
  <c r="U5" i="12" a="1"/>
  <c r="U5" i="12" s="1"/>
  <c r="O3" i="12" a="1"/>
  <c r="O3" i="12" s="1"/>
  <c r="M8" i="12" a="1"/>
  <c r="M8" i="12" s="1"/>
  <c r="I20" i="12" a="1"/>
  <c r="I20" i="12" s="1"/>
  <c r="U19" i="12" a="1"/>
  <c r="U19" i="12" s="1"/>
  <c r="K20" i="12" a="1"/>
  <c r="K20" i="12" s="1"/>
  <c r="M21" i="12" a="1"/>
  <c r="M21" i="12" s="1"/>
  <c r="E23" i="12" a="1"/>
  <c r="E23" i="12" s="1"/>
  <c r="J23" i="12" a="1"/>
  <c r="J23" i="12" s="1"/>
  <c r="L20" i="12" a="1"/>
  <c r="L20" i="12" s="1"/>
  <c r="L25" i="12" a="1"/>
  <c r="L25" i="12" s="1"/>
  <c r="Q20" i="12" a="1"/>
  <c r="Q20" i="12" s="1"/>
  <c r="S20" i="12" a="1"/>
  <c r="S20" i="12" s="1"/>
  <c r="J24" i="12" a="1"/>
  <c r="J24" i="12" s="1"/>
  <c r="T4" i="12" a="1"/>
  <c r="T4" i="12" s="1"/>
  <c r="T20" i="12" a="1"/>
  <c r="T20" i="12" s="1"/>
  <c r="S25" i="12" a="1"/>
  <c r="S25" i="12" s="1"/>
  <c r="BN103" i="6"/>
  <c r="BE103" i="6"/>
  <c r="BK103" i="6"/>
  <c r="B3" i="10" a="1"/>
  <c r="B3" i="10" s="1"/>
  <c r="M8" i="9" a="1"/>
  <c r="M8" i="9" s="1"/>
  <c r="G8" i="9" a="1"/>
  <c r="G8" i="9" s="1"/>
  <c r="P8" i="9" a="1"/>
  <c r="P8" i="9" s="1"/>
  <c r="L8" i="9" a="1"/>
  <c r="L8" i="9" s="1"/>
  <c r="AD8" i="9" a="1"/>
  <c r="AD8" i="9" s="1"/>
  <c r="H8" i="9" a="1"/>
  <c r="H8" i="9" s="1"/>
  <c r="S8" i="9" a="1"/>
  <c r="S8" i="9" s="1"/>
  <c r="T8" i="9" a="1"/>
  <c r="T8" i="9" s="1"/>
  <c r="Y8" i="9" a="1"/>
  <c r="Y8" i="9" s="1"/>
  <c r="E8" i="9" a="1"/>
  <c r="E8" i="9" s="1"/>
  <c r="V8" i="9" a="1"/>
  <c r="V8" i="9" s="1"/>
  <c r="AB8" i="9" a="1"/>
  <c r="AB8" i="9" s="1"/>
  <c r="F8" i="9" a="1"/>
  <c r="F8" i="9" s="1"/>
  <c r="C8" i="9" a="1"/>
  <c r="C8" i="9" s="1"/>
  <c r="I8" i="9" a="1"/>
  <c r="I8" i="9" s="1"/>
  <c r="R8" i="9" a="1"/>
  <c r="R8" i="9" s="1"/>
  <c r="X8" i="9" a="1"/>
  <c r="X8" i="9" s="1"/>
  <c r="AC8" i="9" a="1"/>
  <c r="AC8" i="9" s="1"/>
  <c r="AF8" i="9" a="1"/>
  <c r="AF8" i="9" s="1"/>
  <c r="N8" i="9" a="1"/>
  <c r="N8" i="9" s="1"/>
  <c r="U8" i="9" a="1"/>
  <c r="U8" i="9" s="1"/>
  <c r="AA8" i="9" a="1"/>
  <c r="AA8" i="9" s="1"/>
  <c r="Z8" i="9" a="1"/>
  <c r="Z8" i="9" s="1"/>
  <c r="O8" i="9" a="1"/>
  <c r="O8" i="9" s="1"/>
  <c r="K8" i="9" a="1"/>
  <c r="K8" i="9" s="1"/>
  <c r="D8" i="9" a="1"/>
  <c r="D8" i="9" s="1"/>
  <c r="B8" i="9" a="1"/>
  <c r="B8" i="9" s="1"/>
  <c r="AE8" i="9" a="1"/>
  <c r="AE8" i="9" s="1"/>
  <c r="Q8" i="9" a="1"/>
  <c r="Q8" i="9" s="1"/>
  <c r="J8" i="9" a="1"/>
  <c r="J8" i="9" s="1"/>
  <c r="W8" i="9" a="1"/>
  <c r="W8" i="9" s="1"/>
  <c r="W5" i="10" a="1"/>
  <c r="W5" i="10" s="1"/>
  <c r="W4" i="10" a="1"/>
  <c r="W4" i="10" s="1"/>
  <c r="N5" i="10" a="1"/>
  <c r="N5" i="10" s="1"/>
  <c r="F5" i="10" a="1"/>
  <c r="F5" i="10" s="1"/>
  <c r="P6" i="10" a="1"/>
  <c r="P6" i="10" s="1"/>
  <c r="W6" i="10" a="1"/>
  <c r="W6" i="10" s="1"/>
  <c r="K3" i="10" a="1"/>
  <c r="K3" i="10" s="1"/>
  <c r="E4" i="10" a="1"/>
  <c r="E4" i="10" s="1"/>
  <c r="Q7" i="10" a="1"/>
  <c r="Q7" i="10" s="1"/>
  <c r="D3" i="10" a="1"/>
  <c r="D3" i="10" s="1"/>
  <c r="C7" i="10" a="1"/>
  <c r="C7" i="10" s="1"/>
  <c r="R3" i="10" a="1"/>
  <c r="R3" i="10" s="1"/>
  <c r="D4" i="10" a="1"/>
  <c r="D4" i="10" s="1"/>
  <c r="R5" i="10" a="1"/>
  <c r="R5" i="10" s="1"/>
  <c r="E7" i="10" a="1"/>
  <c r="E7" i="10" s="1"/>
  <c r="L3" i="10" a="1"/>
  <c r="L3" i="10" s="1"/>
  <c r="T6" i="10" a="1"/>
  <c r="T6" i="10" s="1"/>
  <c r="V7" i="10" a="1"/>
  <c r="V7" i="10" s="1"/>
  <c r="M3" i="10" a="1"/>
  <c r="M3" i="10" s="1"/>
  <c r="P4" i="10" a="1"/>
  <c r="P4" i="10" s="1"/>
  <c r="O4" i="10" a="1"/>
  <c r="O4" i="10" s="1"/>
  <c r="H5" i="10" a="1"/>
  <c r="H5" i="10" s="1"/>
  <c r="J3" i="10" a="1"/>
  <c r="J3" i="10" s="1"/>
  <c r="I5" i="10" a="1"/>
  <c r="I5" i="10" s="1"/>
  <c r="N3" i="10" a="1"/>
  <c r="N3" i="10" s="1"/>
  <c r="H4" i="10" a="1"/>
  <c r="H4" i="10" s="1"/>
  <c r="W3" i="10" a="1"/>
  <c r="W3" i="10" s="1"/>
  <c r="J6" i="10" a="1"/>
  <c r="J6" i="10" s="1"/>
  <c r="E3" i="10" a="1"/>
  <c r="E3" i="10" s="1"/>
  <c r="F7" i="10" a="1"/>
  <c r="F7" i="10" s="1"/>
  <c r="E5" i="10" a="1"/>
  <c r="E5" i="10" s="1"/>
  <c r="L7" i="10" a="1"/>
  <c r="L7" i="10" s="1"/>
  <c r="O6" i="10" a="1"/>
  <c r="O6" i="10" s="1"/>
  <c r="B6" i="10" a="1"/>
  <c r="B6" i="10" s="1"/>
  <c r="C5" i="10" a="1"/>
  <c r="C5" i="10" s="1"/>
  <c r="D5" i="10" a="1"/>
  <c r="D5" i="10" s="1"/>
  <c r="R6" i="10" a="1"/>
  <c r="R6" i="10" s="1"/>
  <c r="G6" i="10" a="1"/>
  <c r="G6" i="10" s="1"/>
  <c r="B5" i="10" a="1"/>
  <c r="B5" i="10" s="1"/>
  <c r="Q5" i="10" a="1"/>
  <c r="Q5" i="10" s="1"/>
  <c r="T5" i="10" a="1"/>
  <c r="T5" i="10" s="1"/>
  <c r="D7" i="10" a="1"/>
  <c r="D7" i="10" s="1"/>
  <c r="S5" i="10" a="1"/>
  <c r="S5" i="10" s="1"/>
  <c r="I6" i="10" a="1"/>
  <c r="I6" i="10" s="1"/>
  <c r="V3" i="10" a="1"/>
  <c r="V3" i="10" s="1"/>
  <c r="D6" i="10" a="1"/>
  <c r="D6" i="10" s="1"/>
  <c r="O3" i="10" a="1"/>
  <c r="O3" i="10" s="1"/>
  <c r="J4" i="10" a="1"/>
  <c r="J4" i="10" s="1"/>
  <c r="F3" i="10" a="1"/>
  <c r="F3" i="10" s="1"/>
  <c r="W7" i="10" a="1"/>
  <c r="W7" i="10" s="1"/>
  <c r="S3" i="10" a="1"/>
  <c r="S3" i="10" s="1"/>
  <c r="K5" i="10" a="1"/>
  <c r="K5" i="10" s="1"/>
  <c r="M7" i="10" a="1"/>
  <c r="M7" i="10" s="1"/>
  <c r="M5" i="10" a="1"/>
  <c r="M5" i="10" s="1"/>
  <c r="N7" i="10" a="1"/>
  <c r="N7" i="10" s="1"/>
  <c r="Q3" i="10" a="1"/>
  <c r="Q3" i="10" s="1"/>
  <c r="K6" i="10" a="1"/>
  <c r="K6" i="10" s="1"/>
  <c r="O7" i="10" a="1"/>
  <c r="O7" i="10" s="1"/>
  <c r="P3" i="10" a="1"/>
  <c r="P3" i="10" s="1"/>
  <c r="B4" i="10" a="1"/>
  <c r="B4" i="10" s="1"/>
  <c r="L5" i="10" a="1"/>
  <c r="L5" i="10" s="1"/>
  <c r="I3" i="10" a="1"/>
  <c r="I3" i="10" s="1"/>
  <c r="L6" i="10" a="1"/>
  <c r="L6" i="10" s="1"/>
  <c r="H7" i="10" a="1"/>
  <c r="H7" i="10" s="1"/>
  <c r="P5" i="10" a="1"/>
  <c r="P5" i="10" s="1"/>
  <c r="U4" i="10" a="1"/>
  <c r="U4" i="10" s="1"/>
  <c r="B7" i="10" a="1"/>
  <c r="B7" i="10" s="1"/>
  <c r="I7" i="10" a="1"/>
  <c r="I7" i="10" s="1"/>
  <c r="H3" i="10" a="1"/>
  <c r="H3" i="10" s="1"/>
  <c r="U5" i="10" a="1"/>
  <c r="U5" i="10" s="1"/>
  <c r="R7" i="10" a="1"/>
  <c r="R7" i="10" s="1"/>
  <c r="G3" i="10" a="1"/>
  <c r="G3" i="10" s="1"/>
  <c r="M6" i="10" a="1"/>
  <c r="M6" i="10" s="1"/>
  <c r="C3" i="10" a="1"/>
  <c r="C3" i="10" s="1"/>
  <c r="S6" i="10" a="1"/>
  <c r="S6" i="10" s="1"/>
  <c r="G5" i="10" a="1"/>
  <c r="G5" i="10" s="1"/>
  <c r="J5" i="10" a="1"/>
  <c r="J5" i="10" s="1"/>
  <c r="C4" i="10" a="1"/>
  <c r="C4" i="10" s="1"/>
  <c r="C6" i="10" a="1"/>
  <c r="C6" i="10" s="1"/>
  <c r="G7" i="10" a="1"/>
  <c r="G7" i="10" s="1"/>
  <c r="J7" i="10" a="1"/>
  <c r="J7" i="10" s="1"/>
  <c r="K7" i="10" a="1"/>
  <c r="K7" i="10" s="1"/>
  <c r="I4" i="10" a="1"/>
  <c r="I4" i="10" s="1"/>
  <c r="G4" i="10" a="1"/>
  <c r="G4" i="10" s="1"/>
  <c r="L4" i="10" a="1"/>
  <c r="L4" i="10" s="1"/>
  <c r="Q4" i="10" a="1"/>
  <c r="Q4" i="10" s="1"/>
  <c r="F4" i="10" a="1"/>
  <c r="F4" i="10" s="1"/>
  <c r="S4" i="10" a="1"/>
  <c r="S4" i="10" s="1"/>
  <c r="U7" i="10" a="1"/>
  <c r="U7" i="10" s="1"/>
  <c r="V5" i="10" a="1"/>
  <c r="V5" i="10" s="1"/>
  <c r="E6" i="10" a="1"/>
  <c r="E6" i="10" s="1"/>
  <c r="T4" i="10" a="1"/>
  <c r="T4" i="10" s="1"/>
  <c r="H6" i="10" a="1"/>
  <c r="H6" i="10" s="1"/>
  <c r="N6" i="10" a="1"/>
  <c r="N6" i="10" s="1"/>
  <c r="S7" i="10" a="1"/>
  <c r="S7" i="10" s="1"/>
  <c r="U3" i="10" a="1"/>
  <c r="U3" i="10" s="1"/>
  <c r="M4" i="10" a="1"/>
  <c r="M4" i="10" s="1"/>
  <c r="T3" i="10" a="1"/>
  <c r="T3" i="10" s="1"/>
  <c r="F6" i="10" a="1"/>
  <c r="F6" i="10" s="1"/>
  <c r="N4" i="10" a="1"/>
  <c r="N4" i="10" s="1"/>
  <c r="U6" i="10" a="1"/>
  <c r="U6" i="10" s="1"/>
  <c r="K4" i="10" a="1"/>
  <c r="K4" i="10" s="1"/>
  <c r="O5" i="10" a="1"/>
  <c r="O5" i="10" s="1"/>
  <c r="V4" i="10" a="1"/>
  <c r="V4" i="10" s="1"/>
  <c r="R4" i="10" a="1"/>
  <c r="R4" i="10" s="1"/>
  <c r="T7" i="10" a="1"/>
  <c r="T7" i="10" s="1"/>
  <c r="V6" i="10" a="1"/>
  <c r="V6" i="10" s="1"/>
  <c r="P7" i="10" a="1"/>
  <c r="P7" i="10" s="1"/>
  <c r="Q6" i="10" a="1"/>
  <c r="Q6" i="10" s="1"/>
  <c r="B7" i="9" a="1"/>
  <c r="B7" i="9" s="1"/>
  <c r="X5" i="9" a="1"/>
  <c r="X5" i="9" s="1"/>
  <c r="I7" i="9" a="1"/>
  <c r="I7" i="9" s="1"/>
  <c r="Q4" i="9" a="1"/>
  <c r="Q4" i="9" s="1"/>
  <c r="J4" i="9" a="1"/>
  <c r="J4" i="9" s="1"/>
  <c r="Y7" i="9" a="1"/>
  <c r="Y7" i="9" s="1"/>
  <c r="Z3" i="9" a="1"/>
  <c r="Z3" i="9" s="1"/>
  <c r="C3" i="9" a="1"/>
  <c r="C3" i="9" s="1"/>
  <c r="X6" i="9" a="1"/>
  <c r="X6" i="9" s="1"/>
  <c r="K7" i="9" a="1"/>
  <c r="K7" i="9" s="1"/>
  <c r="Y6" i="9" a="1"/>
  <c r="Y6" i="9" s="1"/>
  <c r="X7" i="9" a="1"/>
  <c r="X7" i="9" s="1"/>
  <c r="T3" i="9" a="1"/>
  <c r="T3" i="9" s="1"/>
  <c r="D7" i="9" a="1"/>
  <c r="D7" i="9" s="1"/>
  <c r="L4" i="9" a="1"/>
  <c r="L4" i="9" s="1"/>
  <c r="L5" i="9" a="1"/>
  <c r="L5" i="9" s="1"/>
  <c r="D4" i="9" a="1"/>
  <c r="D4" i="9" s="1"/>
  <c r="Y3" i="9" a="1"/>
  <c r="Y3" i="9" s="1"/>
  <c r="Q6" i="9" a="1"/>
  <c r="Q6" i="9" s="1"/>
  <c r="AC4" i="9" a="1"/>
  <c r="AC4" i="9" s="1"/>
  <c r="AF3" i="9" a="1"/>
  <c r="AF3" i="9" s="1"/>
  <c r="AD4" i="9" a="1"/>
  <c r="AD4" i="9" s="1"/>
  <c r="R5" i="9" a="1"/>
  <c r="R5" i="9" s="1"/>
  <c r="D6" i="9" a="1"/>
  <c r="D6" i="9" s="1"/>
  <c r="AD7" i="9" a="1"/>
  <c r="AD7" i="9" s="1"/>
  <c r="O6" i="9" a="1"/>
  <c r="O6" i="9" s="1"/>
  <c r="E6" i="9" a="1"/>
  <c r="E6" i="9" s="1"/>
  <c r="AC7" i="9" a="1"/>
  <c r="AC7" i="9" s="1"/>
  <c r="R4" i="9" a="1"/>
  <c r="R4" i="9" s="1"/>
  <c r="Q7" i="9" a="1"/>
  <c r="Q7" i="9" s="1"/>
  <c r="B3" i="9" a="1"/>
  <c r="B3" i="9" s="1"/>
  <c r="AF7" i="9" a="1"/>
  <c r="AF7" i="9" s="1"/>
  <c r="G4" i="9" a="1"/>
  <c r="G4" i="9" s="1"/>
  <c r="Z6" i="9" a="1"/>
  <c r="Z6" i="9" s="1"/>
  <c r="B5" i="9" a="1"/>
  <c r="B5" i="9" s="1"/>
  <c r="W6" i="9" a="1"/>
  <c r="W6" i="9" s="1"/>
  <c r="M3" i="9" a="1"/>
  <c r="M3" i="9" s="1"/>
  <c r="L3" i="9" a="1"/>
  <c r="L3" i="9" s="1"/>
  <c r="F3" i="9" a="1"/>
  <c r="F3" i="9" s="1"/>
  <c r="U4" i="9" a="1"/>
  <c r="U4" i="9" s="1"/>
  <c r="AA5" i="9" a="1"/>
  <c r="AA5" i="9" s="1"/>
  <c r="T4" i="9" a="1"/>
  <c r="T4" i="9" s="1"/>
  <c r="F6" i="9" a="1"/>
  <c r="F6" i="9" s="1"/>
  <c r="AB7" i="9" a="1"/>
  <c r="AB7" i="9" s="1"/>
  <c r="Z7" i="9" a="1"/>
  <c r="Z7" i="9" s="1"/>
  <c r="AE4" i="9" a="1"/>
  <c r="AE4" i="9" s="1"/>
  <c r="J5" i="9" a="1"/>
  <c r="J5" i="9" s="1"/>
  <c r="AA6" i="9" a="1"/>
  <c r="AA6" i="9" s="1"/>
  <c r="L7" i="9" a="1"/>
  <c r="L7" i="9" s="1"/>
  <c r="C7" i="9" a="1"/>
  <c r="C7" i="9" s="1"/>
  <c r="C5" i="9" a="1"/>
  <c r="C5" i="9" s="1"/>
  <c r="M5" i="9" a="1"/>
  <c r="M5" i="9" s="1"/>
  <c r="V6" i="9" a="1"/>
  <c r="V6" i="9" s="1"/>
  <c r="F7" i="9" a="1"/>
  <c r="F7" i="9" s="1"/>
  <c r="V7" i="9" a="1"/>
  <c r="V7" i="9" s="1"/>
  <c r="M6" i="9" a="1"/>
  <c r="M6" i="9" s="1"/>
  <c r="W5" i="9" a="1"/>
  <c r="W5" i="9" s="1"/>
  <c r="E5" i="9" a="1"/>
  <c r="E5" i="9" s="1"/>
  <c r="N4" i="9" a="1"/>
  <c r="N4" i="9" s="1"/>
  <c r="C4" i="9" a="1"/>
  <c r="C4" i="9" s="1"/>
  <c r="D5" i="9" a="1"/>
  <c r="D5" i="9" s="1"/>
  <c r="U7" i="9" a="1"/>
  <c r="U7" i="9" s="1"/>
  <c r="S5" i="9" a="1"/>
  <c r="S5" i="9" s="1"/>
  <c r="AA3" i="9" a="1"/>
  <c r="AA3" i="9" s="1"/>
  <c r="N3" i="9" a="1"/>
  <c r="N3" i="9" s="1"/>
  <c r="S6" i="9" a="1"/>
  <c r="S6" i="9" s="1"/>
  <c r="K4" i="9" a="1"/>
  <c r="K4" i="9" s="1"/>
  <c r="S7" i="9" a="1"/>
  <c r="S7" i="9" s="1"/>
  <c r="H7" i="9" a="1"/>
  <c r="H7" i="9" s="1"/>
  <c r="AB3" i="9" a="1"/>
  <c r="AB3" i="9" s="1"/>
  <c r="AF5" i="9" a="1"/>
  <c r="AF5" i="9" s="1"/>
  <c r="AF4" i="9" a="1"/>
  <c r="AF4" i="9" s="1"/>
  <c r="K5" i="9" a="1"/>
  <c r="K5" i="9" s="1"/>
  <c r="H6" i="9" a="1"/>
  <c r="H6" i="9" s="1"/>
  <c r="R3" i="9" a="1"/>
  <c r="R3" i="9" s="1"/>
  <c r="AD5" i="9" a="1"/>
  <c r="AD5" i="9" s="1"/>
  <c r="W7" i="9" a="1"/>
  <c r="W7" i="9" s="1"/>
  <c r="Z5" i="9" a="1"/>
  <c r="Z5" i="9" s="1"/>
  <c r="AD6" i="9" a="1"/>
  <c r="AD6" i="9" s="1"/>
  <c r="W3" i="9" a="1"/>
  <c r="W3" i="9" s="1"/>
  <c r="AC5" i="9" a="1"/>
  <c r="AC5" i="9" s="1"/>
  <c r="F5" i="9" a="1"/>
  <c r="F5" i="9" s="1"/>
  <c r="E4" i="9" a="1"/>
  <c r="E4" i="9" s="1"/>
  <c r="P3" i="9" a="1"/>
  <c r="P3" i="9" s="1"/>
  <c r="AE5" i="9" a="1"/>
  <c r="AE5" i="9" s="1"/>
  <c r="P7" i="9" a="1"/>
  <c r="P7" i="9" s="1"/>
  <c r="G6" i="9" a="1"/>
  <c r="G6" i="9" s="1"/>
  <c r="U6" i="9" a="1"/>
  <c r="U6" i="9" s="1"/>
  <c r="AA7" i="9" a="1"/>
  <c r="AA7" i="9" s="1"/>
  <c r="F4" i="9" a="1"/>
  <c r="F4" i="9" s="1"/>
  <c r="M7" i="9" a="1"/>
  <c r="M7" i="9" s="1"/>
  <c r="I4" i="9" a="1"/>
  <c r="I4" i="9" s="1"/>
  <c r="K6" i="9" a="1"/>
  <c r="K6" i="9" s="1"/>
  <c r="P6" i="9" a="1"/>
  <c r="P6" i="9" s="1"/>
  <c r="AF6" i="9" a="1"/>
  <c r="AF6" i="9" s="1"/>
  <c r="T7" i="9" a="1"/>
  <c r="T7" i="9" s="1"/>
  <c r="P5" i="9" a="1"/>
  <c r="P5" i="9" s="1"/>
  <c r="H3" i="9" a="1"/>
  <c r="H3" i="9" s="1"/>
  <c r="H4" i="9" a="1"/>
  <c r="H4" i="9" s="1"/>
  <c r="Q3" i="9" a="1"/>
  <c r="Q3" i="9" s="1"/>
  <c r="X3" i="9" a="1"/>
  <c r="X3" i="9" s="1"/>
  <c r="V3" i="9" a="1"/>
  <c r="V3" i="9" s="1"/>
  <c r="T6" i="9" a="1"/>
  <c r="T6" i="9" s="1"/>
  <c r="D3" i="9" a="1"/>
  <c r="D3" i="9" s="1"/>
  <c r="G3" i="9" a="1"/>
  <c r="G3" i="9" s="1"/>
  <c r="X4" i="9" a="1"/>
  <c r="X4" i="9" s="1"/>
  <c r="U3" i="9" a="1"/>
  <c r="U3" i="9" s="1"/>
  <c r="AB4" i="9" a="1"/>
  <c r="AB4" i="9" s="1"/>
  <c r="W4" i="9" a="1"/>
  <c r="W4" i="9" s="1"/>
  <c r="B4" i="9" a="1"/>
  <c r="B4" i="9" s="1"/>
  <c r="B6" i="9" a="1"/>
  <c r="B6" i="9" s="1"/>
  <c r="AD3" i="9" a="1"/>
  <c r="AD3" i="9" s="1"/>
  <c r="V4" i="9" a="1"/>
  <c r="V4" i="9" s="1"/>
  <c r="O3" i="9" a="1"/>
  <c r="O3" i="9" s="1"/>
  <c r="S4" i="9" a="1"/>
  <c r="S4" i="9" s="1"/>
  <c r="E3" i="9" a="1"/>
  <c r="E3" i="9" s="1"/>
  <c r="AC3" i="9" a="1"/>
  <c r="AC3" i="9" s="1"/>
  <c r="Z4" i="9" a="1"/>
  <c r="Z4" i="9" s="1"/>
  <c r="E7" i="9" a="1"/>
  <c r="E7" i="9" s="1"/>
  <c r="I6" i="9" a="1"/>
  <c r="I6" i="9" s="1"/>
  <c r="U5" i="9" a="1"/>
  <c r="U5" i="9" s="1"/>
  <c r="O7" i="9" a="1"/>
  <c r="O7" i="9" s="1"/>
  <c r="V5" i="9" a="1"/>
  <c r="V5" i="9" s="1"/>
  <c r="Q5" i="9" a="1"/>
  <c r="Q5" i="9" s="1"/>
  <c r="G7" i="9" a="1"/>
  <c r="G7" i="9" s="1"/>
  <c r="G5" i="9" a="1"/>
  <c r="G5" i="9" s="1"/>
  <c r="AB6" i="9" a="1"/>
  <c r="AB6" i="9" s="1"/>
  <c r="L6" i="9" a="1"/>
  <c r="L6" i="9" s="1"/>
  <c r="AC6" i="9" a="1"/>
  <c r="AC6" i="9" s="1"/>
  <c r="AA4" i="9" a="1"/>
  <c r="AA4" i="9" s="1"/>
  <c r="AE6" i="9" a="1"/>
  <c r="AE6" i="9" s="1"/>
  <c r="Y5" i="9" a="1"/>
  <c r="Y5" i="9" s="1"/>
  <c r="N6" i="9" a="1"/>
  <c r="N6" i="9" s="1"/>
  <c r="J7" i="9" a="1"/>
  <c r="J7" i="9" s="1"/>
  <c r="N5" i="9" a="1"/>
  <c r="N5" i="9" s="1"/>
  <c r="M4" i="9" a="1"/>
  <c r="M4" i="9" s="1"/>
  <c r="S3" i="9" a="1"/>
  <c r="S3" i="9" s="1"/>
  <c r="P4" i="9" a="1"/>
  <c r="P4" i="9" s="1"/>
  <c r="R6" i="9" a="1"/>
  <c r="R6" i="9" s="1"/>
  <c r="K3" i="9" a="1"/>
  <c r="K3" i="9" s="1"/>
  <c r="O4" i="9" a="1"/>
  <c r="O4" i="9" s="1"/>
  <c r="I3" i="9" a="1"/>
  <c r="I3" i="9" s="1"/>
  <c r="J6" i="9" a="1"/>
  <c r="J6" i="9" s="1"/>
  <c r="AE3" i="9" a="1"/>
  <c r="AE3" i="9" s="1"/>
  <c r="J3" i="9" a="1"/>
  <c r="J3" i="9" s="1"/>
  <c r="I5" i="9" a="1"/>
  <c r="I5" i="9" s="1"/>
  <c r="O5" i="9" a="1"/>
  <c r="O5" i="9" s="1"/>
  <c r="T5" i="9" a="1"/>
  <c r="T5" i="9" s="1"/>
  <c r="C6" i="9" a="1"/>
  <c r="C6" i="9" s="1"/>
  <c r="H5" i="9" a="1"/>
  <c r="H5" i="9" s="1"/>
  <c r="Y4" i="9" a="1"/>
  <c r="Y4" i="9" s="1"/>
  <c r="AE7" i="9" a="1"/>
  <c r="AE7" i="9" s="1"/>
  <c r="N7" i="9" a="1"/>
  <c r="N7" i="9" s="1"/>
  <c r="AB5" i="9" a="1"/>
  <c r="AB5" i="9" s="1"/>
  <c r="R7" i="9" a="1"/>
  <c r="R7" i="9" s="1"/>
  <c r="J3" i="8" a="1"/>
  <c r="J3" i="8" s="1"/>
  <c r="N4" i="8" a="1"/>
  <c r="N4" i="8" s="1"/>
  <c r="AF5" i="8" a="1"/>
  <c r="AF5" i="8" s="1"/>
  <c r="AB3" i="8" a="1"/>
  <c r="AB3" i="8" s="1"/>
  <c r="K6" i="8" a="1"/>
  <c r="K6" i="8" s="1"/>
  <c r="AD7" i="8" a="1"/>
  <c r="AD7" i="8" s="1"/>
  <c r="P4" i="8" a="1"/>
  <c r="P4" i="8" s="1"/>
  <c r="C3" i="8" a="1"/>
  <c r="C3" i="8" s="1"/>
  <c r="C5" i="8" a="1"/>
  <c r="C5" i="8" s="1"/>
  <c r="R6" i="8" a="1"/>
  <c r="R6" i="8" s="1"/>
  <c r="B3" i="8" a="1"/>
  <c r="B3" i="8" s="1"/>
  <c r="AG5" i="8" a="1"/>
  <c r="AG5" i="8" s="1"/>
  <c r="I5" i="8" a="1"/>
  <c r="I5" i="8" s="1"/>
  <c r="AH4" i="8" a="1"/>
  <c r="AH4" i="8" s="1"/>
  <c r="AB5" i="8" a="1"/>
  <c r="AB5" i="8" s="1"/>
  <c r="K5" i="8" a="1"/>
  <c r="K5" i="8" s="1"/>
  <c r="I7" i="8" a="1"/>
  <c r="I7" i="8" s="1"/>
  <c r="X6" i="8" a="1"/>
  <c r="X6" i="8" s="1"/>
  <c r="AB4" i="8" a="1"/>
  <c r="AB4" i="8" s="1"/>
  <c r="M3" i="8" a="1"/>
  <c r="M3" i="8" s="1"/>
  <c r="G3" i="8" a="1"/>
  <c r="G3" i="8" s="1"/>
  <c r="O7" i="8" a="1"/>
  <c r="O7" i="8" s="1"/>
  <c r="J4" i="8" a="1"/>
  <c r="J4" i="8" s="1"/>
  <c r="W6" i="8" a="1"/>
  <c r="W6" i="8" s="1"/>
  <c r="S3" i="8" a="1"/>
  <c r="S3" i="8" s="1"/>
  <c r="K4" i="8" a="1"/>
  <c r="K4" i="8" s="1"/>
  <c r="V6" i="8" a="1"/>
  <c r="V6" i="8" s="1"/>
  <c r="D6" i="8" a="1"/>
  <c r="D6" i="8" s="1"/>
  <c r="H5" i="8" a="1"/>
  <c r="H5" i="8" s="1"/>
  <c r="AC6" i="8" a="1"/>
  <c r="AC6" i="8" s="1"/>
  <c r="AA7" i="8" a="1"/>
  <c r="AA7" i="8" s="1"/>
  <c r="U3" i="8" a="1"/>
  <c r="U3" i="8" s="1"/>
  <c r="D5" i="8" a="1"/>
  <c r="D5" i="8" s="1"/>
  <c r="E6" i="8" a="1"/>
  <c r="E6" i="8" s="1"/>
  <c r="AC5" i="8" a="1"/>
  <c r="AC5" i="8" s="1"/>
  <c r="F5" i="8" a="1"/>
  <c r="F5" i="8" s="1"/>
  <c r="V4" i="8" a="1"/>
  <c r="V4" i="8" s="1"/>
  <c r="W4" i="8" a="1"/>
  <c r="W4" i="8" s="1"/>
  <c r="AA5" i="8" a="1"/>
  <c r="AA5" i="8" s="1"/>
  <c r="Q6" i="8" a="1"/>
  <c r="Q6" i="8" s="1"/>
  <c r="V7" i="8" a="1"/>
  <c r="V7" i="8" s="1"/>
  <c r="P5" i="8" a="1"/>
  <c r="P5" i="8" s="1"/>
  <c r="Y3" i="8" a="1"/>
  <c r="Y3" i="8" s="1"/>
  <c r="R3" i="8" a="1"/>
  <c r="R3" i="8" s="1"/>
  <c r="N3" i="8" a="1"/>
  <c r="N3" i="8" s="1"/>
  <c r="AG7" i="8" a="1"/>
  <c r="AG7" i="8" s="1"/>
  <c r="O4" i="8" a="1"/>
  <c r="O4" i="8" s="1"/>
  <c r="AF6" i="8" a="1"/>
  <c r="AF6" i="8" s="1"/>
  <c r="L5" i="8" a="1"/>
  <c r="L5" i="8" s="1"/>
  <c r="S7" i="8" a="1"/>
  <c r="S7" i="8" s="1"/>
  <c r="P7" i="8" a="1"/>
  <c r="P7" i="8" s="1"/>
  <c r="AA3" i="8" a="1"/>
  <c r="AA3" i="8" s="1"/>
  <c r="AA6" i="8" a="1"/>
  <c r="AA6" i="8" s="1"/>
  <c r="F7" i="8" a="1"/>
  <c r="F7" i="8" s="1"/>
  <c r="C6" i="8" a="1"/>
  <c r="C6" i="8" s="1"/>
  <c r="N7" i="8" a="1"/>
  <c r="N7" i="8" s="1"/>
  <c r="X3" i="8" a="1"/>
  <c r="X3" i="8" s="1"/>
  <c r="Q7" i="8" a="1"/>
  <c r="Q7" i="8" s="1"/>
  <c r="T5" i="8" a="1"/>
  <c r="T5" i="8" s="1"/>
  <c r="M7" i="8" a="1"/>
  <c r="M7" i="8" s="1"/>
  <c r="W5" i="8" a="1"/>
  <c r="W5" i="8" s="1"/>
  <c r="V3" i="8" a="1"/>
  <c r="V3" i="8" s="1"/>
  <c r="Z3" i="8" a="1"/>
  <c r="Z3" i="8" s="1"/>
  <c r="AD3" i="8" a="1"/>
  <c r="AD3" i="8" s="1"/>
  <c r="AH7" i="8" a="1"/>
  <c r="AH7" i="8" s="1"/>
  <c r="Q3" i="8" a="1"/>
  <c r="Q3" i="8" s="1"/>
  <c r="H7" i="8" a="1"/>
  <c r="H7" i="8" s="1"/>
  <c r="R4" i="8" a="1"/>
  <c r="R4" i="8" s="1"/>
  <c r="L3" i="8" a="1"/>
  <c r="L3" i="8" s="1"/>
  <c r="F3" i="8" a="1"/>
  <c r="F3" i="8" s="1"/>
  <c r="O5" i="8" a="1"/>
  <c r="O5" i="8" s="1"/>
  <c r="G6" i="8" a="1"/>
  <c r="G6" i="8" s="1"/>
  <c r="L7" i="8" a="1"/>
  <c r="L7" i="8" s="1"/>
  <c r="H3" i="8" a="1"/>
  <c r="H3" i="8" s="1"/>
  <c r="AC3" i="8" a="1"/>
  <c r="AC3" i="8" s="1"/>
  <c r="Y7" i="8" a="1"/>
  <c r="Y7" i="8" s="1"/>
  <c r="C7" i="8" a="1"/>
  <c r="C7" i="8" s="1"/>
  <c r="T3" i="8" a="1"/>
  <c r="T3" i="8" s="1"/>
  <c r="AA4" i="8" a="1"/>
  <c r="AA4" i="8" s="1"/>
  <c r="K3" i="8" a="1"/>
  <c r="K3" i="8" s="1"/>
  <c r="U5" i="8" a="1"/>
  <c r="U5" i="8" s="1"/>
  <c r="AE5" i="8" a="1"/>
  <c r="AE5" i="8" s="1"/>
  <c r="Z5" i="8" a="1"/>
  <c r="Z5" i="8" s="1"/>
  <c r="AC4" i="8" a="1"/>
  <c r="AC4" i="8" s="1"/>
  <c r="I3" i="8" a="1"/>
  <c r="I3" i="8" s="1"/>
  <c r="AG3" i="8" a="1"/>
  <c r="AG3" i="8" s="1"/>
  <c r="E5" i="8" a="1"/>
  <c r="E5" i="8" s="1"/>
  <c r="AF4" i="8" a="1"/>
  <c r="AF4" i="8" s="1"/>
  <c r="B4" i="8" a="1"/>
  <c r="B4" i="8" s="1"/>
  <c r="K7" i="8" a="1"/>
  <c r="K7" i="8" s="1"/>
  <c r="P6" i="8" a="1"/>
  <c r="P6" i="8" s="1"/>
  <c r="R5" i="8" a="1"/>
  <c r="R5" i="8" s="1"/>
  <c r="B6" i="8" a="1"/>
  <c r="B6" i="8" s="1"/>
  <c r="J7" i="8" a="1"/>
  <c r="J7" i="8" s="1"/>
  <c r="M4" i="8" a="1"/>
  <c r="M4" i="8" s="1"/>
  <c r="AF3" i="8" a="1"/>
  <c r="AF3" i="8" s="1"/>
  <c r="W3" i="8" a="1"/>
  <c r="W3" i="8" s="1"/>
  <c r="U7" i="8" a="1"/>
  <c r="U7" i="8" s="1"/>
  <c r="I4" i="8" a="1"/>
  <c r="I4" i="8" s="1"/>
  <c r="E3" i="8" a="1"/>
  <c r="E3" i="8" s="1"/>
  <c r="Q5" i="8" a="1"/>
  <c r="Q5" i="8" s="1"/>
  <c r="M6" i="8" a="1"/>
  <c r="M6" i="8" s="1"/>
  <c r="Z4" i="8" a="1"/>
  <c r="Z4" i="8" s="1"/>
  <c r="Y6" i="8" a="1"/>
  <c r="Y6" i="8" s="1"/>
  <c r="X4" i="8" a="1"/>
  <c r="X4" i="8" s="1"/>
  <c r="J5" i="8" a="1"/>
  <c r="J5" i="8" s="1"/>
  <c r="J6" i="8" a="1"/>
  <c r="J6" i="8" s="1"/>
  <c r="G4" i="8" a="1"/>
  <c r="G4" i="8" s="1"/>
  <c r="S6" i="8" a="1"/>
  <c r="S6" i="8" s="1"/>
  <c r="Z7" i="8" a="1"/>
  <c r="Z7" i="8" s="1"/>
  <c r="X7" i="8" a="1"/>
  <c r="X7" i="8" s="1"/>
  <c r="H6" i="8" a="1"/>
  <c r="H6" i="8" s="1"/>
  <c r="N5" i="8" a="1"/>
  <c r="N5" i="8" s="1"/>
  <c r="T6" i="8" a="1"/>
  <c r="T6" i="8" s="1"/>
  <c r="U4" i="8" a="1"/>
  <c r="U4" i="8" s="1"/>
  <c r="AC7" i="8" a="1"/>
  <c r="AC7" i="8" s="1"/>
  <c r="O3" i="8" a="1"/>
  <c r="O3" i="8" s="1"/>
  <c r="S5" i="8" a="1"/>
  <c r="S5" i="8" s="1"/>
  <c r="AG6" i="8" a="1"/>
  <c r="AG6" i="8" s="1"/>
  <c r="AE7" i="8" a="1"/>
  <c r="AE7" i="8" s="1"/>
  <c r="L4" i="8" a="1"/>
  <c r="L4" i="8" s="1"/>
  <c r="X5" i="8" a="1"/>
  <c r="X5" i="8" s="1"/>
  <c r="G7" i="8" a="1"/>
  <c r="G7" i="8" s="1"/>
  <c r="AE6" i="8" a="1"/>
  <c r="AE6" i="8" s="1"/>
  <c r="V5" i="8" a="1"/>
  <c r="V5" i="8" s="1"/>
  <c r="AH3" i="8" a="1"/>
  <c r="AH3" i="8" s="1"/>
  <c r="T7" i="8" a="1"/>
  <c r="T7" i="8" s="1"/>
  <c r="S4" i="8" a="1"/>
  <c r="S4" i="8" s="1"/>
  <c r="E7" i="8" a="1"/>
  <c r="E7" i="8" s="1"/>
  <c r="AF7" i="8" a="1"/>
  <c r="AF7" i="8" s="1"/>
  <c r="F6" i="8" a="1"/>
  <c r="F6" i="8" s="1"/>
  <c r="AD4" i="8" a="1"/>
  <c r="AD4" i="8" s="1"/>
  <c r="B5" i="8" a="1"/>
  <c r="B5" i="8" s="1"/>
  <c r="AH6" i="8" a="1"/>
  <c r="AH6" i="8" s="1"/>
  <c r="AG4" i="8" a="1"/>
  <c r="AG4" i="8" s="1"/>
  <c r="AB6" i="8" a="1"/>
  <c r="AB6" i="8" s="1"/>
  <c r="AB7" i="8" a="1"/>
  <c r="AB7" i="8" s="1"/>
  <c r="U6" i="8" a="1"/>
  <c r="U6" i="8" s="1"/>
  <c r="D4" i="8" a="1"/>
  <c r="D4" i="8" s="1"/>
  <c r="Q4" i="8" a="1"/>
  <c r="Q4" i="8" s="1"/>
  <c r="Y4" i="8" a="1"/>
  <c r="Y4" i="8" s="1"/>
  <c r="C4" i="8" a="1"/>
  <c r="C4" i="8" s="1"/>
  <c r="H4" i="8" a="1"/>
  <c r="H4" i="8" s="1"/>
  <c r="G5" i="8" a="1"/>
  <c r="G5" i="8" s="1"/>
  <c r="N6" i="8" a="1"/>
  <c r="N6" i="8" s="1"/>
  <c r="F4" i="8" a="1"/>
  <c r="F4" i="8" s="1"/>
  <c r="AD6" i="8" a="1"/>
  <c r="AD6" i="8" s="1"/>
  <c r="R7" i="8" a="1"/>
  <c r="R7" i="8" s="1"/>
  <c r="E4" i="8" a="1"/>
  <c r="E4" i="8" s="1"/>
  <c r="L6" i="8" a="1"/>
  <c r="L6" i="8" s="1"/>
  <c r="I6" i="8" a="1"/>
  <c r="I6" i="8" s="1"/>
  <c r="D3" i="8" a="1"/>
  <c r="D3" i="8" s="1"/>
  <c r="AH5" i="8" a="1"/>
  <c r="AH5" i="8" s="1"/>
  <c r="P3" i="8" a="1"/>
  <c r="P3" i="8" s="1"/>
  <c r="W7" i="8" a="1"/>
  <c r="W7" i="8" s="1"/>
  <c r="AE4" i="8" a="1"/>
  <c r="AE4" i="8" s="1"/>
  <c r="B7" i="8" a="1"/>
  <c r="B7" i="8" s="1"/>
  <c r="M5" i="8" a="1"/>
  <c r="M5" i="8" s="1"/>
  <c r="Z6" i="8" a="1"/>
  <c r="Z6" i="8" s="1"/>
  <c r="D7" i="8" a="1"/>
  <c r="D7" i="8" s="1"/>
  <c r="O6" i="8" a="1"/>
  <c r="O6" i="8" s="1"/>
  <c r="AE3" i="8" a="1"/>
  <c r="AE3" i="8" s="1"/>
  <c r="T4" i="8" a="1"/>
  <c r="T4" i="8" s="1"/>
  <c r="AD5" i="8" a="1"/>
  <c r="AD5" i="8" s="1"/>
  <c r="Y5" i="8" a="1"/>
  <c r="Y5" i="8" s="1"/>
  <c r="AX103" i="6"/>
  <c r="Z19" i="12" l="1"/>
  <c r="Z6" i="12"/>
  <c r="AB6" i="12" s="1"/>
  <c r="Z21" i="12"/>
  <c r="Z23" i="12"/>
  <c r="Z20" i="12"/>
  <c r="Z25" i="12"/>
  <c r="Z24" i="12"/>
  <c r="Z7" i="12"/>
  <c r="AB7" i="12" s="1"/>
  <c r="Z5" i="12"/>
  <c r="AB5" i="12" s="1"/>
  <c r="Z3" i="12"/>
  <c r="AB3" i="12" s="1"/>
  <c r="Z9" i="12"/>
  <c r="AB9" i="12" s="1"/>
  <c r="Z4" i="12"/>
  <c r="AB4" i="12" s="1"/>
  <c r="Z8" i="12"/>
  <c r="AB8" i="12" s="1"/>
  <c r="C10" i="9"/>
  <c r="L10" i="9"/>
  <c r="L12" i="9" s="1"/>
  <c r="Y10" i="9"/>
  <c r="Y12" i="9" s="1"/>
  <c r="AE10" i="9"/>
  <c r="AE12" i="9" s="1"/>
  <c r="F10" i="9"/>
  <c r="F12" i="9" s="1"/>
  <c r="D10" i="9"/>
  <c r="D12" i="9" s="1"/>
  <c r="AB10" i="9"/>
  <c r="AB12" i="9" s="1"/>
  <c r="K10" i="9"/>
  <c r="K12" i="9" s="1"/>
  <c r="V10" i="9"/>
  <c r="V12" i="9" s="1"/>
  <c r="M10" i="9"/>
  <c r="M12" i="9" s="1"/>
  <c r="E10" i="9"/>
  <c r="E12" i="9" s="1"/>
  <c r="T10" i="9"/>
  <c r="T12" i="9" s="1"/>
  <c r="Z10" i="9"/>
  <c r="Z12" i="9" s="1"/>
  <c r="AA10" i="9"/>
  <c r="AA12" i="9" s="1"/>
  <c r="S10" i="9"/>
  <c r="S12" i="9" s="1"/>
  <c r="N10" i="9"/>
  <c r="N12" i="9" s="1"/>
  <c r="H10" i="9"/>
  <c r="H12" i="9" s="1"/>
  <c r="U10" i="9"/>
  <c r="U12" i="9" s="1"/>
  <c r="AF10" i="9"/>
  <c r="AF12" i="9" s="1"/>
  <c r="AD10" i="9"/>
  <c r="AD12" i="9" s="1"/>
  <c r="B10" i="9"/>
  <c r="AC10" i="9"/>
  <c r="AC12" i="9" s="1"/>
  <c r="O10" i="9"/>
  <c r="O12" i="9" s="1"/>
  <c r="W10" i="9"/>
  <c r="W12" i="9" s="1"/>
  <c r="X10" i="9"/>
  <c r="X12" i="9" s="1"/>
  <c r="P10" i="9"/>
  <c r="P12" i="9" s="1"/>
  <c r="J10" i="9"/>
  <c r="J12" i="9" s="1"/>
  <c r="R10" i="9"/>
  <c r="R12" i="9" s="1"/>
  <c r="G10" i="9"/>
  <c r="G12" i="9" s="1"/>
  <c r="Q10" i="9"/>
  <c r="Q12" i="9" s="1"/>
  <c r="I10" i="9"/>
  <c r="I12" i="9" s="1"/>
  <c r="Y8" i="8"/>
  <c r="B8" i="8"/>
  <c r="M10" i="10"/>
  <c r="M12" i="10" s="1"/>
  <c r="T10" i="10"/>
  <c r="T12" i="10" s="1"/>
  <c r="T8" i="8"/>
  <c r="AF8" i="8"/>
  <c r="V8" i="8"/>
  <c r="D8" i="8"/>
  <c r="D10" i="10"/>
  <c r="D12" i="10" s="1"/>
  <c r="J10" i="10"/>
  <c r="J12" i="10" s="1"/>
  <c r="U10" i="10"/>
  <c r="U12" i="10" s="1"/>
  <c r="L8" i="8"/>
  <c r="AB8" i="8"/>
  <c r="E8" i="8"/>
  <c r="P8" i="8"/>
  <c r="H10" i="10"/>
  <c r="H12" i="10" s="1"/>
  <c r="N10" i="10"/>
  <c r="N12" i="10" s="1"/>
  <c r="AH8" i="8"/>
  <c r="M8" i="8"/>
  <c r="H8" i="8"/>
  <c r="L10" i="10"/>
  <c r="L12" i="10" s="1"/>
  <c r="B10" i="10"/>
  <c r="F10" i="10"/>
  <c r="F12" i="10" s="1"/>
  <c r="AD8" i="8"/>
  <c r="W8" i="8"/>
  <c r="AC8" i="8"/>
  <c r="N8" i="8"/>
  <c r="P10" i="10"/>
  <c r="P12" i="10" s="1"/>
  <c r="C8" i="8"/>
  <c r="C10" i="10"/>
  <c r="C12" i="10" s="1"/>
  <c r="R10" i="10"/>
  <c r="R12" i="10" s="1"/>
  <c r="K10" i="10"/>
  <c r="K12" i="10" s="1"/>
  <c r="Q8" i="8"/>
  <c r="J8" i="8"/>
  <c r="AA8" i="8"/>
  <c r="S10" i="10"/>
  <c r="S12" i="10" s="1"/>
  <c r="F8" i="8"/>
  <c r="O8" i="8"/>
  <c r="W10" i="10"/>
  <c r="W12" i="10" s="1"/>
  <c r="E10" i="10"/>
  <c r="E12" i="10" s="1"/>
  <c r="I8" i="8"/>
  <c r="G8" i="8"/>
  <c r="V10" i="10"/>
  <c r="V12" i="10" s="1"/>
  <c r="G10" i="10"/>
  <c r="G12" i="10" s="1"/>
  <c r="K8" i="8"/>
  <c r="AG8" i="8"/>
  <c r="Z8" i="8"/>
  <c r="O10" i="10"/>
  <c r="O12" i="10" s="1"/>
  <c r="Q10" i="10"/>
  <c r="Q12" i="10" s="1"/>
  <c r="U8" i="8"/>
  <c r="R8" i="8"/>
  <c r="S8" i="8"/>
  <c r="AE8" i="8"/>
  <c r="I10" i="10"/>
  <c r="I12" i="10" s="1"/>
  <c r="X8" i="8"/>
  <c r="AB19" i="12" l="1"/>
  <c r="Z14" i="12"/>
  <c r="Z30" i="12"/>
  <c r="B12" i="10"/>
  <c r="X12" i="10" s="1"/>
  <c r="C4" i="11"/>
  <c r="D4" i="11" s="1"/>
  <c r="B12" i="9"/>
  <c r="AG12" i="9" s="1"/>
  <c r="C2" i="11"/>
  <c r="D2" i="11" s="1"/>
  <c r="AF10" i="8"/>
  <c r="AF27" i="8"/>
  <c r="AF29" i="8" s="1"/>
  <c r="T10" i="8"/>
  <c r="T27" i="8"/>
  <c r="T29" i="8" s="1"/>
  <c r="Z10" i="8"/>
  <c r="Z27" i="8"/>
  <c r="Z29" i="8" s="1"/>
  <c r="AG10" i="8"/>
  <c r="AG27" i="8"/>
  <c r="AG29" i="8" s="1"/>
  <c r="AB10" i="8"/>
  <c r="AB27" i="8"/>
  <c r="AB29" i="8" s="1"/>
  <c r="AE10" i="8"/>
  <c r="AE27" i="8"/>
  <c r="AE29" i="8" s="1"/>
  <c r="AA10" i="8"/>
  <c r="AA27" i="8"/>
  <c r="AA29" i="8" s="1"/>
  <c r="AC10" i="8"/>
  <c r="AC27" i="8"/>
  <c r="AC29" i="8" s="1"/>
  <c r="L10" i="8"/>
  <c r="L27" i="8"/>
  <c r="L29" i="8" s="1"/>
  <c r="W10" i="8"/>
  <c r="W27" i="8"/>
  <c r="W29" i="8" s="1"/>
  <c r="AD10" i="8"/>
  <c r="AD27" i="8"/>
  <c r="AD29" i="8" s="1"/>
  <c r="G10" i="8"/>
  <c r="G27" i="8"/>
  <c r="G29" i="8" s="1"/>
  <c r="S10" i="8"/>
  <c r="S27" i="8"/>
  <c r="S29" i="8" s="1"/>
  <c r="D10" i="8"/>
  <c r="D27" i="8"/>
  <c r="D29" i="8" s="1"/>
  <c r="V10" i="8"/>
  <c r="V27" i="8"/>
  <c r="V29" i="8" s="1"/>
  <c r="O10" i="8"/>
  <c r="O27" i="8"/>
  <c r="O29" i="8" s="1"/>
  <c r="F10" i="8"/>
  <c r="F27" i="8"/>
  <c r="F29" i="8" s="1"/>
  <c r="M10" i="8"/>
  <c r="M27" i="8"/>
  <c r="M29" i="8" s="1"/>
  <c r="K10" i="8"/>
  <c r="K27" i="8"/>
  <c r="K29" i="8" s="1"/>
  <c r="AH10" i="8"/>
  <c r="AH27" i="8"/>
  <c r="AH29" i="8" s="1"/>
  <c r="J10" i="8"/>
  <c r="J27" i="8"/>
  <c r="J29" i="8" s="1"/>
  <c r="Q10" i="8"/>
  <c r="Q27" i="8"/>
  <c r="Q29" i="8" s="1"/>
  <c r="I10" i="8"/>
  <c r="I27" i="8"/>
  <c r="I29" i="8" s="1"/>
  <c r="R10" i="8"/>
  <c r="R27" i="8"/>
  <c r="R29" i="8" s="1"/>
  <c r="U10" i="8"/>
  <c r="U27" i="8"/>
  <c r="U29" i="8" s="1"/>
  <c r="P10" i="8"/>
  <c r="P27" i="8"/>
  <c r="P29" i="8" s="1"/>
  <c r="E10" i="8"/>
  <c r="E27" i="8"/>
  <c r="C10" i="8"/>
  <c r="C27" i="8"/>
  <c r="C29" i="8" s="1"/>
  <c r="N10" i="8"/>
  <c r="N27" i="8"/>
  <c r="N29" i="8" s="1"/>
  <c r="B10" i="8"/>
  <c r="B27" i="8"/>
  <c r="X10" i="8"/>
  <c r="X27" i="8"/>
  <c r="X29" i="8" s="1"/>
  <c r="H10" i="8"/>
  <c r="H27" i="8"/>
  <c r="H29" i="8" s="1"/>
  <c r="Y10" i="8"/>
  <c r="Y27" i="8"/>
  <c r="Y29" i="8" s="1"/>
  <c r="B29" i="8" l="1"/>
  <c r="C3" i="11"/>
  <c r="D3" i="11" s="1"/>
  <c r="D5" i="11" s="1"/>
  <c r="E29" i="8"/>
  <c r="E32" i="8"/>
  <c r="E33" i="8" s="1"/>
  <c r="AI29" i="8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tc={B3877BE5-49C6-4E8B-BA12-68D73438BC68}</author>
    <author>tc={141B6D4C-5057-441F-A0CF-9FB051E72830}</author>
  </authors>
  <commentList>
    <comment ref="C4" authorId="0" shapeId="0" xr:uid="{B3877BE5-49C6-4E8B-BA12-68D73438BC68}">
      <text>
        <t>[Threaded comment]
Your version of Excel allows you to read this threaded comment; however, any edits to it will get removed if the file is opened in a newer version of Excel. Learn more: https://go.microsoft.com/fwlink/?linkid=870924
Comment:
    Estimation based on budget sheet</t>
      </text>
    </comment>
    <comment ref="N20" authorId="1" shapeId="0" xr:uid="{141B6D4C-5057-441F-A0CF-9FB051E72830}">
      <text>
        <t>[Threaded comment]
Your version of Excel allows you to read this threaded comment; however, any edits to it will get removed if the file is opened in a newer version of Excel. Learn more: https://go.microsoft.com/fwlink/?linkid=870924
Comment:
    June-Dec = Estimate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tc={A6B58F41-789C-4FF7-B190-A01726D1CF2A}</author>
    <author>tc={ECE5301E-5B9F-4C3B-97CE-8A0174CDAC9A}</author>
  </authors>
  <commentList>
    <comment ref="H19" authorId="0" shapeId="0" xr:uid="{A6B58F41-789C-4FF7-B190-A01726D1CF2A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Adjusted for full year salary</t>
      </text>
    </comment>
    <comment ref="G50" authorId="1" shapeId="0" xr:uid="{ECE5301E-5B9F-4C3B-97CE-8A0174CDAC9A}">
      <text>
        <t>[Threaded comment]
Your version of Excel allows you to read this threaded comment; however, any edits to it will get removed if the file is opened in a newer version of Excel. Learn more: https://go.microsoft.com/fwlink/?linkid=870924
Comment:
    Adjusted for full year salary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<sst xmlns="http://schemas.openxmlformats.org/spreadsheetml/2006/main" count="1636" uniqueCount="221">
  <si>
    <t>Grant</t>
  </si>
  <si>
    <t>Req'd Grant Hours/Month</t>
  </si>
  <si>
    <t>Grant Rate</t>
  </si>
  <si>
    <t>Employee</t>
  </si>
  <si>
    <t>Rising Tides</t>
  </si>
  <si>
    <t>Daniel Longo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</si>
  <si>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</si>
  <si>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</si>
  <si>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</si>
  <si>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</si>
  <si>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</si>
  <si>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</si>
  <si>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</si>
  <si>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</si>
  <si>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</si>
  <si>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</si>
  <si>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</si>
  <si>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</si>
  <si>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Hybrid</t>
  </si>
  <si>
    <t>Digital Engineering</t>
  </si>
  <si>
    <t>Brittany Engel</t>
  </si>
  <si>
    <t>Drive AM</t>
  </si>
  <si>
    <t>LTM</t>
  </si>
  <si>
    <t>Dylan Negro</t>
  </si>
  <si>
    <t>Xjet</t>
  </si>
  <si>
    <t>Dean Jaric</t>
  </si>
  <si>
    <t>YBI</t>
  </si>
  <si>
    <t>Stephanie Gaffney</t>
  </si>
  <si>
    <t>Rory Kale</t>
  </si>
  <si>
    <t>Jessica Sprowl</t>
  </si>
  <si>
    <t>Fringe</t>
  </si>
  <si>
    <t>Actual Rate</t>
  </si>
  <si>
    <t>Rate Burdened?</t>
  </si>
  <si>
    <t>No</t>
  </si>
  <si>
    <t>Yes</t>
  </si>
  <si>
    <t>2025 Annual/2080</t>
  </si>
  <si>
    <t>Allocation w/Actual Burdened</t>
  </si>
  <si>
    <t>Budget Amount</t>
  </si>
  <si>
    <t>Budget - Actual</t>
  </si>
  <si>
    <t>Hours/Month</t>
  </si>
  <si>
    <t>Budget Rate</t>
  </si>
  <si>
    <t>RATE</t>
  </si>
  <si>
    <t>FRINGE</t>
  </si>
  <si>
    <t>FB RATE</t>
  </si>
  <si>
    <t>Brittany</t>
  </si>
  <si>
    <t>Rory</t>
  </si>
  <si>
    <t>Stephanie</t>
  </si>
  <si>
    <t>Dean</t>
  </si>
  <si>
    <t>Dylan</t>
  </si>
  <si>
    <t>Budget</t>
  </si>
  <si>
    <t>Monthly Amt</t>
  </si>
  <si>
    <t>Total Actual</t>
  </si>
  <si>
    <t>Total Budget</t>
  </si>
  <si>
    <t>Variance</t>
  </si>
  <si>
    <t>Gaffney</t>
  </si>
  <si>
    <t>Jaric</t>
  </si>
  <si>
    <t>Longo</t>
  </si>
  <si>
    <t>Ewing</t>
  </si>
  <si>
    <t>Sprowl</t>
  </si>
  <si>
    <t>Work Days</t>
  </si>
  <si>
    <t>Hours Per Month</t>
  </si>
  <si>
    <t>Negro</t>
  </si>
  <si>
    <t>Barb</t>
  </si>
  <si>
    <t>Tom</t>
  </si>
  <si>
    <t xml:space="preserve"> </t>
  </si>
  <si>
    <t>Name</t>
  </si>
  <si>
    <t>Month</t>
  </si>
  <si>
    <t>Year</t>
  </si>
  <si>
    <t>Hourly Rate</t>
  </si>
  <si>
    <t>Fringe Rate</t>
  </si>
  <si>
    <t>FB Rate</t>
  </si>
  <si>
    <t>Hours Available</t>
  </si>
  <si>
    <t>Avail Hours</t>
  </si>
  <si>
    <t>Annual Salaries</t>
  </si>
  <si>
    <t>Kale</t>
  </si>
  <si>
    <t>Metzinger</t>
  </si>
  <si>
    <t>Engel</t>
  </si>
  <si>
    <t>Hub</t>
  </si>
  <si>
    <t>TS Hours</t>
  </si>
  <si>
    <t>Allow Hours</t>
  </si>
  <si>
    <t>IIOT</t>
  </si>
  <si>
    <t>Apex</t>
  </si>
  <si>
    <t>DLA</t>
  </si>
  <si>
    <t>Dig Eng M7</t>
  </si>
  <si>
    <t>ADJ TS Hours</t>
  </si>
  <si>
    <t>Adj-Apex</t>
  </si>
  <si>
    <t>Adj-Dig Eng M7</t>
  </si>
  <si>
    <t>Adj-DLA</t>
  </si>
  <si>
    <t>Adj-Drive AM</t>
  </si>
  <si>
    <t>Adj-Hub</t>
  </si>
  <si>
    <t>Adj-Hybrid</t>
  </si>
  <si>
    <t>Adj-IIOT</t>
  </si>
  <si>
    <t>Adj-LTM</t>
  </si>
  <si>
    <t>Adj-NavAir</t>
  </si>
  <si>
    <t>Adj-Rising Tides</t>
  </si>
  <si>
    <t>Adj-Xjet</t>
  </si>
  <si>
    <t>Adj-YBI</t>
  </si>
  <si>
    <t>Actual</t>
  </si>
  <si>
    <t>Total Actual Labor</t>
  </si>
  <si>
    <t>Billed Labor</t>
  </si>
  <si>
    <t>Difference</t>
  </si>
  <si>
    <t>TM Monthly Hr/Rate</t>
  </si>
  <si>
    <t>Billed</t>
  </si>
  <si>
    <t>Consultant</t>
  </si>
  <si>
    <t>Travel</t>
  </si>
  <si>
    <t>ODCs</t>
  </si>
  <si>
    <t>Total Billed</t>
  </si>
  <si>
    <t>X-Apex</t>
  </si>
  <si>
    <t>X-Dig Eng M7</t>
  </si>
  <si>
    <t>X-DLA</t>
  </si>
  <si>
    <t>X-Drive AM</t>
  </si>
  <si>
    <t>X-Hub</t>
  </si>
  <si>
    <t>X-Hybrid</t>
  </si>
  <si>
    <t>X-IIOT</t>
  </si>
  <si>
    <t>X-LTM</t>
  </si>
  <si>
    <t>X-NavAir</t>
  </si>
  <si>
    <t>X-Rising Tides</t>
  </si>
  <si>
    <t>X-Xjet</t>
  </si>
  <si>
    <t>X-YBI</t>
  </si>
  <si>
    <t>Indirect is taken on all of it</t>
  </si>
  <si>
    <t>Indirects on all of it</t>
  </si>
  <si>
    <t>COST SHARE BACK-OUT</t>
  </si>
  <si>
    <t>TOTAL</t>
  </si>
  <si>
    <t>BILLED TO AUGUST</t>
  </si>
  <si>
    <t>Diff</t>
  </si>
  <si>
    <t>AAMEN</t>
  </si>
  <si>
    <t>Adj-AAMEN</t>
  </si>
  <si>
    <t>CDBG</t>
  </si>
  <si>
    <t>Adj-CDBG</t>
  </si>
  <si>
    <t>X-AAMEN</t>
  </si>
  <si>
    <t>X=CDBG</t>
  </si>
  <si>
    <t>NavAir (AM-O)</t>
  </si>
  <si>
    <t>Xjet (AM-O)</t>
  </si>
  <si>
    <t>MBAC</t>
  </si>
  <si>
    <t>Adj-MBAC</t>
  </si>
  <si>
    <t>X-MBAC</t>
  </si>
  <si>
    <t>ESP</t>
  </si>
  <si>
    <t>Adj-ESP</t>
  </si>
  <si>
    <t>X-ESP</t>
  </si>
  <si>
    <t>Adj-AM Other</t>
  </si>
  <si>
    <t>AM Other</t>
  </si>
  <si>
    <t>X-AM Other</t>
  </si>
  <si>
    <t>Youth</t>
  </si>
  <si>
    <t>Adj-Youth</t>
  </si>
  <si>
    <t>X-Youth</t>
  </si>
  <si>
    <t>VGV</t>
  </si>
  <si>
    <t>Adj-VGV</t>
  </si>
  <si>
    <t>X-VGV</t>
  </si>
  <si>
    <t>Fundraising</t>
  </si>
  <si>
    <t>Adj-Fundraising</t>
  </si>
  <si>
    <t>X-Fundraising</t>
  </si>
  <si>
    <t>Alkarein</t>
  </si>
  <si>
    <t>Anderson</t>
  </si>
  <si>
    <t>Baxter</t>
  </si>
  <si>
    <t>Bixel</t>
  </si>
  <si>
    <t>Byers</t>
  </si>
  <si>
    <t>Canton</t>
  </si>
  <si>
    <t>Chunn</t>
  </si>
  <si>
    <t>Davis</t>
  </si>
  <si>
    <t>Dively</t>
  </si>
  <si>
    <t>Dwyer</t>
  </si>
  <si>
    <t>Fiffick</t>
  </si>
  <si>
    <t>Fries</t>
  </si>
  <si>
    <t>Gordon</t>
  </si>
  <si>
    <t>Griffin</t>
  </si>
  <si>
    <t>Hurd</t>
  </si>
  <si>
    <t>Islam</t>
  </si>
  <si>
    <t>Jadue</t>
  </si>
  <si>
    <t>Jafarli</t>
  </si>
  <si>
    <t>Kelly</t>
  </si>
  <si>
    <t>Kummari</t>
  </si>
  <si>
    <t>Lawrence</t>
  </si>
  <si>
    <t>Leonard</t>
  </si>
  <si>
    <t>Micco</t>
  </si>
  <si>
    <t>Moreno</t>
  </si>
  <si>
    <t>Pasha</t>
  </si>
  <si>
    <t>Payich</t>
  </si>
  <si>
    <t>Politsky</t>
  </si>
  <si>
    <t>Precurato</t>
  </si>
  <si>
    <t>Rabenstine</t>
  </si>
  <si>
    <t>Rhoades</t>
  </si>
  <si>
    <t>Roch</t>
  </si>
  <si>
    <t>Ruby</t>
  </si>
  <si>
    <t>Shaulis</t>
  </si>
  <si>
    <t>Strock</t>
  </si>
  <si>
    <t>Taylor</t>
  </si>
  <si>
    <t>Unger</t>
  </si>
  <si>
    <t>Wheeler</t>
  </si>
  <si>
    <t>Row Labels</t>
  </si>
  <si>
    <t>Grand Total</t>
  </si>
  <si>
    <t>Sum of AAMEN</t>
  </si>
  <si>
    <t>Sum of AM Other</t>
  </si>
  <si>
    <t>Sum of Apex</t>
  </si>
  <si>
    <t>Sum of Dig Eng M7</t>
  </si>
  <si>
    <t>Sum of DLA</t>
  </si>
  <si>
    <t>Sum of Drive AM</t>
  </si>
  <si>
    <t>Sum of ESP</t>
  </si>
  <si>
    <t>Sum of Fundraising</t>
  </si>
  <si>
    <t>Sum of Hub</t>
  </si>
  <si>
    <t>Sum of Hybrid</t>
  </si>
  <si>
    <t>Sum of IIOT</t>
  </si>
  <si>
    <t>Sum of LTM</t>
  </si>
  <si>
    <t>Sum of MBAC</t>
  </si>
  <si>
    <t>Sum of NavAir (AM-O)</t>
  </si>
  <si>
    <t>Sum of Rising Tides</t>
  </si>
  <si>
    <t>Sum of VGV</t>
  </si>
  <si>
    <t>Sum of Xjet (AM-O)</t>
  </si>
  <si>
    <t>Sum of Youth</t>
  </si>
  <si>
    <t>Sum of YBI</t>
  </si>
  <si>
    <t>Total</t>
  </si>
  <si>
    <t>2025 Wages</t>
  </si>
  <si>
    <t>JOB SUM:</t>
  </si>
  <si>
    <t>FFP Federal</t>
  </si>
  <si>
    <t>Program</t>
  </si>
  <si>
    <t>Federal</t>
  </si>
  <si>
    <t>Non-Federal</t>
  </si>
  <si>
    <t>Manufacturing Svcs</t>
  </si>
  <si>
    <t>M&amp;A</t>
  </si>
  <si>
    <t>Alkraein</t>
  </si>
  <si>
    <t>5202 Accounting</t>
  </si>
  <si>
    <t xml:space="preserve">5139 Wages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</si>
</sst>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50">
    <xf numFmtId="0" fontId="0" fillId="0" borderId="0" xfId="0"/>
    <xf numFmtId="0" fontId="2" fillId="0" borderId="0" xfId="0" applyFont="1" applyAlignment="1">
      <alignment horizontal="center"/>
    </xf>
    <xf numFmtId="44" fontId="0" fillId="0" borderId="0" xfId="2" applyFont="1"/>
    <xf numFmtId="9" fontId="0" fillId="0" borderId="0" xfId="2" applyNumberFormat="1" applyFont="1"/>
    <xf numFmtId="1" fontId="0" fillId="0" borderId="0" xfId="2" applyNumberFormat="1" applyFont="1"/>
    <xf numFmtId="1" fontId="0" fillId="0" borderId="0" xfId="0" applyNumberFormat="1"/>
    <xf numFmtId="44" fontId="0" fillId="0" borderId="0" xfId="0" applyNumberFormat="1"/>
    <xf numFmtId="43" fontId="0" fillId="0" borderId="0" xfId="1" applyFont="1"/>
    <xf numFmtId="43" fontId="0" fillId="2" borderId="0" xfId="1" applyFont="1" applyFill="1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14" fontId="2" fillId="3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14" fontId="2" fillId="4" borderId="1" xfId="0" applyNumberFormat="1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14" fontId="2" fillId="3" borderId="5" xfId="0" applyNumberFormat="1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14" fontId="2" fillId="4" borderId="5" xfId="0" applyNumberFormat="1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43" fontId="0" fillId="0" borderId="0" xfId="1" applyFont="1" applyAlignment="1">
      <alignment horizontal="center"/>
    </xf>
    <xf numFmtId="44" fontId="0" fillId="5" borderId="2" xfId="2" applyFont="1" applyFill="1" applyBorder="1" applyAlignment="1">
      <alignment horizontal="center"/>
    </xf>
    <xf numFmtId="10" fontId="0" fillId="5" borderId="0" xfId="3" applyNumberFormat="1" applyFont="1" applyFill="1" applyBorder="1" applyAlignment="1">
      <alignment horizontal="center"/>
    </xf>
    <xf numFmtId="44" fontId="0" fillId="5" borderId="0" xfId="0" applyNumberFormat="1" applyFill="1" applyAlignment="1">
      <alignment horizontal="center"/>
    </xf>
    <xf numFmtId="44" fontId="0" fillId="3" borderId="2" xfId="2" applyFont="1" applyFill="1" applyBorder="1" applyAlignment="1">
      <alignment horizontal="center"/>
    </xf>
    <xf numFmtId="10" fontId="0" fillId="3" borderId="0" xfId="3" applyNumberFormat="1" applyFont="1" applyFill="1" applyBorder="1" applyAlignment="1">
      <alignment horizontal="center"/>
    </xf>
    <xf numFmtId="44" fontId="0" fillId="3" borderId="0" xfId="0" applyNumberFormat="1" applyFill="1" applyAlignment="1">
      <alignment horizontal="center"/>
    </xf>
    <xf numFmtId="1" fontId="0" fillId="3" borderId="0" xfId="0" applyNumberFormat="1" applyFill="1" applyAlignment="1">
      <alignment horizontal="center"/>
    </xf>
    <xf numFmtId="43" fontId="0" fillId="3" borderId="0" xfId="0" applyNumberFormat="1" applyFill="1" applyAlignment="1">
      <alignment horizontal="center"/>
    </xf>
    <xf numFmtId="44" fontId="0" fillId="3" borderId="4" xfId="0" applyNumberFormat="1" applyFill="1" applyBorder="1" applyAlignment="1">
      <alignment horizontal="center"/>
    </xf>
    <xf numFmtId="44" fontId="0" fillId="0" borderId="0" xfId="2" applyFont="1" applyAlignment="1">
      <alignment horizontal="center"/>
    </xf>
    <xf numFmtId="43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44" fontId="0" fillId="4" borderId="2" xfId="2" applyFont="1" applyFill="1" applyBorder="1" applyAlignment="1">
      <alignment horizontal="center"/>
    </xf>
    <xf numFmtId="10" fontId="0" fillId="4" borderId="0" xfId="0" applyNumberFormat="1" applyFill="1" applyAlignment="1">
      <alignment horizontal="center"/>
    </xf>
    <xf numFmtId="4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43" fontId="0" fillId="4" borderId="0" xfId="0" applyNumberFormat="1" applyFill="1" applyAlignment="1">
      <alignment horizontal="center"/>
    </xf>
    <xf numFmtId="44" fontId="0" fillId="4" borderId="4" xfId="0" applyNumberForma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14" fontId="2" fillId="6" borderId="1" xfId="0" applyNumberFormat="1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44" fontId="0" fillId="6" borderId="0" xfId="2" applyFont="1" applyFill="1" applyAlignment="1">
      <alignment horizontal="center"/>
    </xf>
    <xf numFmtId="43" fontId="0" fillId="6" borderId="0" xfId="0" applyNumberFormat="1" applyFill="1" applyAlignment="1">
      <alignment horizontal="center"/>
    </xf>
    <xf numFmtId="10" fontId="0" fillId="4" borderId="0" xfId="3" applyNumberFormat="1" applyFont="1" applyFill="1" applyAlignment="1">
      <alignment horizontal="center"/>
    </xf>
    <xf numFmtId="44" fontId="0" fillId="4" borderId="0" xfId="2" applyFont="1" applyFill="1" applyAlignment="1">
      <alignment horizontal="center"/>
    </xf>
    <xf numFmtId="0" fontId="2" fillId="6" borderId="3" xfId="0" applyFont="1" applyFill="1" applyBorder="1" applyAlignment="1">
      <alignment horizontal="center"/>
    </xf>
    <xf numFmtId="10" fontId="0" fillId="6" borderId="0" xfId="0" applyNumberFormat="1" applyFill="1" applyAlignment="1">
      <alignment horizontal="center"/>
    </xf>
    <xf numFmtId="44" fontId="0" fillId="6" borderId="0" xfId="0" applyNumberFormat="1" applyFill="1" applyAlignment="1">
      <alignment horizontal="center"/>
    </xf>
    <xf numFmtId="44" fontId="0" fillId="6" borderId="2" xfId="2" applyFont="1" applyFill="1" applyBorder="1" applyAlignment="1">
      <alignment horizontal="center"/>
    </xf>
    <xf numFmtId="10" fontId="0" fillId="6" borderId="0" xfId="3" applyNumberFormat="1" applyFont="1" applyFill="1" applyBorder="1" applyAlignment="1">
      <alignment horizontal="center"/>
    </xf>
    <xf numFmtId="44" fontId="0" fillId="6" borderId="0" xfId="2" applyFont="1" applyFill="1" applyBorder="1" applyAlignment="1">
      <alignment horizontal="center"/>
    </xf>
    <xf numFmtId="43" fontId="0" fillId="3" borderId="0" xfId="1" applyFont="1" applyFill="1" applyBorder="1" applyAlignment="1">
      <alignment horizontal="center"/>
    </xf>
    <xf numFmtId="43" fontId="0" fillId="3" borderId="4" xfId="1" applyFont="1" applyFill="1" applyBorder="1" applyAlignment="1">
      <alignment horizontal="center"/>
    </xf>
    <xf numFmtId="44" fontId="0" fillId="3" borderId="2" xfId="0" applyNumberFormat="1" applyFill="1" applyBorder="1" applyAlignment="1">
      <alignment horizontal="center"/>
    </xf>
    <xf numFmtId="1" fontId="0" fillId="5" borderId="0" xfId="1" applyNumberFormat="1" applyFont="1" applyFill="1" applyBorder="1" applyAlignment="1">
      <alignment horizontal="center"/>
    </xf>
    <xf numFmtId="1" fontId="0" fillId="5" borderId="0" xfId="0" applyNumberFormat="1" applyFill="1" applyAlignment="1">
      <alignment horizontal="center"/>
    </xf>
    <xf numFmtId="44" fontId="0" fillId="5" borderId="0" xfId="2" applyFont="1" applyFill="1" applyBorder="1" applyAlignment="1">
      <alignment horizontal="center"/>
    </xf>
    <xf numFmtId="10" fontId="0" fillId="0" borderId="0" xfId="0" applyNumberFormat="1" applyAlignment="1">
      <alignment horizontal="center"/>
    </xf>
    <xf numFmtId="44" fontId="0" fillId="0" borderId="0" xfId="0" applyNumberFormat="1" applyAlignment="1">
      <alignment horizontal="center"/>
    </xf>
    <xf numFmtId="0" fontId="2" fillId="0" borderId="0" xfId="0" applyFont="1"/>
    <xf numFmtId="0" fontId="2" fillId="0" borderId="1" xfId="0" applyFont="1" applyBorder="1"/>
    <xf numFmtId="0" fontId="2" fillId="0" borderId="4" xfId="0" applyFont="1" applyBorder="1"/>
    <xf numFmtId="0" fontId="2" fillId="0" borderId="5" xfId="0" applyFont="1" applyBorder="1"/>
    <xf numFmtId="0" fontId="0" fillId="0" borderId="4" xfId="0" applyBorder="1"/>
    <xf numFmtId="0" fontId="2" fillId="0" borderId="2" xfId="0" applyFont="1" applyBorder="1" applyAlignment="1">
      <alignment horizontal="center"/>
    </xf>
    <xf numFmtId="0" fontId="2" fillId="0" borderId="3" xfId="0" applyFont="1" applyBorder="1"/>
    <xf numFmtId="0" fontId="0" fillId="0" borderId="2" xfId="0" applyBorder="1"/>
    <xf numFmtId="10" fontId="0" fillId="0" borderId="0" xfId="3" applyNumberFormat="1" applyFont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3" borderId="0" xfId="0" applyFill="1" applyAlignment="1">
      <alignment horizontal="center"/>
    </xf>
    <xf numFmtId="44" fontId="0" fillId="5" borderId="4" xfId="2" applyFont="1" applyFill="1" applyBorder="1" applyAlignment="1">
      <alignment horizontal="center"/>
    </xf>
    <xf numFmtId="14" fontId="2" fillId="6" borderId="5" xfId="0" applyNumberFormat="1" applyFont="1" applyFill="1" applyBorder="1" applyAlignment="1">
      <alignment horizontal="center"/>
    </xf>
    <xf numFmtId="43" fontId="0" fillId="6" borderId="4" xfId="0" applyNumberFormat="1" applyFill="1" applyBorder="1" applyAlignment="1">
      <alignment horizontal="center"/>
    </xf>
    <xf numFmtId="44" fontId="0" fillId="3" borderId="0" xfId="2" applyFont="1" applyFill="1" applyBorder="1" applyAlignment="1">
      <alignment horizontal="center"/>
    </xf>
    <xf numFmtId="10" fontId="0" fillId="3" borderId="0" xfId="0" applyNumberFormat="1" applyFill="1" applyAlignment="1">
      <alignment horizontal="center"/>
    </xf>
    <xf numFmtId="44" fontId="0" fillId="0" borderId="2" xfId="0" applyNumberFormat="1" applyBorder="1" applyAlignment="1">
      <alignment horizontal="center"/>
    </xf>
    <xf numFmtId="10" fontId="0" fillId="0" borderId="0" xfId="3" applyNumberFormat="1" applyFont="1" applyBorder="1" applyAlignment="1">
      <alignment horizontal="center"/>
    </xf>
    <xf numFmtId="44" fontId="0" fillId="4" borderId="0" xfId="2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44" fontId="0" fillId="0" borderId="4" xfId="0" applyNumberFormat="1" applyBorder="1" applyAlignment="1">
      <alignment horizontal="center"/>
    </xf>
    <xf numFmtId="44" fontId="0" fillId="6" borderId="4" xfId="0" applyNumberFormat="1" applyFill="1" applyBorder="1" applyAlignment="1">
      <alignment horizontal="center"/>
    </xf>
    <xf numFmtId="44" fontId="0" fillId="0" borderId="0" xfId="2" applyFont="1" applyBorder="1" applyAlignment="1">
      <alignment horizontal="center"/>
    </xf>
    <xf numFmtId="10" fontId="2" fillId="0" borderId="4" xfId="0" applyNumberFormat="1" applyFont="1" applyBorder="1" applyAlignment="1">
      <alignment horizontal="center"/>
    </xf>
    <xf numFmtId="10" fontId="2" fillId="0" borderId="5" xfId="0" applyNumberFormat="1" applyFont="1" applyBorder="1" applyAlignment="1">
      <alignment horizontal="center"/>
    </xf>
    <xf numFmtId="0" fontId="0" fillId="0" borderId="3" xfId="0" applyBorder="1"/>
    <xf numFmtId="0" fontId="0" fillId="0" borderId="1" xfId="0" applyBorder="1"/>
    <xf numFmtId="0" fontId="0" fillId="0" borderId="5" xfId="0" applyBorder="1"/>
    <xf numFmtId="0" fontId="2" fillId="0" borderId="8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6" xfId="0" applyBorder="1"/>
    <xf numFmtId="43" fontId="0" fillId="0" borderId="10" xfId="1" applyFont="1" applyBorder="1"/>
    <xf numFmtId="43" fontId="0" fillId="0" borderId="0" xfId="1" applyFont="1" applyBorder="1"/>
    <xf numFmtId="43" fontId="0" fillId="0" borderId="4" xfId="1" applyFont="1" applyBorder="1"/>
    <xf numFmtId="43" fontId="0" fillId="0" borderId="1" xfId="1" applyFont="1" applyBorder="1"/>
    <xf numFmtId="43" fontId="0" fillId="0" borderId="0" xfId="0" applyNumberFormat="1"/>
    <xf numFmtId="10" fontId="0" fillId="0" borderId="0" xfId="3" applyNumberFormat="1" applyFont="1"/>
    <xf numFmtId="2" fontId="0" fillId="0" borderId="0" xfId="0" applyNumberFormat="1"/>
    <xf numFmtId="44" fontId="0" fillId="0" borderId="4" xfId="2" applyFont="1" applyBorder="1"/>
    <xf numFmtId="44" fontId="0" fillId="0" borderId="4" xfId="2" applyFont="1" applyBorder="1" applyAlignment="1">
      <alignment horizontal="center"/>
    </xf>
    <xf numFmtId="0" fontId="2" fillId="0" borderId="10" xfId="0" applyFont="1" applyBorder="1"/>
    <xf numFmtId="43" fontId="2" fillId="0" borderId="10" xfId="0" applyNumberFormat="1" applyFont="1" applyBorder="1"/>
    <xf numFmtId="0" fontId="0" fillId="8" borderId="0" xfId="0" applyFill="1"/>
    <xf numFmtId="43" fontId="0" fillId="0" borderId="0" xfId="1" applyFont="1" applyFill="1" applyAlignment="1">
      <alignment horizontal="center"/>
    </xf>
    <xf numFmtId="43" fontId="0" fillId="0" borderId="2" xfId="1" applyFont="1" applyBorder="1"/>
    <xf numFmtId="43" fontId="0" fillId="0" borderId="2" xfId="0" applyNumberFormat="1" applyBorder="1"/>
    <xf numFmtId="43" fontId="0" fillId="0" borderId="4" xfId="0" applyNumberFormat="1" applyBorder="1"/>
    <xf numFmtId="43" fontId="0" fillId="0" borderId="0" xfId="1" applyFont="1" applyFill="1" applyBorder="1"/>
    <xf numFmtId="43" fontId="0" fillId="0" borderId="4" xfId="1" applyFont="1" applyFill="1" applyBorder="1"/>
    <xf numFmtId="43" fontId="0" fillId="0" borderId="2" xfId="1" applyFont="1" applyFill="1" applyBorder="1"/>
    <xf numFmtId="43" fontId="2" fillId="9" borderId="0" xfId="0" applyNumberFormat="1" applyFont="1" applyFill="1"/>
    <xf numFmtId="44" fontId="2" fillId="9" borderId="0" xfId="2" applyFont="1" applyFill="1"/>
    <xf numFmtId="43" fontId="2" fillId="0" borderId="6" xfId="0" applyNumberFormat="1" applyFont="1" applyBorder="1"/>
    <xf numFmtId="43" fontId="2" fillId="0" borderId="7" xfId="0" applyNumberFormat="1" applyFont="1" applyBorder="1"/>
    <xf numFmtId="0" fontId="2" fillId="0" borderId="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9" borderId="0" xfId="0" applyFill="1"/>
    <xf numFmtId="0" fontId="0" fillId="0" borderId="10" xfId="0" applyBorder="1"/>
    <xf numFmtId="0" fontId="0" fillId="0" borderId="7" xfId="0" applyBorder="1"/>
    <xf numFmtId="43" fontId="0" fillId="0" borderId="0" xfId="1" applyFont="1" applyAlignmen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3" applyFont="1"/>
    <xf numFmtId="0" fontId="2" fillId="0" borderId="0" xfId="0" applyFont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7" borderId="11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6" borderId="2" xfId="0" applyFont="1" applyFill="1" applyBorder="1" applyAlignment="1">
      <alignment horizontal="center"/>
    </xf>
    <xf numFmtId="0" fontId="2" fillId="6" borderId="0" xfId="0" applyFont="1" applyFill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9" borderId="0" xfId="0" applyFont="1" applyFill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Tom metzinger" id="{9D23657C-3317-46A0-AD02-4DD9432097BE}" userId="S::Tom@metzconsultingllc.com::2f8a1ff9-4025-47e8-b852-0d6edf317e63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om metzinger" refreshedDate="46269.558354745372" createdVersion="8" refreshedVersion="8" minRefreshableVersion="3" recordCount="323" xr:uid="{E111E72E-856E-4FBF-A1AC-907ABDBDE7F6}">
  <cacheSource type="worksheet">
    <worksheetSource ref="A1:BR1048576" sheet="Hours Log"/>
  </cacheSource>
  <cacheFields count="70">
    <cacheField name="Name" numFmtId="0">
      <sharedItems containsBlank="1" count="46">
        <s v="Engel"/>
        <s v="Ewing"/>
        <s v="Gaffney"/>
        <s v="Jaric"/>
        <s v="Kale"/>
        <s v="Longo"/>
        <s v="Metzinger"/>
        <s v="Negro"/>
        <s v="Sprowl"/>
        <s v="Anderson"/>
        <s v="Baxter"/>
        <s v="Bixel"/>
        <s v="Byers"/>
        <s v="Canton"/>
        <s v="Chunn"/>
        <s v="Davis"/>
        <s v="Dively"/>
        <s v="Dwyer"/>
        <s v="Fiffick"/>
        <s v="Fries"/>
        <s v="Gordon"/>
        <s v="Griffin"/>
        <s v="Hurd"/>
        <s v="Islam"/>
        <s v="Jadue"/>
        <s v="Jafarli"/>
        <s v="Kelly"/>
        <s v="Kummari"/>
        <s v="Lawrence"/>
        <s v="Leonard"/>
        <s v="Micco"/>
        <s v="Moreno"/>
        <s v="Pasha"/>
        <s v="Payich"/>
        <s v="Politsky"/>
        <s v="Precurato"/>
        <s v="Rabenstine"/>
        <s v="Rhoades"/>
        <s v="Roch"/>
        <s v="Ruby"/>
        <s v="Shaulis"/>
        <s v="Strock"/>
        <s v="Taylor"/>
        <s v="Unger"/>
        <s v="Wheeler"/>
        <m/>
      </sharedItems>
    </cacheField>
    <cacheField name="Month" numFmtId="0">
      <sharedItems containsBlank="1"/>
    </cacheField>
    <cacheField name="Year" numFmtId="0">
      <sharedItems containsString="0" containsBlank="1" containsNumber="1" containsInteger="1" minValue="2023" maxValue="2026" count="5">
        <n v="2024"/>
        <n v="2025"/>
        <n v="2026"/>
        <n v="2023"/>
        <m/>
      </sharedItems>
    </cacheField>
    <cacheField name="Hourly Rate" numFmtId="0">
      <sharedItems containsString="0" containsBlank="1" containsNumber="1" minValue="0" maxValue="100.96153846153847"/>
    </cacheField>
    <cacheField name="Fringe Rate" numFmtId="0">
      <sharedItems containsString="0" containsBlank="1" containsNumber="1" minValue="0" maxValue="0.23630000000000001"/>
    </cacheField>
    <cacheField name="FB Rate" numFmtId="0">
      <sharedItems containsString="0" containsBlank="1" containsNumber="1" minValue="0" maxValue="124.81875000000001"/>
    </cacheField>
    <cacheField name="AAMEN" numFmtId="0">
      <sharedItems containsNonDate="0" containsString="0" containsBlank="1"/>
    </cacheField>
    <cacheField name="AM Other" numFmtId="0">
      <sharedItems containsString="0" containsBlank="1" containsNumber="1" minValue="6" maxValue="35"/>
    </cacheField>
    <cacheField name="Apex" numFmtId="0">
      <sharedItems containsString="0" containsBlank="1" containsNumber="1" minValue="5" maxValue="32.5"/>
    </cacheField>
    <cacheField name="CDBG" numFmtId="0">
      <sharedItems containsNonDate="0" containsString="0" containsBlank="1" count="1">
        <m/>
      </sharedItems>
    </cacheField>
    <cacheField name="Dig Eng M7" numFmtId="0">
      <sharedItems containsString="0" containsBlank="1" containsNumber="1" containsInteger="1" minValue="5" maxValue="79"/>
    </cacheField>
    <cacheField name="DLA" numFmtId="0">
      <sharedItems containsString="0" containsBlank="1" containsNumber="1" minValue="3" maxValue="40"/>
    </cacheField>
    <cacheField name="Drive AM" numFmtId="0">
      <sharedItems containsString="0" containsBlank="1" containsNumber="1" minValue="0" maxValue="184"/>
    </cacheField>
    <cacheField name="ESP" numFmtId="0">
      <sharedItems containsString="0" containsBlank="1" containsNumber="1" minValue="1.26" maxValue="1739.25"/>
    </cacheField>
    <cacheField name="Fundraising" numFmtId="0">
      <sharedItems containsString="0" containsBlank="1" containsNumber="1" minValue="10.52" maxValue="526"/>
    </cacheField>
    <cacheField name="Hub" numFmtId="0">
      <sharedItems containsString="0" containsBlank="1" containsNumber="1" containsInteger="1" minValue="35" maxValue="605"/>
    </cacheField>
    <cacheField name="Hybrid" numFmtId="0">
      <sharedItems containsString="0" containsBlank="1" containsNumber="1" minValue="4" maxValue="110"/>
    </cacheField>
    <cacheField name="IIOT" numFmtId="0">
      <sharedItems containsString="0" containsBlank="1" containsNumber="1" minValue="12" maxValue="98"/>
    </cacheField>
    <cacheField name="LTM" numFmtId="0">
      <sharedItems containsString="0" containsBlank="1" containsNumber="1" minValue="0.5" maxValue="188"/>
    </cacheField>
    <cacheField name="MBAC" numFmtId="0">
      <sharedItems containsString="0" containsBlank="1" containsNumber="1" minValue="0.85" maxValue="100"/>
    </cacheField>
    <cacheField name="NavAir (AM-O)" numFmtId="0">
      <sharedItems containsString="0" containsBlank="1" containsNumber="1" containsInteger="1" minValue="2" maxValue="70"/>
    </cacheField>
    <cacheField name="Rising Tides" numFmtId="0">
      <sharedItems containsString="0" containsBlank="1" containsNumber="1" minValue="0.5" maxValue="184"/>
    </cacheField>
    <cacheField name="VGV" numFmtId="0">
      <sharedItems containsString="0" containsBlank="1" containsNumber="1" minValue="6" maxValue="7.5"/>
    </cacheField>
    <cacheField name="Xjet (AM-O)" numFmtId="0">
      <sharedItems containsString="0" containsBlank="1" containsNumber="1" containsInteger="1" minValue="14" maxValue="88"/>
    </cacheField>
    <cacheField name="Youth" numFmtId="0">
      <sharedItems containsString="0" containsBlank="1" containsNumber="1" minValue="1.625" maxValue="100"/>
    </cacheField>
    <cacheField name="YBI" numFmtId="0">
      <sharedItems containsString="0" containsBlank="1" containsNumber="1" minValue="5" maxValue="1038.5"/>
    </cacheField>
    <cacheField name="TS Hours" numFmtId="0">
      <sharedItems containsString="0" containsBlank="1" containsNumber="1" minValue="0.5" maxValue="2221"/>
    </cacheField>
    <cacheField name="Allow Hours" numFmtId="0">
      <sharedItems containsString="0" containsBlank="1" containsNumber="1" minValue="0.5" maxValue="2080"/>
    </cacheField>
    <cacheField name="Variance" numFmtId="0">
      <sharedItems containsString="0" containsBlank="1" containsNumber="1" minValue="-141" maxValue="115"/>
    </cacheField>
    <cacheField name="Adj-AAMEN" numFmtId="0">
      <sharedItems containsString="0" containsBlank="1" containsNumber="1" containsInteger="1" minValue="0" maxValue="0"/>
    </cacheField>
    <cacheField name="Adj-AM Other" numFmtId="0">
      <sharedItems containsString="0" containsBlank="1" containsNumber="1" minValue="0" maxValue="33.548387096774192"/>
    </cacheField>
    <cacheField name="Adj-Apex" numFmtId="0">
      <sharedItems containsString="0" containsBlank="1" containsNumber="1" minValue="0" maxValue="34.047619047619051"/>
    </cacheField>
    <cacheField name="Adj-CDBG" numFmtId="0">
      <sharedItems containsString="0" containsBlank="1" containsNumber="1" containsInteger="1" minValue="0" maxValue="0"/>
    </cacheField>
    <cacheField name="Adj-Dig Eng M7" numFmtId="0">
      <sharedItems containsString="0" containsBlank="1" containsNumber="1" minValue="0" maxValue="79"/>
    </cacheField>
    <cacheField name="Adj-DLA" numFmtId="0">
      <sharedItems containsString="0" containsBlank="1" containsNumber="1" minValue="0" maxValue="43.190184049079754"/>
    </cacheField>
    <cacheField name="Adj-Drive AM" numFmtId="0">
      <sharedItems containsString="0" containsBlank="1" containsNumber="1" minValue="0" maxValue="184"/>
    </cacheField>
    <cacheField name="Adj-ESP" numFmtId="0">
      <sharedItems containsString="0" containsBlank="1" containsNumber="1" minValue="0" maxValue="1739.25"/>
    </cacheField>
    <cacheField name="Adj-Fundraising" numFmtId="0">
      <sharedItems containsString="0" containsBlank="1" containsNumber="1" minValue="0" maxValue="492.60693381359749"/>
    </cacheField>
    <cacheField name="Adj-Hub" numFmtId="0">
      <sharedItems containsString="0" containsBlank="1" containsNumber="1" minValue="0" maxValue="588.86289190453908"/>
    </cacheField>
    <cacheField name="Adj-Hybrid" numFmtId="0">
      <sharedItems containsString="0" containsBlank="1" containsNumber="1" minValue="0" maxValue="110"/>
    </cacheField>
    <cacheField name="Adj-IIOT" numFmtId="0">
      <sharedItems containsString="0" containsBlank="1" containsNumber="1" minValue="0" maxValue="98"/>
    </cacheField>
    <cacheField name="Adj-LTM" numFmtId="0">
      <sharedItems containsString="0" containsBlank="1" containsNumber="1" minValue="0" maxValue="176.48979591836735"/>
    </cacheField>
    <cacheField name="Adj-MBAC" numFmtId="0">
      <sharedItems containsString="0" containsBlank="1" containsNumber="1" minValue="0" maxValue="100"/>
    </cacheField>
    <cacheField name="Adj-NavAir" numFmtId="0">
      <sharedItems containsString="0" containsBlank="1" containsNumber="1" minValue="0" maxValue="70"/>
    </cacheField>
    <cacheField name="Adj-Rising Tides" numFmtId="0">
      <sharedItems containsString="0" containsBlank="1" containsNumber="1" minValue="0" maxValue="184"/>
    </cacheField>
    <cacheField name="Adj-VGV" numFmtId="0">
      <sharedItems containsString="0" containsBlank="1" containsNumber="1" minValue="0" maxValue="7.1889400921658995"/>
    </cacheField>
    <cacheField name="Adj-Xjet" numFmtId="0">
      <sharedItems containsString="0" containsBlank="1" containsNumber="1" minValue="0" maxValue="88"/>
    </cacheField>
    <cacheField name="Adj-Youth" numFmtId="0">
      <sharedItems containsString="0" containsBlank="1" containsNumber="1" minValue="0" maxValue="100"/>
    </cacheField>
    <cacheField name="Adj-YBI" numFmtId="0">
      <sharedItems containsString="0" containsBlank="1" containsNumber="1" minValue="0" maxValue="995.42857142857144"/>
    </cacheField>
    <cacheField name="ADJ TS Hours" numFmtId="0">
      <sharedItems containsString="0" containsBlank="1" containsNumber="1" minValue="0.5" maxValue="2080"/>
    </cacheField>
    <cacheField name="X-AAMEN" numFmtId="0">
      <sharedItems containsString="0" containsBlank="1" containsNumber="1" containsInteger="1" minValue="0" maxValue="0"/>
    </cacheField>
    <cacheField name="X-AM Other" numFmtId="0">
      <sharedItems containsString="0" containsBlank="1" containsNumber="1" minValue="0" maxValue="2320.7776674999996"/>
    </cacheField>
    <cacheField name="X-Apex" numFmtId="0">
      <sharedItems containsString="0" containsBlank="1" containsNumber="1" minValue="0" maxValue="2363.7783114523809"/>
    </cacheField>
    <cacheField name="X=CDBG" numFmtId="0">
      <sharedItems containsString="0" containsBlank="1" containsNumber="1" containsInteger="1" minValue="0" maxValue="0"/>
    </cacheField>
    <cacheField name="X-Dig Eng M7" numFmtId="0">
      <sharedItems containsString="0" containsBlank="1" containsNumber="1" minValue="0" maxValue="5057.1498963215681"/>
    </cacheField>
    <cacheField name="X-DLA" numFmtId="0">
      <sharedItems containsString="0" containsBlank="1" containsNumber="1" minValue="0" maxValue="3327.0943255441243"/>
    </cacheField>
    <cacheField name="X-Drive AM" numFmtId="0">
      <sharedItems containsString="0" containsBlank="1" containsNumber="1" minValue="0" maxValue="7724.5780331076912"/>
    </cacheField>
    <cacheField name="X-ESP" numFmtId="0">
      <sharedItems containsString="0" containsBlank="1" containsNumber="1" minValue="0" maxValue="85308.148649926065"/>
    </cacheField>
    <cacheField name="X-Fundraising" numFmtId="0">
      <sharedItems containsString="0" containsBlank="1" containsNumber="1" minValue="0" maxValue="19802.499764790635"/>
    </cacheField>
    <cacheField name="X-Hub" numFmtId="0">
      <sharedItems containsString="0" containsBlank="1" containsNumber="1" minValue="0" maxValue="38988.486313968184"/>
    </cacheField>
    <cacheField name="X-Hybrid" numFmtId="0">
      <sharedItems containsString="0" containsBlank="1" containsNumber="1" minValue="0" maxValue="5306.58"/>
    </cacheField>
    <cacheField name="X-IIOT" numFmtId="0">
      <sharedItems containsString="0" containsBlank="1" containsNumber="1" minValue="0" maxValue="5018.1080300682697"/>
    </cacheField>
    <cacheField name="X-LTM" numFmtId="0">
      <sharedItems containsString="0" containsBlank="1" containsNumber="1" minValue="0" maxValue="8496.9909183673462"/>
    </cacheField>
    <cacheField name="X-MBAC" numFmtId="0">
      <sharedItems containsString="0" containsBlank="1" containsNumber="1" minValue="0" maxValue="5569.8664019999987"/>
    </cacheField>
    <cacheField name="X-NavAir" numFmtId="0">
      <sharedItems containsString="0" containsBlank="1" containsNumber="1" minValue="0" maxValue="3584.3628786201925"/>
    </cacheField>
    <cacheField name="X-Rising Tides" numFmtId="0">
      <sharedItems containsString="0" containsBlank="1" containsNumber="1" minValue="0" maxValue="10499.039999999999"/>
    </cacheField>
    <cacheField name="X-VGV" numFmtId="0">
      <sharedItems containsString="0" containsBlank="1" containsNumber="1" minValue="0" maxValue="536.61010889728618"/>
    </cacheField>
    <cacheField name="X-Xjet" numFmtId="0">
      <sharedItems containsString="0" containsBlank="1" containsNumber="1" minValue="0" maxValue="3449.5713958961537"/>
    </cacheField>
    <cacheField name="X-Youth" numFmtId="0">
      <sharedItems containsString="0" containsBlank="1" containsNumber="1" minValue="0" maxValue="3898.5148264423074"/>
    </cacheField>
    <cacheField name="X-YBI" numFmtId="0">
      <sharedItems containsString="0" containsBlank="1" containsNumber="1" minValue="0" maxValue="68860.7887913928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23">
  <r>
    <x v="0"/>
    <s v="March"/>
    <x v="0"/>
    <n v="35.239991902834007"/>
    <n v="0.1913"/>
    <n v="41.98140235384615"/>
    <m/>
    <m/>
    <m/>
    <x v="0"/>
    <m/>
    <m/>
    <n v="80"/>
    <m/>
    <m/>
    <m/>
    <m/>
    <m/>
    <m/>
    <m/>
    <m/>
    <m/>
    <m/>
    <m/>
    <m/>
    <m/>
    <n v="80"/>
    <n v="80"/>
    <n v="0"/>
    <n v="0"/>
    <n v="0"/>
    <n v="0"/>
    <n v="0"/>
    <n v="0"/>
    <n v="0"/>
    <n v="80"/>
    <n v="0"/>
    <n v="0"/>
    <n v="0"/>
    <n v="0"/>
    <n v="0"/>
    <n v="0"/>
    <n v="0"/>
    <n v="0"/>
    <n v="0"/>
    <n v="0"/>
    <n v="0"/>
    <n v="0"/>
    <n v="0"/>
    <n v="80"/>
    <n v="0"/>
    <n v="0"/>
    <n v="0"/>
    <n v="0"/>
    <n v="0"/>
    <n v="0"/>
    <n v="3358.5121883076918"/>
    <n v="0"/>
    <n v="0"/>
    <n v="0"/>
    <n v="0"/>
    <n v="0"/>
    <n v="0"/>
    <n v="0"/>
    <n v="0"/>
    <n v="0"/>
    <n v="0"/>
    <n v="0"/>
    <n v="0"/>
    <n v="0"/>
  </r>
  <r>
    <x v="0"/>
    <s v="June"/>
    <x v="0"/>
    <n v="35.239991902834007"/>
    <n v="0.1913"/>
    <n v="41.98140235384615"/>
    <m/>
    <m/>
    <m/>
    <x v="0"/>
    <m/>
    <m/>
    <n v="168"/>
    <m/>
    <m/>
    <m/>
    <m/>
    <m/>
    <m/>
    <m/>
    <m/>
    <m/>
    <m/>
    <m/>
    <m/>
    <m/>
    <n v="168"/>
    <n v="160"/>
    <n v="-8"/>
    <n v="0"/>
    <n v="0"/>
    <n v="0"/>
    <n v="0"/>
    <n v="0"/>
    <n v="0"/>
    <n v="160"/>
    <n v="0"/>
    <n v="0"/>
    <n v="0"/>
    <n v="0"/>
    <n v="0"/>
    <n v="0"/>
    <n v="0"/>
    <n v="0"/>
    <n v="0"/>
    <n v="0"/>
    <n v="0"/>
    <n v="0"/>
    <n v="0"/>
    <n v="160"/>
    <n v="0"/>
    <n v="0"/>
    <n v="0"/>
    <n v="0"/>
    <n v="0"/>
    <n v="0"/>
    <n v="6717.0243766153835"/>
    <n v="0"/>
    <n v="0"/>
    <n v="0"/>
    <n v="0"/>
    <n v="0"/>
    <n v="0"/>
    <n v="0"/>
    <n v="0"/>
    <n v="0"/>
    <n v="0"/>
    <n v="0"/>
    <n v="0"/>
    <n v="0"/>
  </r>
  <r>
    <x v="0"/>
    <s v="September"/>
    <x v="0"/>
    <n v="35.239991902834007"/>
    <n v="0.1913"/>
    <n v="41.98140235384615"/>
    <m/>
    <m/>
    <m/>
    <x v="0"/>
    <m/>
    <m/>
    <n v="168"/>
    <m/>
    <m/>
    <m/>
    <m/>
    <m/>
    <m/>
    <m/>
    <m/>
    <m/>
    <m/>
    <m/>
    <m/>
    <m/>
    <n v="168"/>
    <n v="168"/>
    <n v="0"/>
    <n v="0"/>
    <n v="0"/>
    <n v="0"/>
    <n v="0"/>
    <n v="0"/>
    <n v="0"/>
    <n v="168"/>
    <n v="0"/>
    <n v="0"/>
    <n v="0"/>
    <n v="0"/>
    <n v="0"/>
    <n v="0"/>
    <n v="0"/>
    <n v="0"/>
    <n v="0"/>
    <n v="0"/>
    <n v="0"/>
    <n v="0"/>
    <n v="0"/>
    <n v="168"/>
    <n v="0"/>
    <n v="0"/>
    <n v="0"/>
    <n v="0"/>
    <n v="0"/>
    <n v="0"/>
    <n v="7052.8755954461531"/>
    <n v="0"/>
    <n v="0"/>
    <n v="0"/>
    <n v="0"/>
    <n v="0"/>
    <n v="0"/>
    <n v="0"/>
    <n v="0"/>
    <n v="0"/>
    <n v="0"/>
    <n v="0"/>
    <n v="0"/>
    <n v="0"/>
  </r>
  <r>
    <x v="0"/>
    <s v="April"/>
    <x v="0"/>
    <n v="35.239991902834007"/>
    <n v="0.1913"/>
    <n v="41.98140235384615"/>
    <m/>
    <m/>
    <m/>
    <x v="0"/>
    <m/>
    <m/>
    <n v="176"/>
    <m/>
    <m/>
    <m/>
    <m/>
    <m/>
    <m/>
    <m/>
    <m/>
    <m/>
    <m/>
    <m/>
    <m/>
    <m/>
    <n v="176"/>
    <n v="176"/>
    <n v="0"/>
    <n v="0"/>
    <n v="0"/>
    <n v="0"/>
    <n v="0"/>
    <n v="0"/>
    <n v="0"/>
    <n v="176"/>
    <n v="0"/>
    <n v="0"/>
    <n v="0"/>
    <n v="0"/>
    <n v="0"/>
    <n v="0"/>
    <n v="0"/>
    <n v="0"/>
    <n v="0"/>
    <n v="0"/>
    <n v="0"/>
    <n v="0"/>
    <n v="0"/>
    <n v="176"/>
    <n v="0"/>
    <n v="0"/>
    <n v="0"/>
    <n v="0"/>
    <n v="0"/>
    <n v="0"/>
    <n v="7388.7268142769226"/>
    <n v="0"/>
    <n v="0"/>
    <n v="0"/>
    <n v="0"/>
    <n v="0"/>
    <n v="0"/>
    <n v="0"/>
    <n v="0"/>
    <n v="0"/>
    <n v="0"/>
    <n v="0"/>
    <n v="0"/>
    <n v="0"/>
  </r>
  <r>
    <x v="0"/>
    <s v="August"/>
    <x v="0"/>
    <n v="35.239991902834007"/>
    <n v="0.1913"/>
    <n v="41.98140235384615"/>
    <m/>
    <m/>
    <m/>
    <x v="0"/>
    <m/>
    <m/>
    <n v="176"/>
    <m/>
    <m/>
    <m/>
    <m/>
    <m/>
    <m/>
    <m/>
    <m/>
    <m/>
    <m/>
    <m/>
    <m/>
    <m/>
    <n v="176"/>
    <n v="176"/>
    <n v="0"/>
    <n v="0"/>
    <n v="0"/>
    <n v="0"/>
    <n v="0"/>
    <n v="0"/>
    <n v="0"/>
    <n v="176"/>
    <n v="0"/>
    <n v="0"/>
    <n v="0"/>
    <n v="0"/>
    <n v="0"/>
    <n v="0"/>
    <n v="0"/>
    <n v="0"/>
    <n v="0"/>
    <n v="0"/>
    <n v="0"/>
    <n v="0"/>
    <n v="0"/>
    <n v="176"/>
    <n v="0"/>
    <n v="0"/>
    <n v="0"/>
    <n v="0"/>
    <n v="0"/>
    <n v="0"/>
    <n v="7388.7268142769226"/>
    <n v="0"/>
    <n v="0"/>
    <n v="0"/>
    <n v="0"/>
    <n v="0"/>
    <n v="0"/>
    <n v="0"/>
    <n v="0"/>
    <n v="0"/>
    <n v="0"/>
    <n v="0"/>
    <n v="0"/>
    <n v="0"/>
  </r>
  <r>
    <x v="0"/>
    <s v="November"/>
    <x v="0"/>
    <n v="35.239991902834007"/>
    <n v="0.1913"/>
    <n v="41.98140235384615"/>
    <m/>
    <m/>
    <m/>
    <x v="0"/>
    <m/>
    <m/>
    <n v="100"/>
    <m/>
    <m/>
    <m/>
    <m/>
    <m/>
    <n v="80"/>
    <m/>
    <m/>
    <m/>
    <m/>
    <m/>
    <m/>
    <m/>
    <n v="180"/>
    <n v="168"/>
    <n v="-12"/>
    <n v="0"/>
    <n v="0"/>
    <n v="0"/>
    <n v="0"/>
    <n v="0"/>
    <n v="0"/>
    <n v="93.333333333333343"/>
    <n v="0"/>
    <n v="0"/>
    <n v="0"/>
    <n v="0"/>
    <n v="0"/>
    <n v="74.666666666666657"/>
    <n v="0"/>
    <n v="0"/>
    <n v="0"/>
    <n v="0"/>
    <n v="0"/>
    <n v="0"/>
    <n v="0"/>
    <n v="168"/>
    <n v="0"/>
    <n v="0"/>
    <n v="0"/>
    <n v="0"/>
    <n v="0"/>
    <n v="0"/>
    <n v="3918.2642196923075"/>
    <n v="0"/>
    <n v="0"/>
    <n v="0"/>
    <n v="0"/>
    <n v="0"/>
    <n v="3134.6113757538456"/>
    <n v="0"/>
    <n v="0"/>
    <n v="0"/>
    <n v="0"/>
    <n v="0"/>
    <n v="0"/>
    <n v="0"/>
  </r>
  <r>
    <x v="0"/>
    <s v="December"/>
    <x v="0"/>
    <n v="35.239991902834007"/>
    <n v="0.1913"/>
    <n v="41.98140235384615"/>
    <m/>
    <m/>
    <m/>
    <x v="0"/>
    <m/>
    <m/>
    <n v="100"/>
    <m/>
    <m/>
    <m/>
    <m/>
    <m/>
    <n v="80"/>
    <m/>
    <m/>
    <m/>
    <m/>
    <m/>
    <m/>
    <m/>
    <n v="180"/>
    <n v="176"/>
    <n v="-4"/>
    <n v="0"/>
    <n v="0"/>
    <n v="0"/>
    <n v="0"/>
    <n v="0"/>
    <n v="0"/>
    <n v="97.777777777777786"/>
    <n v="0"/>
    <n v="0"/>
    <n v="0"/>
    <n v="0"/>
    <n v="0"/>
    <n v="78.222222222222214"/>
    <n v="0"/>
    <n v="0"/>
    <n v="0"/>
    <n v="0"/>
    <n v="0"/>
    <n v="0"/>
    <n v="0"/>
    <n v="176"/>
    <n v="0"/>
    <n v="0"/>
    <n v="0"/>
    <n v="0"/>
    <n v="0"/>
    <n v="0"/>
    <n v="4104.8482301538461"/>
    <n v="0"/>
    <n v="0"/>
    <n v="0"/>
    <n v="0"/>
    <n v="0"/>
    <n v="3283.8785841230761"/>
    <n v="0"/>
    <n v="0"/>
    <n v="0"/>
    <n v="0"/>
    <n v="0"/>
    <n v="0"/>
    <n v="0"/>
  </r>
  <r>
    <x v="0"/>
    <s v="October"/>
    <x v="0"/>
    <n v="35.239991902834007"/>
    <n v="0.1913"/>
    <n v="41.98140235384615"/>
    <m/>
    <m/>
    <m/>
    <x v="0"/>
    <m/>
    <m/>
    <n v="100"/>
    <m/>
    <m/>
    <m/>
    <m/>
    <m/>
    <n v="83"/>
    <m/>
    <m/>
    <m/>
    <m/>
    <m/>
    <m/>
    <m/>
    <n v="183"/>
    <n v="184"/>
    <n v="1"/>
    <n v="0"/>
    <n v="0"/>
    <n v="0"/>
    <n v="0"/>
    <n v="0"/>
    <n v="0"/>
    <n v="100.5464480874317"/>
    <n v="0"/>
    <n v="0"/>
    <n v="0"/>
    <n v="0"/>
    <n v="0"/>
    <n v="83.453551912568301"/>
    <n v="0"/>
    <n v="0"/>
    <n v="0"/>
    <n v="0"/>
    <n v="0"/>
    <n v="0"/>
    <n v="0"/>
    <n v="184"/>
    <n v="0"/>
    <n v="0"/>
    <n v="0"/>
    <n v="0"/>
    <n v="0"/>
    <n v="0"/>
    <n v="4221.080892408575"/>
    <n v="0"/>
    <n v="0"/>
    <n v="0"/>
    <n v="0"/>
    <n v="0"/>
    <n v="3503.4971406991167"/>
    <n v="0"/>
    <n v="0"/>
    <n v="0"/>
    <n v="0"/>
    <n v="0"/>
    <n v="0"/>
    <n v="0"/>
  </r>
  <r>
    <x v="0"/>
    <s v="May"/>
    <x v="0"/>
    <n v="35.239991902834007"/>
    <n v="0.1913"/>
    <n v="41.98140235384615"/>
    <m/>
    <m/>
    <m/>
    <x v="0"/>
    <m/>
    <m/>
    <n v="184"/>
    <m/>
    <m/>
    <m/>
    <m/>
    <m/>
    <m/>
    <m/>
    <m/>
    <m/>
    <m/>
    <m/>
    <m/>
    <m/>
    <n v="184"/>
    <n v="184"/>
    <n v="0"/>
    <n v="0"/>
    <n v="0"/>
    <n v="0"/>
    <n v="0"/>
    <n v="0"/>
    <n v="0"/>
    <n v="184"/>
    <n v="0"/>
    <n v="0"/>
    <n v="0"/>
    <n v="0"/>
    <n v="0"/>
    <n v="0"/>
    <n v="0"/>
    <n v="0"/>
    <n v="0"/>
    <n v="0"/>
    <n v="0"/>
    <n v="0"/>
    <n v="0"/>
    <n v="184"/>
    <n v="0"/>
    <n v="0"/>
    <n v="0"/>
    <n v="0"/>
    <n v="0"/>
    <n v="0"/>
    <n v="7724.5780331076912"/>
    <n v="0"/>
    <n v="0"/>
    <n v="0"/>
    <n v="0"/>
    <n v="0"/>
    <n v="0"/>
    <n v="0"/>
    <n v="0"/>
    <n v="0"/>
    <n v="0"/>
    <n v="0"/>
    <n v="0"/>
    <n v="0"/>
  </r>
  <r>
    <x v="0"/>
    <s v="July"/>
    <x v="0"/>
    <n v="35.239991902834007"/>
    <n v="0.1913"/>
    <n v="41.98140235384615"/>
    <m/>
    <m/>
    <m/>
    <x v="0"/>
    <m/>
    <m/>
    <n v="184"/>
    <m/>
    <m/>
    <m/>
    <m/>
    <m/>
    <m/>
    <m/>
    <m/>
    <m/>
    <m/>
    <m/>
    <m/>
    <m/>
    <n v="184"/>
    <n v="184"/>
    <n v="0"/>
    <n v="0"/>
    <n v="0"/>
    <n v="0"/>
    <n v="0"/>
    <n v="0"/>
    <n v="0"/>
    <n v="184"/>
    <n v="0"/>
    <n v="0"/>
    <n v="0"/>
    <n v="0"/>
    <n v="0"/>
    <n v="0"/>
    <n v="0"/>
    <n v="0"/>
    <n v="0"/>
    <n v="0"/>
    <n v="0"/>
    <n v="0"/>
    <n v="0"/>
    <n v="184"/>
    <n v="0"/>
    <n v="0"/>
    <n v="0"/>
    <n v="0"/>
    <n v="0"/>
    <n v="0"/>
    <n v="7724.5780331076912"/>
    <n v="0"/>
    <n v="0"/>
    <n v="0"/>
    <n v="0"/>
    <n v="0"/>
    <n v="0"/>
    <n v="0"/>
    <n v="0"/>
    <n v="0"/>
    <n v="0"/>
    <n v="0"/>
    <n v="0"/>
    <n v="0"/>
  </r>
  <r>
    <x v="0"/>
    <s v="May"/>
    <x v="1"/>
    <n v="37.647947115384611"/>
    <n v="0.22450000000000001"/>
    <n v="46.099911242788451"/>
    <m/>
    <m/>
    <m/>
    <x v="0"/>
    <m/>
    <m/>
    <n v="100"/>
    <m/>
    <m/>
    <m/>
    <m/>
    <m/>
    <n v="56"/>
    <m/>
    <m/>
    <m/>
    <m/>
    <m/>
    <m/>
    <m/>
    <n v="156"/>
    <n v="176"/>
    <n v="20"/>
    <n v="0"/>
    <n v="0"/>
    <n v="0"/>
    <n v="0"/>
    <n v="0"/>
    <n v="0"/>
    <n v="112.82051282051283"/>
    <n v="0"/>
    <n v="0"/>
    <n v="0"/>
    <n v="0"/>
    <n v="0"/>
    <n v="63.179487179487182"/>
    <n v="0"/>
    <n v="0"/>
    <n v="0"/>
    <n v="0"/>
    <n v="0"/>
    <n v="0"/>
    <n v="0"/>
    <n v="176"/>
    <n v="0"/>
    <n v="0"/>
    <n v="0"/>
    <n v="0"/>
    <n v="0"/>
    <n v="0"/>
    <n v="5201.0156273915181"/>
    <n v="0"/>
    <n v="0"/>
    <n v="0"/>
    <n v="0"/>
    <n v="0"/>
    <n v="2912.56875133925"/>
    <n v="0"/>
    <n v="0"/>
    <n v="0"/>
    <n v="0"/>
    <n v="0"/>
    <n v="0"/>
    <n v="0"/>
  </r>
  <r>
    <x v="0"/>
    <s v="February"/>
    <x v="1"/>
    <n v="37.647947115384611"/>
    <n v="0.22450000000000001"/>
    <n v="46.099911242788451"/>
    <m/>
    <m/>
    <m/>
    <x v="0"/>
    <m/>
    <m/>
    <n v="80"/>
    <m/>
    <m/>
    <m/>
    <m/>
    <m/>
    <n v="80"/>
    <m/>
    <m/>
    <m/>
    <m/>
    <m/>
    <m/>
    <m/>
    <n v="160"/>
    <n v="160"/>
    <n v="0"/>
    <n v="0"/>
    <n v="0"/>
    <n v="0"/>
    <n v="0"/>
    <n v="0"/>
    <n v="0"/>
    <n v="80"/>
    <n v="0"/>
    <n v="0"/>
    <n v="0"/>
    <n v="0"/>
    <n v="0"/>
    <n v="80"/>
    <n v="0"/>
    <n v="0"/>
    <n v="0"/>
    <n v="0"/>
    <n v="0"/>
    <n v="0"/>
    <n v="0"/>
    <n v="160"/>
    <n v="0"/>
    <n v="0"/>
    <n v="0"/>
    <n v="0"/>
    <n v="0"/>
    <n v="0"/>
    <n v="3687.9928994230759"/>
    <n v="0"/>
    <n v="0"/>
    <n v="0"/>
    <n v="0"/>
    <n v="0"/>
    <n v="3687.9928994230759"/>
    <n v="0"/>
    <n v="0"/>
    <n v="0"/>
    <n v="0"/>
    <n v="0"/>
    <n v="0"/>
    <n v="0"/>
  </r>
  <r>
    <x v="0"/>
    <s v="January"/>
    <x v="1"/>
    <n v="37.647947115384611"/>
    <n v="0.22450000000000001"/>
    <n v="46.099911242788451"/>
    <m/>
    <m/>
    <m/>
    <x v="0"/>
    <m/>
    <m/>
    <n v="100"/>
    <m/>
    <m/>
    <m/>
    <m/>
    <m/>
    <n v="80"/>
    <m/>
    <m/>
    <m/>
    <m/>
    <m/>
    <m/>
    <m/>
    <n v="180"/>
    <n v="184"/>
    <n v="4"/>
    <n v="0"/>
    <n v="0"/>
    <n v="0"/>
    <n v="0"/>
    <n v="0"/>
    <n v="0"/>
    <n v="102.22222222222223"/>
    <n v="0"/>
    <n v="0"/>
    <n v="0"/>
    <n v="0"/>
    <n v="0"/>
    <n v="81.777777777777771"/>
    <n v="0"/>
    <n v="0"/>
    <n v="0"/>
    <n v="0"/>
    <n v="0"/>
    <n v="0"/>
    <n v="0"/>
    <n v="184"/>
    <n v="0"/>
    <n v="0"/>
    <n v="0"/>
    <n v="0"/>
    <n v="0"/>
    <n v="0"/>
    <n v="4712.4353714850422"/>
    <n v="0"/>
    <n v="0"/>
    <n v="0"/>
    <n v="0"/>
    <n v="0"/>
    <n v="3769.9482971880329"/>
    <n v="0"/>
    <n v="0"/>
    <n v="0"/>
    <n v="0"/>
    <n v="0"/>
    <n v="0"/>
    <n v="0"/>
  </r>
  <r>
    <x v="0"/>
    <s v="March"/>
    <x v="1"/>
    <n v="37.647947115384611"/>
    <n v="0.22450000000000001"/>
    <n v="46.099911242788451"/>
    <m/>
    <m/>
    <m/>
    <x v="0"/>
    <m/>
    <m/>
    <n v="100"/>
    <m/>
    <m/>
    <m/>
    <m/>
    <m/>
    <n v="80"/>
    <m/>
    <m/>
    <m/>
    <m/>
    <m/>
    <m/>
    <m/>
    <n v="180"/>
    <n v="168"/>
    <n v="-12"/>
    <n v="0"/>
    <n v="0"/>
    <n v="0"/>
    <n v="0"/>
    <n v="0"/>
    <n v="0"/>
    <n v="93.333333333333343"/>
    <n v="0"/>
    <n v="0"/>
    <n v="0"/>
    <n v="0"/>
    <n v="0"/>
    <n v="74.666666666666657"/>
    <n v="0"/>
    <n v="0"/>
    <n v="0"/>
    <n v="0"/>
    <n v="0"/>
    <n v="0"/>
    <n v="0"/>
    <n v="168"/>
    <n v="0"/>
    <n v="0"/>
    <n v="0"/>
    <n v="0"/>
    <n v="0"/>
    <n v="0"/>
    <n v="4302.6583826602555"/>
    <n v="0"/>
    <n v="0"/>
    <n v="0"/>
    <n v="0"/>
    <n v="0"/>
    <n v="3442.1267061282038"/>
    <n v="0"/>
    <n v="0"/>
    <n v="0"/>
    <n v="0"/>
    <n v="0"/>
    <n v="0"/>
    <n v="0"/>
  </r>
  <r>
    <x v="0"/>
    <s v="April"/>
    <x v="1"/>
    <n v="37.647947115384611"/>
    <n v="0.22450000000000001"/>
    <n v="46.099911242788451"/>
    <m/>
    <m/>
    <m/>
    <x v="0"/>
    <m/>
    <m/>
    <n v="100"/>
    <m/>
    <m/>
    <m/>
    <m/>
    <m/>
    <n v="80"/>
    <m/>
    <m/>
    <m/>
    <m/>
    <m/>
    <m/>
    <m/>
    <n v="180"/>
    <n v="176"/>
    <n v="-4"/>
    <n v="0"/>
    <n v="0"/>
    <n v="0"/>
    <n v="0"/>
    <n v="0"/>
    <n v="0"/>
    <n v="97.777777777777786"/>
    <n v="0"/>
    <n v="0"/>
    <n v="0"/>
    <n v="0"/>
    <n v="0"/>
    <n v="78.222222222222214"/>
    <n v="0"/>
    <n v="0"/>
    <n v="0"/>
    <n v="0"/>
    <n v="0"/>
    <n v="0"/>
    <n v="0"/>
    <n v="176"/>
    <n v="0"/>
    <n v="0"/>
    <n v="0"/>
    <n v="0"/>
    <n v="0"/>
    <n v="0"/>
    <n v="4507.5468770726493"/>
    <n v="0"/>
    <n v="0"/>
    <n v="0"/>
    <n v="0"/>
    <n v="0"/>
    <n v="3606.0375016581183"/>
    <n v="0"/>
    <n v="0"/>
    <n v="0"/>
    <n v="0"/>
    <n v="0"/>
    <n v="0"/>
    <n v="0"/>
  </r>
  <r>
    <x v="0"/>
    <s v="July"/>
    <x v="1"/>
    <n v="37.647947115384611"/>
    <n v="0.22450000000000001"/>
    <n v="46.099911242788451"/>
    <m/>
    <m/>
    <m/>
    <x v="0"/>
    <m/>
    <m/>
    <n v="100"/>
    <m/>
    <m/>
    <m/>
    <m/>
    <m/>
    <n v="80"/>
    <m/>
    <m/>
    <m/>
    <m/>
    <m/>
    <m/>
    <m/>
    <n v="180"/>
    <n v="184"/>
    <n v="4"/>
    <n v="0"/>
    <n v="0"/>
    <n v="0"/>
    <n v="0"/>
    <n v="0"/>
    <n v="0"/>
    <n v="102.22222222222223"/>
    <n v="0"/>
    <n v="0"/>
    <n v="0"/>
    <n v="0"/>
    <n v="0"/>
    <n v="81.777777777777771"/>
    <n v="0"/>
    <n v="0"/>
    <n v="0"/>
    <n v="0"/>
    <n v="0"/>
    <n v="0"/>
    <n v="0"/>
    <n v="184"/>
    <n v="0"/>
    <n v="0"/>
    <n v="0"/>
    <n v="0"/>
    <n v="0"/>
    <n v="0"/>
    <n v="4712.4353714850422"/>
    <n v="0"/>
    <n v="0"/>
    <n v="0"/>
    <n v="0"/>
    <n v="0"/>
    <n v="3769.9482971880329"/>
    <n v="0"/>
    <n v="0"/>
    <n v="0"/>
    <n v="0"/>
    <n v="0"/>
    <n v="0"/>
    <n v="0"/>
  </r>
  <r>
    <x v="0"/>
    <s v="August"/>
    <x v="1"/>
    <n v="37.647947115384611"/>
    <n v="0.22450000000000001"/>
    <n v="46.099911242788451"/>
    <m/>
    <m/>
    <m/>
    <x v="0"/>
    <m/>
    <m/>
    <n v="100"/>
    <m/>
    <m/>
    <m/>
    <m/>
    <m/>
    <n v="80"/>
    <m/>
    <m/>
    <m/>
    <m/>
    <m/>
    <m/>
    <m/>
    <n v="180"/>
    <n v="168"/>
    <n v="-12"/>
    <n v="0"/>
    <n v="0"/>
    <n v="0"/>
    <n v="0"/>
    <n v="0"/>
    <n v="0"/>
    <n v="93.333333333333343"/>
    <n v="0"/>
    <n v="0"/>
    <n v="0"/>
    <n v="0"/>
    <n v="0"/>
    <n v="74.666666666666657"/>
    <n v="0"/>
    <n v="0"/>
    <n v="0"/>
    <n v="0"/>
    <n v="0"/>
    <n v="0"/>
    <n v="0"/>
    <n v="168"/>
    <n v="0"/>
    <n v="0"/>
    <n v="0"/>
    <n v="0"/>
    <n v="0"/>
    <n v="0"/>
    <n v="4302.6583826602555"/>
    <n v="0"/>
    <n v="0"/>
    <n v="0"/>
    <n v="0"/>
    <n v="0"/>
    <n v="3442.1267061282038"/>
    <n v="0"/>
    <n v="0"/>
    <n v="0"/>
    <n v="0"/>
    <n v="0"/>
    <n v="0"/>
    <n v="0"/>
  </r>
  <r>
    <x v="0"/>
    <s v="September"/>
    <x v="1"/>
    <n v="37.647947115384611"/>
    <n v="0.22450000000000001"/>
    <n v="46.099911242788451"/>
    <m/>
    <m/>
    <m/>
    <x v="0"/>
    <m/>
    <m/>
    <n v="100"/>
    <m/>
    <m/>
    <m/>
    <m/>
    <m/>
    <n v="80"/>
    <m/>
    <m/>
    <m/>
    <m/>
    <m/>
    <m/>
    <m/>
    <n v="180"/>
    <n v="176"/>
    <n v="-4"/>
    <n v="0"/>
    <n v="0"/>
    <n v="0"/>
    <n v="0"/>
    <n v="0"/>
    <n v="0"/>
    <n v="97.777777777777786"/>
    <n v="0"/>
    <n v="0"/>
    <n v="0"/>
    <n v="0"/>
    <n v="0"/>
    <n v="78.222222222222214"/>
    <n v="0"/>
    <n v="0"/>
    <n v="0"/>
    <n v="0"/>
    <n v="0"/>
    <n v="0"/>
    <n v="0"/>
    <n v="176"/>
    <n v="0"/>
    <n v="0"/>
    <n v="0"/>
    <n v="0"/>
    <n v="0"/>
    <n v="0"/>
    <n v="4507.5468770726493"/>
    <n v="0"/>
    <n v="0"/>
    <n v="0"/>
    <n v="0"/>
    <n v="0"/>
    <n v="3606.0375016581183"/>
    <n v="0"/>
    <n v="0"/>
    <n v="0"/>
    <n v="0"/>
    <n v="0"/>
    <n v="0"/>
    <n v="0"/>
  </r>
  <r>
    <x v="0"/>
    <s v="October"/>
    <x v="1"/>
    <n v="37.647947115384611"/>
    <n v="0.22450000000000001"/>
    <n v="46.099911242788451"/>
    <m/>
    <m/>
    <m/>
    <x v="0"/>
    <m/>
    <m/>
    <n v="100"/>
    <m/>
    <m/>
    <m/>
    <m/>
    <m/>
    <n v="80"/>
    <m/>
    <m/>
    <m/>
    <m/>
    <m/>
    <m/>
    <m/>
    <n v="180"/>
    <n v="184"/>
    <n v="4"/>
    <n v="0"/>
    <n v="0"/>
    <n v="0"/>
    <n v="0"/>
    <n v="0"/>
    <n v="0"/>
    <n v="102.22222222222223"/>
    <n v="0"/>
    <n v="0"/>
    <n v="0"/>
    <n v="0"/>
    <n v="0"/>
    <n v="81.777777777777771"/>
    <n v="0"/>
    <n v="0"/>
    <n v="0"/>
    <n v="0"/>
    <n v="0"/>
    <n v="0"/>
    <n v="0"/>
    <n v="184"/>
    <n v="0"/>
    <n v="0"/>
    <n v="0"/>
    <n v="0"/>
    <n v="0"/>
    <n v="0"/>
    <n v="4712.4353714850422"/>
    <n v="0"/>
    <n v="0"/>
    <n v="0"/>
    <n v="0"/>
    <n v="0"/>
    <n v="3769.9482971880329"/>
    <n v="0"/>
    <n v="0"/>
    <n v="0"/>
    <n v="0"/>
    <n v="0"/>
    <n v="0"/>
    <n v="0"/>
  </r>
  <r>
    <x v="0"/>
    <s v="November"/>
    <x v="1"/>
    <n v="37.647947115384611"/>
    <n v="0.22450000000000001"/>
    <n v="46.099911242788451"/>
    <m/>
    <m/>
    <m/>
    <x v="0"/>
    <m/>
    <m/>
    <n v="100"/>
    <m/>
    <m/>
    <m/>
    <m/>
    <m/>
    <n v="80"/>
    <m/>
    <m/>
    <m/>
    <m/>
    <m/>
    <m/>
    <m/>
    <n v="180"/>
    <n v="160"/>
    <n v="-20"/>
    <n v="0"/>
    <n v="0"/>
    <n v="0"/>
    <n v="0"/>
    <n v="0"/>
    <n v="0"/>
    <n v="88.888888888888886"/>
    <n v="0"/>
    <n v="0"/>
    <n v="0"/>
    <n v="0"/>
    <n v="0"/>
    <n v="71.111111111111114"/>
    <n v="0"/>
    <n v="0"/>
    <n v="0"/>
    <n v="0"/>
    <n v="0"/>
    <n v="0"/>
    <n v="0"/>
    <n v="160"/>
    <n v="0"/>
    <n v="0"/>
    <n v="0"/>
    <n v="0"/>
    <n v="0"/>
    <n v="0"/>
    <n v="4097.7698882478626"/>
    <n v="0"/>
    <n v="0"/>
    <n v="0"/>
    <n v="0"/>
    <n v="0"/>
    <n v="3278.2159105982901"/>
    <n v="0"/>
    <n v="0"/>
    <n v="0"/>
    <n v="0"/>
    <n v="0"/>
    <n v="0"/>
    <n v="0"/>
  </r>
  <r>
    <x v="0"/>
    <s v="December"/>
    <x v="1"/>
    <n v="37.647947115384611"/>
    <n v="0.22450000000000001"/>
    <n v="46.099911242788451"/>
    <m/>
    <m/>
    <m/>
    <x v="0"/>
    <m/>
    <m/>
    <n v="100"/>
    <m/>
    <m/>
    <m/>
    <m/>
    <m/>
    <n v="80"/>
    <m/>
    <m/>
    <m/>
    <m/>
    <m/>
    <m/>
    <m/>
    <n v="180"/>
    <n v="184"/>
    <n v="4"/>
    <n v="0"/>
    <n v="0"/>
    <n v="0"/>
    <n v="0"/>
    <n v="0"/>
    <n v="0"/>
    <n v="102.22222222222223"/>
    <n v="0"/>
    <n v="0"/>
    <n v="0"/>
    <n v="0"/>
    <n v="0"/>
    <n v="81.777777777777771"/>
    <n v="0"/>
    <n v="0"/>
    <n v="0"/>
    <n v="0"/>
    <n v="0"/>
    <n v="0"/>
    <n v="0"/>
    <n v="184"/>
    <n v="0"/>
    <n v="0"/>
    <n v="0"/>
    <n v="0"/>
    <n v="0"/>
    <n v="0"/>
    <n v="4712.4353714850422"/>
    <n v="0"/>
    <n v="0"/>
    <n v="0"/>
    <n v="0"/>
    <n v="0"/>
    <n v="3769.9482971880329"/>
    <n v="0"/>
    <n v="0"/>
    <n v="0"/>
    <n v="0"/>
    <n v="0"/>
    <n v="0"/>
    <n v="0"/>
  </r>
  <r>
    <x v="0"/>
    <s v="June"/>
    <x v="1"/>
    <n v="37.647947115384611"/>
    <n v="0.22450000000000001"/>
    <n v="46.099911242788451"/>
    <m/>
    <m/>
    <m/>
    <x v="0"/>
    <m/>
    <m/>
    <n v="100"/>
    <m/>
    <m/>
    <m/>
    <m/>
    <m/>
    <n v="92"/>
    <m/>
    <m/>
    <m/>
    <m/>
    <m/>
    <m/>
    <m/>
    <n v="192"/>
    <n v="168"/>
    <n v="-24"/>
    <n v="0"/>
    <n v="0"/>
    <n v="0"/>
    <n v="0"/>
    <n v="0"/>
    <n v="0"/>
    <n v="87.5"/>
    <n v="0"/>
    <n v="0"/>
    <n v="0"/>
    <n v="0"/>
    <n v="0"/>
    <n v="80.5"/>
    <n v="0"/>
    <n v="0"/>
    <n v="0"/>
    <n v="0"/>
    <n v="0"/>
    <n v="0"/>
    <n v="0"/>
    <n v="168"/>
    <n v="0"/>
    <n v="0"/>
    <n v="0"/>
    <n v="0"/>
    <n v="0"/>
    <n v="0"/>
    <n v="4033.7422337439893"/>
    <n v="0"/>
    <n v="0"/>
    <n v="0"/>
    <n v="0"/>
    <n v="0"/>
    <n v="3711.0428550444703"/>
    <n v="0"/>
    <n v="0"/>
    <n v="0"/>
    <n v="0"/>
    <n v="0"/>
    <n v="0"/>
    <n v="0"/>
  </r>
  <r>
    <x v="0"/>
    <s v="February"/>
    <x v="2"/>
    <n v="38.942307692307693"/>
    <n v="0.23630000000000001"/>
    <n v="48.144374999999997"/>
    <m/>
    <m/>
    <m/>
    <x v="0"/>
    <m/>
    <m/>
    <n v="128"/>
    <m/>
    <m/>
    <m/>
    <m/>
    <m/>
    <n v="33"/>
    <m/>
    <m/>
    <m/>
    <m/>
    <m/>
    <m/>
    <m/>
    <n v="161"/>
    <n v="160"/>
    <n v="-1"/>
    <n v="0"/>
    <n v="0"/>
    <n v="0"/>
    <n v="0"/>
    <n v="0"/>
    <n v="0"/>
    <n v="127.20496894409936"/>
    <n v="0"/>
    <n v="0"/>
    <n v="0"/>
    <n v="0"/>
    <n v="0"/>
    <n v="32.795031055900623"/>
    <n v="0"/>
    <n v="0"/>
    <n v="0"/>
    <n v="0"/>
    <n v="0"/>
    <n v="0"/>
    <n v="0"/>
    <n v="160"/>
    <n v="0"/>
    <n v="0"/>
    <n v="0"/>
    <n v="0"/>
    <n v="0"/>
    <n v="0"/>
    <n v="6124.2037267080732"/>
    <n v="0"/>
    <n v="0"/>
    <n v="0"/>
    <n v="0"/>
    <n v="0"/>
    <n v="1578.8962732919254"/>
    <n v="0"/>
    <n v="0"/>
    <n v="0"/>
    <n v="0"/>
    <n v="0"/>
    <n v="0"/>
    <n v="0"/>
  </r>
  <r>
    <x v="0"/>
    <s v="May"/>
    <x v="2"/>
    <n v="38.942307692307693"/>
    <n v="0.23630000000000001"/>
    <n v="48.144374999999997"/>
    <m/>
    <m/>
    <m/>
    <x v="0"/>
    <m/>
    <m/>
    <n v="136"/>
    <m/>
    <m/>
    <m/>
    <m/>
    <m/>
    <n v="42"/>
    <m/>
    <m/>
    <m/>
    <m/>
    <m/>
    <m/>
    <m/>
    <n v="178"/>
    <n v="168"/>
    <n v="-10"/>
    <n v="0"/>
    <n v="0"/>
    <n v="0"/>
    <n v="0"/>
    <n v="0"/>
    <n v="0"/>
    <n v="128.35955056179776"/>
    <n v="0"/>
    <n v="0"/>
    <n v="0"/>
    <n v="0"/>
    <n v="0"/>
    <n v="39.640449438202246"/>
    <n v="0"/>
    <n v="0"/>
    <n v="0"/>
    <n v="0"/>
    <n v="0"/>
    <n v="0"/>
    <n v="0"/>
    <n v="168"/>
    <n v="0"/>
    <n v="0"/>
    <n v="0"/>
    <n v="0"/>
    <n v="0"/>
    <n v="0"/>
    <n v="6179.7903370786516"/>
    <n v="0"/>
    <n v="0"/>
    <n v="0"/>
    <n v="0"/>
    <n v="0"/>
    <n v="1908.4646629213482"/>
    <n v="0"/>
    <n v="0"/>
    <n v="0"/>
    <n v="0"/>
    <n v="0"/>
    <n v="0"/>
    <n v="0"/>
  </r>
  <r>
    <x v="0"/>
    <s v="January"/>
    <x v="2"/>
    <n v="38.942307692307693"/>
    <n v="0.23630000000000001"/>
    <n v="48.144374999999997"/>
    <m/>
    <m/>
    <m/>
    <x v="0"/>
    <m/>
    <m/>
    <n v="100"/>
    <m/>
    <m/>
    <m/>
    <m/>
    <m/>
    <n v="80"/>
    <m/>
    <m/>
    <m/>
    <m/>
    <m/>
    <m/>
    <m/>
    <n v="180"/>
    <n v="176"/>
    <n v="-4"/>
    <n v="0"/>
    <n v="0"/>
    <n v="0"/>
    <n v="0"/>
    <n v="0"/>
    <n v="0"/>
    <n v="97.777777777777786"/>
    <n v="0"/>
    <n v="0"/>
    <n v="0"/>
    <n v="0"/>
    <n v="0"/>
    <n v="78.222222222222214"/>
    <n v="0"/>
    <n v="0"/>
    <n v="0"/>
    <n v="0"/>
    <n v="0"/>
    <n v="0"/>
    <n v="0"/>
    <n v="176"/>
    <n v="0"/>
    <n v="0"/>
    <n v="0"/>
    <n v="0"/>
    <n v="0"/>
    <n v="0"/>
    <n v="4707.45"/>
    <n v="0"/>
    <n v="0"/>
    <n v="0"/>
    <n v="0"/>
    <n v="0"/>
    <n v="3765.9599999999991"/>
    <n v="0"/>
    <n v="0"/>
    <n v="0"/>
    <n v="0"/>
    <n v="0"/>
    <n v="0"/>
    <n v="0"/>
  </r>
  <r>
    <x v="0"/>
    <s v="March"/>
    <x v="2"/>
    <n v="38.942307692307693"/>
    <n v="0.23630000000000001"/>
    <n v="48.144374999999997"/>
    <m/>
    <m/>
    <m/>
    <x v="0"/>
    <m/>
    <m/>
    <n v="142"/>
    <m/>
    <m/>
    <m/>
    <m/>
    <m/>
    <n v="47"/>
    <m/>
    <m/>
    <m/>
    <m/>
    <m/>
    <m/>
    <m/>
    <n v="189"/>
    <n v="176"/>
    <n v="-13"/>
    <n v="0"/>
    <n v="0"/>
    <n v="0"/>
    <n v="0"/>
    <n v="0"/>
    <n v="0"/>
    <n v="132.23280423280423"/>
    <n v="0"/>
    <n v="0"/>
    <n v="0"/>
    <n v="0"/>
    <n v="0"/>
    <n v="43.767195767195766"/>
    <n v="0"/>
    <n v="0"/>
    <n v="0"/>
    <n v="0"/>
    <n v="0"/>
    <n v="0"/>
    <n v="0"/>
    <n v="176"/>
    <n v="0"/>
    <n v="0"/>
    <n v="0"/>
    <n v="0"/>
    <n v="0"/>
    <n v="0"/>
    <n v="6366.2657142857133"/>
    <n v="0"/>
    <n v="0"/>
    <n v="0"/>
    <n v="0"/>
    <n v="0"/>
    <n v="2107.1442857142856"/>
    <n v="0"/>
    <n v="0"/>
    <n v="0"/>
    <n v="0"/>
    <n v="0"/>
    <n v="0"/>
    <n v="0"/>
  </r>
  <r>
    <x v="0"/>
    <s v="April"/>
    <x v="2"/>
    <n v="38.942307692307693"/>
    <n v="0.23630000000000001"/>
    <n v="48.144374999999997"/>
    <m/>
    <m/>
    <m/>
    <x v="0"/>
    <m/>
    <m/>
    <n v="142"/>
    <m/>
    <m/>
    <m/>
    <m/>
    <m/>
    <n v="36"/>
    <m/>
    <m/>
    <m/>
    <m/>
    <m/>
    <m/>
    <m/>
    <n v="178"/>
    <n v="176"/>
    <n v="-2"/>
    <n v="0"/>
    <n v="0"/>
    <n v="0"/>
    <n v="0"/>
    <n v="0"/>
    <n v="0"/>
    <n v="140.40449438202245"/>
    <n v="0"/>
    <n v="0"/>
    <n v="0"/>
    <n v="0"/>
    <n v="0"/>
    <n v="35.59550561797753"/>
    <n v="0"/>
    <n v="0"/>
    <n v="0"/>
    <n v="0"/>
    <n v="0"/>
    <n v="0"/>
    <n v="0"/>
    <n v="175.99999999999997"/>
    <n v="0"/>
    <n v="0"/>
    <n v="0"/>
    <n v="0"/>
    <n v="0"/>
    <n v="0"/>
    <n v="6759.6866292134819"/>
    <n v="0"/>
    <n v="0"/>
    <n v="0"/>
    <n v="0"/>
    <n v="0"/>
    <n v="1713.7233707865169"/>
    <n v="0"/>
    <n v="0"/>
    <n v="0"/>
    <n v="0"/>
    <n v="0"/>
    <n v="0"/>
    <n v="0"/>
  </r>
  <r>
    <x v="0"/>
    <s v="June"/>
    <x v="2"/>
    <n v="38.942307692307693"/>
    <n v="0.23630000000000001"/>
    <n v="48.144374999999997"/>
    <m/>
    <m/>
    <m/>
    <x v="0"/>
    <m/>
    <m/>
    <n v="141"/>
    <m/>
    <m/>
    <m/>
    <m/>
    <m/>
    <n v="39"/>
    <m/>
    <m/>
    <m/>
    <m/>
    <m/>
    <m/>
    <m/>
    <n v="180"/>
    <n v="176"/>
    <n v="-4"/>
    <n v="0"/>
    <n v="0"/>
    <n v="0"/>
    <n v="0"/>
    <n v="0"/>
    <n v="0"/>
    <n v="137.86666666666667"/>
    <n v="0"/>
    <n v="0"/>
    <n v="0"/>
    <n v="0"/>
    <n v="0"/>
    <n v="38.133333333333333"/>
    <n v="0"/>
    <n v="0"/>
    <n v="0"/>
    <n v="0"/>
    <n v="0"/>
    <n v="0"/>
    <n v="0"/>
    <n v="176"/>
    <n v="0"/>
    <n v="0"/>
    <n v="0"/>
    <n v="0"/>
    <n v="0"/>
    <n v="0"/>
    <n v="6637.5045"/>
    <n v="0"/>
    <n v="0"/>
    <n v="0"/>
    <n v="0"/>
    <n v="0"/>
    <n v="1835.9054999999998"/>
    <n v="0"/>
    <n v="0"/>
    <n v="0"/>
    <n v="0"/>
    <n v="0"/>
    <n v="0"/>
    <n v="0"/>
  </r>
  <r>
    <x v="0"/>
    <s v="July"/>
    <x v="2"/>
    <n v="38.942307692307693"/>
    <n v="0.23630000000000001"/>
    <n v="48.144374999999997"/>
    <m/>
    <m/>
    <m/>
    <x v="0"/>
    <m/>
    <m/>
    <n v="8"/>
    <m/>
    <m/>
    <m/>
    <m/>
    <m/>
    <n v="188"/>
    <m/>
    <m/>
    <m/>
    <m/>
    <m/>
    <m/>
    <m/>
    <n v="196"/>
    <n v="184"/>
    <n v="-12"/>
    <n v="0"/>
    <n v="0"/>
    <n v="0"/>
    <n v="0"/>
    <n v="0"/>
    <n v="0"/>
    <n v="7.5102040816326525"/>
    <n v="0"/>
    <n v="0"/>
    <n v="0"/>
    <n v="0"/>
    <n v="0"/>
    <n v="176.48979591836735"/>
    <n v="0"/>
    <n v="0"/>
    <n v="0"/>
    <n v="0"/>
    <n v="0"/>
    <n v="0"/>
    <n v="0"/>
    <n v="184"/>
    <n v="0"/>
    <n v="0"/>
    <n v="0"/>
    <n v="0"/>
    <n v="0"/>
    <n v="0"/>
    <n v="361.57408163265302"/>
    <n v="0"/>
    <n v="0"/>
    <n v="0"/>
    <n v="0"/>
    <n v="0"/>
    <n v="8496.9909183673462"/>
    <n v="0"/>
    <n v="0"/>
    <n v="0"/>
    <n v="0"/>
    <n v="0"/>
    <n v="0"/>
    <n v="0"/>
  </r>
  <r>
    <x v="0"/>
    <s v="August"/>
    <x v="2"/>
    <n v="38.942307692307693"/>
    <n v="0.23630000000000001"/>
    <n v="48.144374999999997"/>
    <m/>
    <m/>
    <m/>
    <x v="0"/>
    <m/>
    <m/>
    <n v="22"/>
    <m/>
    <m/>
    <m/>
    <m/>
    <m/>
    <n v="156"/>
    <m/>
    <m/>
    <m/>
    <m/>
    <m/>
    <m/>
    <m/>
    <n v="178"/>
    <n v="176"/>
    <n v="-2"/>
    <n v="0"/>
    <n v="0"/>
    <n v="0"/>
    <n v="0"/>
    <n v="0"/>
    <n v="0"/>
    <n v="21.752808988764045"/>
    <n v="0"/>
    <n v="0"/>
    <n v="0"/>
    <n v="0"/>
    <n v="0"/>
    <n v="154.24719101123597"/>
    <n v="0"/>
    <n v="0"/>
    <n v="0"/>
    <n v="0"/>
    <n v="0"/>
    <n v="0"/>
    <n v="0"/>
    <n v="176"/>
    <n v="0"/>
    <n v="0"/>
    <n v="0"/>
    <n v="0"/>
    <n v="0"/>
    <n v="0"/>
    <n v="1047.2753932584269"/>
    <n v="0"/>
    <n v="0"/>
    <n v="0"/>
    <n v="0"/>
    <n v="0"/>
    <n v="7426.1346067415734"/>
    <n v="0"/>
    <n v="0"/>
    <n v="0"/>
    <n v="0"/>
    <n v="0"/>
    <n v="0"/>
    <n v="0"/>
  </r>
  <r>
    <x v="1"/>
    <s v="October"/>
    <x v="3"/>
    <n v="71.291461538461533"/>
    <n v="0.21360000000000001"/>
    <n v="86.519317723076924"/>
    <m/>
    <m/>
    <m/>
    <x v="0"/>
    <m/>
    <m/>
    <m/>
    <m/>
    <m/>
    <m/>
    <n v="4.8"/>
    <m/>
    <m/>
    <m/>
    <m/>
    <m/>
    <m/>
    <m/>
    <m/>
    <m/>
    <n v="4.8"/>
    <n v="4.8"/>
    <n v="0"/>
    <n v="0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0"/>
    <n v="415.29272507076922"/>
    <n v="0"/>
    <n v="0"/>
    <n v="0"/>
    <n v="0"/>
    <n v="0"/>
    <n v="0"/>
    <n v="0"/>
    <n v="0"/>
    <n v="0"/>
  </r>
  <r>
    <x v="1"/>
    <s v="November"/>
    <x v="3"/>
    <n v="71.291461538461533"/>
    <n v="0.21360000000000001"/>
    <n v="86.519317723076924"/>
    <m/>
    <m/>
    <m/>
    <x v="0"/>
    <m/>
    <m/>
    <m/>
    <m/>
    <m/>
    <m/>
    <n v="4.8"/>
    <m/>
    <m/>
    <m/>
    <m/>
    <m/>
    <m/>
    <m/>
    <m/>
    <m/>
    <n v="4.8"/>
    <n v="4.8"/>
    <n v="0"/>
    <n v="0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0"/>
    <n v="415.29272507076922"/>
    <n v="0"/>
    <n v="0"/>
    <n v="0"/>
    <n v="0"/>
    <n v="0"/>
    <n v="0"/>
    <n v="0"/>
    <n v="0"/>
    <n v="0"/>
  </r>
  <r>
    <x v="1"/>
    <s v="December"/>
    <x v="3"/>
    <n v="71.291461538461533"/>
    <n v="0.21360000000000001"/>
    <n v="86.519317723076924"/>
    <m/>
    <m/>
    <m/>
    <x v="0"/>
    <m/>
    <m/>
    <m/>
    <m/>
    <m/>
    <m/>
    <n v="4.8"/>
    <m/>
    <m/>
    <m/>
    <m/>
    <m/>
    <m/>
    <m/>
    <m/>
    <m/>
    <n v="4.8"/>
    <n v="4.8"/>
    <n v="0"/>
    <n v="0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0"/>
    <n v="415.29272507076922"/>
    <n v="0"/>
    <n v="0"/>
    <n v="0"/>
    <n v="0"/>
    <n v="0"/>
    <n v="0"/>
    <n v="0"/>
    <n v="0"/>
    <n v="0"/>
  </r>
  <r>
    <x v="1"/>
    <s v="January"/>
    <x v="0"/>
    <n v="81.091389423076919"/>
    <n v="0.1913"/>
    <n v="96.604172219711529"/>
    <m/>
    <m/>
    <m/>
    <x v="0"/>
    <m/>
    <m/>
    <m/>
    <m/>
    <m/>
    <m/>
    <n v="4.8"/>
    <m/>
    <m/>
    <m/>
    <m/>
    <m/>
    <m/>
    <m/>
    <m/>
    <m/>
    <n v="4.8"/>
    <n v="4.8"/>
    <n v="0"/>
    <n v="0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0"/>
    <n v="463.70002665461533"/>
    <n v="0"/>
    <n v="0"/>
    <n v="0"/>
    <n v="0"/>
    <n v="0"/>
    <n v="0"/>
    <n v="0"/>
    <n v="0"/>
    <n v="0"/>
  </r>
  <r>
    <x v="1"/>
    <s v="February"/>
    <x v="0"/>
    <n v="81.091389423076919"/>
    <n v="0.1913"/>
    <n v="96.604172219711529"/>
    <m/>
    <m/>
    <m/>
    <x v="0"/>
    <m/>
    <m/>
    <m/>
    <m/>
    <m/>
    <m/>
    <n v="4.8"/>
    <m/>
    <m/>
    <m/>
    <m/>
    <m/>
    <m/>
    <m/>
    <m/>
    <m/>
    <n v="4.8"/>
    <n v="4.8"/>
    <n v="0"/>
    <n v="0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0"/>
    <n v="463.70002665461533"/>
    <n v="0"/>
    <n v="0"/>
    <n v="0"/>
    <n v="0"/>
    <n v="0"/>
    <n v="0"/>
    <n v="0"/>
    <n v="0"/>
    <n v="0"/>
  </r>
  <r>
    <x v="1"/>
    <s v="March"/>
    <x v="0"/>
    <n v="81.091389423076919"/>
    <n v="0.1913"/>
    <n v="96.604172219711529"/>
    <m/>
    <m/>
    <m/>
    <x v="0"/>
    <m/>
    <m/>
    <m/>
    <m/>
    <m/>
    <m/>
    <n v="4.8"/>
    <m/>
    <m/>
    <m/>
    <m/>
    <m/>
    <m/>
    <m/>
    <m/>
    <m/>
    <n v="4.8"/>
    <n v="4.8"/>
    <n v="0"/>
    <n v="0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0"/>
    <n v="463.70002665461533"/>
    <n v="0"/>
    <n v="0"/>
    <n v="0"/>
    <n v="0"/>
    <n v="0"/>
    <n v="0"/>
    <n v="0"/>
    <n v="0"/>
    <n v="0"/>
  </r>
  <r>
    <x v="1"/>
    <s v="April"/>
    <x v="0"/>
    <n v="81.091389423076919"/>
    <n v="0.1913"/>
    <n v="96.604172219711529"/>
    <m/>
    <m/>
    <m/>
    <x v="0"/>
    <m/>
    <m/>
    <m/>
    <m/>
    <m/>
    <m/>
    <n v="4.8"/>
    <m/>
    <m/>
    <m/>
    <m/>
    <m/>
    <m/>
    <m/>
    <m/>
    <m/>
    <n v="4.8"/>
    <n v="4.8"/>
    <n v="0"/>
    <n v="0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0"/>
    <n v="463.70002665461533"/>
    <n v="0"/>
    <n v="0"/>
    <n v="0"/>
    <n v="0"/>
    <n v="0"/>
    <n v="0"/>
    <n v="0"/>
    <n v="0"/>
    <n v="0"/>
  </r>
  <r>
    <x v="1"/>
    <s v="May"/>
    <x v="0"/>
    <n v="81.091389423076919"/>
    <n v="0.1913"/>
    <n v="96.604172219711529"/>
    <m/>
    <m/>
    <m/>
    <x v="0"/>
    <m/>
    <m/>
    <m/>
    <m/>
    <m/>
    <m/>
    <n v="4.8"/>
    <m/>
    <m/>
    <m/>
    <m/>
    <m/>
    <m/>
    <m/>
    <m/>
    <m/>
    <n v="4.8"/>
    <n v="4.8"/>
    <n v="0"/>
    <n v="0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0"/>
    <n v="463.70002665461533"/>
    <n v="0"/>
    <n v="0"/>
    <n v="0"/>
    <n v="0"/>
    <n v="0"/>
    <n v="0"/>
    <n v="0"/>
    <n v="0"/>
    <n v="0"/>
  </r>
  <r>
    <x v="1"/>
    <s v="June"/>
    <x v="0"/>
    <n v="81.091389423076919"/>
    <n v="0.1913"/>
    <n v="96.604172219711529"/>
    <m/>
    <m/>
    <m/>
    <x v="0"/>
    <m/>
    <m/>
    <m/>
    <m/>
    <m/>
    <m/>
    <n v="4.8"/>
    <m/>
    <m/>
    <m/>
    <m/>
    <m/>
    <m/>
    <m/>
    <m/>
    <m/>
    <n v="4.8"/>
    <n v="4.8"/>
    <n v="0"/>
    <n v="0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0"/>
    <n v="463.70002665461533"/>
    <n v="0"/>
    <n v="0"/>
    <n v="0"/>
    <n v="0"/>
    <n v="0"/>
    <n v="0"/>
    <n v="0"/>
    <n v="0"/>
    <n v="0"/>
  </r>
  <r>
    <x v="1"/>
    <s v="July"/>
    <x v="0"/>
    <n v="81.091389423076919"/>
    <n v="0.1913"/>
    <n v="96.604172219711529"/>
    <m/>
    <m/>
    <m/>
    <x v="0"/>
    <m/>
    <m/>
    <m/>
    <m/>
    <m/>
    <m/>
    <n v="4.8"/>
    <m/>
    <m/>
    <m/>
    <m/>
    <m/>
    <m/>
    <m/>
    <m/>
    <m/>
    <n v="4.8"/>
    <n v="4.8"/>
    <n v="0"/>
    <n v="0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0"/>
    <n v="463.70002665461533"/>
    <n v="0"/>
    <n v="0"/>
    <n v="0"/>
    <n v="0"/>
    <n v="0"/>
    <n v="0"/>
    <n v="0"/>
    <n v="0"/>
    <n v="0"/>
  </r>
  <r>
    <x v="1"/>
    <s v="August"/>
    <x v="0"/>
    <n v="81.091389423076919"/>
    <n v="0.1913"/>
    <n v="96.604172219711529"/>
    <m/>
    <m/>
    <m/>
    <x v="0"/>
    <m/>
    <m/>
    <m/>
    <m/>
    <m/>
    <m/>
    <n v="4.8"/>
    <m/>
    <m/>
    <m/>
    <m/>
    <m/>
    <m/>
    <m/>
    <m/>
    <m/>
    <n v="4.8"/>
    <n v="4.8"/>
    <n v="0"/>
    <n v="0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0"/>
    <n v="463.70002665461533"/>
    <n v="0"/>
    <n v="0"/>
    <n v="0"/>
    <n v="0"/>
    <n v="0"/>
    <n v="0"/>
    <n v="0"/>
    <n v="0"/>
    <n v="0"/>
  </r>
  <r>
    <x v="1"/>
    <s v="September"/>
    <x v="0"/>
    <n v="81.091389423076919"/>
    <n v="0.1913"/>
    <n v="96.604172219711529"/>
    <m/>
    <m/>
    <m/>
    <x v="0"/>
    <m/>
    <m/>
    <m/>
    <m/>
    <m/>
    <m/>
    <n v="4.8"/>
    <m/>
    <m/>
    <m/>
    <m/>
    <m/>
    <m/>
    <m/>
    <m/>
    <m/>
    <n v="4.8"/>
    <n v="4.8"/>
    <n v="0"/>
    <n v="0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0"/>
    <n v="463.70002665461533"/>
    <n v="0"/>
    <n v="0"/>
    <n v="0"/>
    <n v="0"/>
    <n v="0"/>
    <n v="0"/>
    <n v="0"/>
    <n v="0"/>
    <n v="0"/>
  </r>
  <r>
    <x v="1"/>
    <s v="October"/>
    <x v="0"/>
    <n v="81.091389423076919"/>
    <n v="0.1913"/>
    <n v="96.604172219711529"/>
    <m/>
    <m/>
    <m/>
    <x v="0"/>
    <m/>
    <m/>
    <m/>
    <m/>
    <m/>
    <m/>
    <n v="4.8"/>
    <m/>
    <m/>
    <m/>
    <m/>
    <m/>
    <m/>
    <m/>
    <m/>
    <m/>
    <n v="4.8"/>
    <n v="4.8"/>
    <n v="0"/>
    <n v="0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0"/>
    <n v="463.70002665461533"/>
    <n v="0"/>
    <n v="0"/>
    <n v="0"/>
    <n v="0"/>
    <n v="0"/>
    <n v="0"/>
    <n v="0"/>
    <n v="0"/>
    <n v="0"/>
  </r>
  <r>
    <x v="1"/>
    <s v="November"/>
    <x v="0"/>
    <n v="81.091389423076919"/>
    <n v="0.1913"/>
    <n v="96.604172219711529"/>
    <m/>
    <m/>
    <m/>
    <x v="0"/>
    <m/>
    <m/>
    <m/>
    <m/>
    <m/>
    <m/>
    <n v="4.8"/>
    <m/>
    <m/>
    <m/>
    <m/>
    <m/>
    <m/>
    <m/>
    <m/>
    <m/>
    <n v="4.8"/>
    <n v="4.8"/>
    <n v="0"/>
    <n v="0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0"/>
    <n v="463.70002665461533"/>
    <n v="0"/>
    <n v="0"/>
    <n v="0"/>
    <n v="0"/>
    <n v="0"/>
    <n v="0"/>
    <n v="0"/>
    <n v="0"/>
    <n v="0"/>
  </r>
  <r>
    <x v="1"/>
    <s v="December"/>
    <x v="0"/>
    <n v="81.091389423076919"/>
    <n v="0.1913"/>
    <n v="96.604172219711529"/>
    <m/>
    <m/>
    <m/>
    <x v="0"/>
    <m/>
    <m/>
    <m/>
    <m/>
    <m/>
    <m/>
    <n v="4.8"/>
    <m/>
    <m/>
    <m/>
    <m/>
    <m/>
    <m/>
    <m/>
    <m/>
    <m/>
    <n v="4.8"/>
    <n v="4.8"/>
    <n v="0"/>
    <n v="0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0"/>
    <n v="463.70002665461533"/>
    <n v="0"/>
    <n v="0"/>
    <n v="0"/>
    <n v="0"/>
    <n v="0"/>
    <n v="0"/>
    <n v="0"/>
    <n v="0"/>
    <n v="0"/>
  </r>
  <r>
    <x v="1"/>
    <s v="January"/>
    <x v="1"/>
    <n v="92.349581730769231"/>
    <n v="0.22450000000000001"/>
    <n v="113.08206282932692"/>
    <m/>
    <m/>
    <m/>
    <x v="0"/>
    <m/>
    <m/>
    <m/>
    <n v="99.12"/>
    <n v="10.53"/>
    <n v="55"/>
    <n v="4.8"/>
    <m/>
    <m/>
    <n v="4.375"/>
    <m/>
    <m/>
    <m/>
    <m/>
    <n v="1.625"/>
    <n v="29.47"/>
    <n v="204.92000000000002"/>
    <n v="184"/>
    <n v="-20.920000000000016"/>
    <n v="0"/>
    <n v="0"/>
    <n v="0"/>
    <n v="0"/>
    <n v="0"/>
    <n v="0"/>
    <n v="0"/>
    <n v="89.000975990630479"/>
    <n v="9.455006831934412"/>
    <n v="49.38512590279133"/>
    <n v="4.3099746242436066"/>
    <n v="0"/>
    <n v="0"/>
    <n v="3.9283622877220372"/>
    <n v="0"/>
    <n v="0"/>
    <n v="0"/>
    <n v="0"/>
    <n v="1.4591059925824712"/>
    <n v="26.461448370095646"/>
    <n v="183.99999999999994"/>
    <n v="0"/>
    <n v="0"/>
    <n v="0"/>
    <n v="0"/>
    <n v="0"/>
    <n v="0"/>
    <n v="0"/>
    <n v="10064.413958843892"/>
    <n v="1069.1916766205225"/>
    <n v="5584.5719101736695"/>
    <n v="487.38082125152016"/>
    <n v="0"/>
    <n v="0"/>
    <n v="444.22731103654183"/>
    <n v="0"/>
    <n v="0"/>
    <n v="0"/>
    <n v="0"/>
    <n v="164.99871552785842"/>
    <n v="2992.315167142146"/>
  </r>
  <r>
    <x v="1"/>
    <s v="February"/>
    <x v="1"/>
    <n v="92.349581730769231"/>
    <n v="0.22450000000000001"/>
    <n v="113.08206282932692"/>
    <m/>
    <m/>
    <m/>
    <x v="0"/>
    <m/>
    <m/>
    <m/>
    <n v="99.12"/>
    <n v="10.53"/>
    <n v="55"/>
    <n v="4.8"/>
    <m/>
    <m/>
    <n v="4.375"/>
    <m/>
    <m/>
    <m/>
    <m/>
    <n v="1.625"/>
    <n v="29.47"/>
    <n v="204.92000000000002"/>
    <n v="160"/>
    <n v="-44.920000000000016"/>
    <n v="0"/>
    <n v="0"/>
    <n v="0"/>
    <n v="0"/>
    <n v="0"/>
    <n v="0"/>
    <n v="0"/>
    <n v="77.39215303533085"/>
    <n v="8.2217450712473159"/>
    <n v="42.943587741557678"/>
    <n v="3.7478040210813974"/>
    <n v="0"/>
    <n v="0"/>
    <n v="3.4159672067148152"/>
    <n v="0"/>
    <n v="0"/>
    <n v="0"/>
    <n v="0"/>
    <n v="1.2687878196369315"/>
    <n v="23.009955104430997"/>
    <n v="160"/>
    <n v="0"/>
    <n v="0"/>
    <n v="0"/>
    <n v="0"/>
    <n v="0"/>
    <n v="0"/>
    <n v="0"/>
    <n v="8751.6643120381668"/>
    <n v="929.73189271349793"/>
    <n v="4856.1494871075383"/>
    <n v="423.80940978393062"/>
    <n v="0"/>
    <n v="0"/>
    <n v="386.28461829264512"/>
    <n v="0"/>
    <n v="0"/>
    <n v="0"/>
    <n v="0"/>
    <n v="143.47714393726821"/>
    <n v="2602.0131888192577"/>
  </r>
  <r>
    <x v="1"/>
    <s v="March"/>
    <x v="1"/>
    <n v="92.349581730769231"/>
    <n v="0.22450000000000001"/>
    <n v="113.08206282932692"/>
    <m/>
    <m/>
    <m/>
    <x v="0"/>
    <m/>
    <m/>
    <m/>
    <n v="99.12"/>
    <n v="10.53"/>
    <n v="55"/>
    <n v="4.8"/>
    <m/>
    <m/>
    <n v="4.375"/>
    <m/>
    <m/>
    <m/>
    <m/>
    <n v="1.625"/>
    <n v="29.47"/>
    <n v="204.92000000000002"/>
    <n v="168"/>
    <n v="-36.920000000000016"/>
    <n v="0"/>
    <n v="0"/>
    <n v="0"/>
    <n v="0"/>
    <n v="0"/>
    <n v="0"/>
    <n v="0"/>
    <n v="81.261760687097393"/>
    <n v="8.6328323248096801"/>
    <n v="45.090767128635562"/>
    <n v="3.935194222135467"/>
    <n v="0"/>
    <n v="0"/>
    <n v="3.5867655670505556"/>
    <n v="0"/>
    <n v="0"/>
    <n v="0"/>
    <n v="0"/>
    <n v="1.332227210618778"/>
    <n v="24.160452859652548"/>
    <n v="167.99999999999997"/>
    <n v="0"/>
    <n v="0"/>
    <n v="0"/>
    <n v="0"/>
    <n v="0"/>
    <n v="0"/>
    <n v="0"/>
    <n v="9189.2475276400746"/>
    <n v="976.21848734917262"/>
    <n v="5098.9569614629154"/>
    <n v="444.99988027312713"/>
    <n v="0"/>
    <n v="0"/>
    <n v="405.59884920727728"/>
    <n v="0"/>
    <n v="0"/>
    <n v="0"/>
    <n v="0"/>
    <n v="150.6510011341316"/>
    <n v="2732.1138482602205"/>
  </r>
  <r>
    <x v="1"/>
    <s v="April"/>
    <x v="1"/>
    <n v="92.349581730769231"/>
    <n v="0.22450000000000001"/>
    <n v="113.08206282932692"/>
    <m/>
    <m/>
    <m/>
    <x v="0"/>
    <m/>
    <m/>
    <m/>
    <n v="99.12"/>
    <n v="10.53"/>
    <n v="55"/>
    <n v="4.8"/>
    <m/>
    <m/>
    <n v="4.375"/>
    <m/>
    <m/>
    <m/>
    <m/>
    <n v="1.625"/>
    <n v="29.47"/>
    <n v="204.92000000000002"/>
    <n v="176"/>
    <n v="-28.920000000000016"/>
    <n v="0"/>
    <n v="0"/>
    <n v="0"/>
    <n v="0"/>
    <n v="0"/>
    <n v="0"/>
    <n v="0"/>
    <n v="85.131368338863936"/>
    <n v="9.0439195783720461"/>
    <n v="47.237946515713446"/>
    <n v="4.1225844231895374"/>
    <n v="0"/>
    <n v="0"/>
    <n v="3.7575639273862964"/>
    <n v="0"/>
    <n v="0"/>
    <n v="0"/>
    <n v="0"/>
    <n v="1.3956666016006247"/>
    <n v="25.310950614874095"/>
    <n v="175.99999999999997"/>
    <n v="0"/>
    <n v="0"/>
    <n v="0"/>
    <n v="0"/>
    <n v="0"/>
    <n v="0"/>
    <n v="0"/>
    <n v="9626.8307432419842"/>
    <n v="1022.7050819848475"/>
    <n v="5341.7644358182924"/>
    <n v="466.19035076232376"/>
    <n v="0"/>
    <n v="0"/>
    <n v="424.91308012190956"/>
    <n v="0"/>
    <n v="0"/>
    <n v="0"/>
    <n v="0"/>
    <n v="157.82485833099503"/>
    <n v="2862.2145077011833"/>
  </r>
  <r>
    <x v="1"/>
    <s v="May"/>
    <x v="1"/>
    <n v="92.349581730769231"/>
    <n v="0.22450000000000001"/>
    <n v="113.08206282932692"/>
    <m/>
    <m/>
    <m/>
    <x v="0"/>
    <m/>
    <m/>
    <m/>
    <n v="99.12"/>
    <n v="10.53"/>
    <n v="55"/>
    <n v="4.8"/>
    <m/>
    <m/>
    <n v="4.375"/>
    <m/>
    <m/>
    <m/>
    <m/>
    <n v="1.625"/>
    <n v="29.47"/>
    <n v="204.92000000000002"/>
    <n v="176"/>
    <n v="-28.920000000000016"/>
    <n v="0"/>
    <n v="0"/>
    <n v="0"/>
    <n v="0"/>
    <n v="0"/>
    <n v="0"/>
    <n v="0"/>
    <n v="85.131368338863936"/>
    <n v="9.0439195783720461"/>
    <n v="47.237946515713446"/>
    <n v="4.1225844231895374"/>
    <n v="0"/>
    <n v="0"/>
    <n v="3.7575639273862964"/>
    <n v="0"/>
    <n v="0"/>
    <n v="0"/>
    <n v="0"/>
    <n v="1.3956666016006247"/>
    <n v="25.310950614874095"/>
    <n v="175.99999999999997"/>
    <n v="0"/>
    <n v="0"/>
    <n v="0"/>
    <n v="0"/>
    <n v="0"/>
    <n v="0"/>
    <n v="0"/>
    <n v="9626.8307432419842"/>
    <n v="1022.7050819848475"/>
    <n v="5341.7644358182924"/>
    <n v="466.19035076232376"/>
    <n v="0"/>
    <n v="0"/>
    <n v="424.91308012190956"/>
    <n v="0"/>
    <n v="0"/>
    <n v="0"/>
    <n v="0"/>
    <n v="157.82485833099503"/>
    <n v="2862.2145077011833"/>
  </r>
  <r>
    <x v="1"/>
    <s v="June"/>
    <x v="1"/>
    <n v="92.349581730769231"/>
    <n v="0.22450000000000001"/>
    <n v="113.08206282932692"/>
    <m/>
    <m/>
    <m/>
    <x v="0"/>
    <m/>
    <m/>
    <m/>
    <n v="99.12"/>
    <n v="10.53"/>
    <n v="55"/>
    <n v="4.8"/>
    <m/>
    <m/>
    <n v="4.375"/>
    <m/>
    <n v="1.5"/>
    <n v="6"/>
    <m/>
    <n v="1.625"/>
    <n v="29.47"/>
    <n v="212.42000000000002"/>
    <n v="168"/>
    <n v="-44.420000000000016"/>
    <n v="0"/>
    <n v="0"/>
    <n v="0"/>
    <n v="0"/>
    <n v="0"/>
    <n v="0"/>
    <n v="0"/>
    <n v="78.392618397514354"/>
    <n v="8.3280293757649932"/>
    <n v="43.498728933245452"/>
    <n v="3.7962527069014214"/>
    <n v="0"/>
    <n v="0"/>
    <n v="3.4601261651445245"/>
    <n v="0"/>
    <n v="1.1863289709066942"/>
    <n v="4.7453158836267768"/>
    <n v="0"/>
    <n v="1.2851897184822521"/>
    <n v="23.307409848413517"/>
    <n v="167.99999999999997"/>
    <n v="0"/>
    <n v="0"/>
    <n v="0"/>
    <n v="0"/>
    <n v="0"/>
    <n v="0"/>
    <n v="0"/>
    <n v="8864.7989989831676"/>
    <n v="941.75074111473714"/>
    <n v="4918.9259982251224"/>
    <n v="429.28808711782892"/>
    <n v="0"/>
    <n v="0"/>
    <n v="391.27820440427109"/>
    <n v="0"/>
    <n v="134.15252722432155"/>
    <n v="536.61010889728618"/>
    <n v="0"/>
    <n v="145.331904493015"/>
    <n v="2635.6499848671701"/>
  </r>
  <r>
    <x v="1"/>
    <s v="July"/>
    <x v="1"/>
    <n v="92.349581730769231"/>
    <n v="0.22450000000000001"/>
    <n v="113.08206282932692"/>
    <m/>
    <m/>
    <m/>
    <x v="0"/>
    <m/>
    <m/>
    <m/>
    <n v="99.12"/>
    <n v="10.53"/>
    <n v="55"/>
    <n v="4.8"/>
    <m/>
    <m/>
    <n v="4.375"/>
    <m/>
    <m/>
    <m/>
    <m/>
    <n v="1.625"/>
    <n v="29.47"/>
    <n v="204.92000000000002"/>
    <n v="184"/>
    <n v="-20.920000000000016"/>
    <n v="0"/>
    <n v="0"/>
    <n v="0"/>
    <n v="0"/>
    <n v="0"/>
    <n v="0"/>
    <n v="0"/>
    <n v="89.000975990630479"/>
    <n v="9.455006831934412"/>
    <n v="49.38512590279133"/>
    <n v="4.3099746242436066"/>
    <n v="0"/>
    <n v="0"/>
    <n v="3.9283622877220372"/>
    <n v="0"/>
    <n v="0"/>
    <n v="0"/>
    <n v="0"/>
    <n v="1.4591059925824712"/>
    <n v="26.461448370095646"/>
    <n v="183.99999999999994"/>
    <n v="0"/>
    <n v="0"/>
    <n v="0"/>
    <n v="0"/>
    <n v="0"/>
    <n v="0"/>
    <n v="0"/>
    <n v="10064.413958843892"/>
    <n v="1069.1916766205225"/>
    <n v="5584.5719101736695"/>
    <n v="487.38082125152016"/>
    <n v="0"/>
    <n v="0"/>
    <n v="444.22731103654183"/>
    <n v="0"/>
    <n v="0"/>
    <n v="0"/>
    <n v="0"/>
    <n v="164.99871552785842"/>
    <n v="2992.315167142146"/>
  </r>
  <r>
    <x v="1"/>
    <s v="August"/>
    <x v="1"/>
    <n v="92.349581730769231"/>
    <n v="0.22450000000000001"/>
    <n v="113.08206282932692"/>
    <m/>
    <m/>
    <m/>
    <x v="0"/>
    <m/>
    <m/>
    <m/>
    <n v="99.12"/>
    <n v="10.53"/>
    <n v="80"/>
    <n v="4.8"/>
    <m/>
    <m/>
    <n v="4.375"/>
    <m/>
    <n v="0.5"/>
    <m/>
    <m/>
    <n v="1.625"/>
    <n v="29.47"/>
    <n v="230.42000000000002"/>
    <n v="168"/>
    <n v="-62.420000000000016"/>
    <n v="0"/>
    <n v="0"/>
    <n v="0"/>
    <n v="0"/>
    <n v="0"/>
    <n v="0"/>
    <n v="0"/>
    <n v="72.268726673031864"/>
    <n v="7.6774585539449687"/>
    <n v="58.328270115441363"/>
    <n v="3.4996962069264819"/>
    <n v="0"/>
    <n v="0"/>
    <n v="3.1898272719381997"/>
    <n v="0"/>
    <n v="0.36455168822150852"/>
    <n v="0"/>
    <n v="0"/>
    <n v="1.1847929867199027"/>
    <n v="21.486676503775712"/>
    <n v="168"/>
    <n v="0"/>
    <n v="0"/>
    <n v="0"/>
    <n v="0"/>
    <n v="0"/>
    <n v="0"/>
    <n v="0"/>
    <n v="8172.2966902352427"/>
    <n v="868.18285056675836"/>
    <n v="6595.8811059202917"/>
    <n v="395.75286635521752"/>
    <n v="0"/>
    <n v="0"/>
    <n v="360.71224798001595"/>
    <n v="0"/>
    <n v="41.22425691200182"/>
    <n v="0"/>
    <n v="0"/>
    <n v="133.97883496400593"/>
    <n v="2429.7577023933873"/>
  </r>
  <r>
    <x v="1"/>
    <s v="September"/>
    <x v="1"/>
    <n v="92.349581730769231"/>
    <n v="0.22450000000000001"/>
    <n v="113.08206282932692"/>
    <m/>
    <m/>
    <m/>
    <x v="0"/>
    <m/>
    <m/>
    <m/>
    <n v="99.12"/>
    <n v="10.52"/>
    <n v="80"/>
    <n v="4.8"/>
    <m/>
    <m/>
    <n v="4.375"/>
    <m/>
    <m/>
    <m/>
    <m/>
    <n v="1.625"/>
    <n v="29.47"/>
    <n v="229.91"/>
    <n v="176"/>
    <n v="-53.91"/>
    <n v="0"/>
    <n v="0"/>
    <n v="0"/>
    <n v="0"/>
    <n v="0"/>
    <n v="0"/>
    <n v="0"/>
    <n v="75.878039232743262"/>
    <n v="8.053238223652734"/>
    <n v="61.241355312948542"/>
    <n v="3.6744813187769125"/>
    <n v="0"/>
    <n v="0"/>
    <n v="3.3491366186768738"/>
    <n v="0"/>
    <n v="0"/>
    <n v="0"/>
    <n v="0"/>
    <n v="1.2439650297942673"/>
    <n v="22.559784263407419"/>
    <n v="176"/>
    <n v="0"/>
    <n v="0"/>
    <n v="0"/>
    <n v="0"/>
    <n v="0"/>
    <n v="0"/>
    <n v="0"/>
    <n v="8580.4451998832064"/>
    <n v="910.67679078663559"/>
    <n v="6925.2987892519805"/>
    <n v="415.51792735511884"/>
    <n v="0"/>
    <n v="0"/>
    <n v="378.72727753721773"/>
    <n v="0"/>
    <n v="0"/>
    <n v="0"/>
    <n v="0"/>
    <n v="140.67013165668087"/>
    <n v="2551.1069414906983"/>
  </r>
  <r>
    <x v="1"/>
    <s v="October"/>
    <x v="1"/>
    <n v="92.349581730769231"/>
    <n v="0.22450000000000001"/>
    <n v="113.08206282932692"/>
    <m/>
    <m/>
    <m/>
    <x v="0"/>
    <m/>
    <m/>
    <m/>
    <n v="99.11"/>
    <n v="10.52"/>
    <n v="90"/>
    <n v="4.8"/>
    <m/>
    <m/>
    <n v="4.375"/>
    <m/>
    <m/>
    <m/>
    <m/>
    <n v="1.625"/>
    <n v="29.47"/>
    <n v="239.9"/>
    <n v="184"/>
    <n v="-55.900000000000006"/>
    <n v="0"/>
    <n v="0"/>
    <n v="0"/>
    <n v="0"/>
    <n v="0"/>
    <n v="0"/>
    <n v="0"/>
    <n v="76.016006669445602"/>
    <n v="8.068695289704042"/>
    <n v="69.02876198416007"/>
    <n v="3.6815339724885368"/>
    <n v="0"/>
    <n v="0"/>
    <n v="3.3555648186744476"/>
    <n v="0"/>
    <n v="0"/>
    <n v="0"/>
    <n v="0"/>
    <n v="1.2463526469362234"/>
    <n v="22.603084618591076"/>
    <n v="184"/>
    <n v="0"/>
    <n v="0"/>
    <n v="0"/>
    <n v="0"/>
    <n v="0"/>
    <n v="0"/>
    <n v="0"/>
    <n v="8596.0468422287813"/>
    <n v="912.42470770100658"/>
    <n v="7805.9147997234422"/>
    <n v="416.3154559852502"/>
    <n v="0"/>
    <n v="0"/>
    <n v="379.45419165322284"/>
    <n v="0"/>
    <n v="0"/>
    <n v="0"/>
    <n v="0"/>
    <n v="140.94012832833991"/>
    <n v="2556.003434976109"/>
  </r>
  <r>
    <x v="1"/>
    <s v="November"/>
    <x v="1"/>
    <n v="92.349581730769231"/>
    <n v="0.22450000000000001"/>
    <n v="113.08206282932692"/>
    <m/>
    <m/>
    <m/>
    <x v="0"/>
    <m/>
    <m/>
    <m/>
    <n v="99.11"/>
    <n v="10.52"/>
    <n v="90"/>
    <n v="4.8"/>
    <m/>
    <m/>
    <n v="4.375"/>
    <m/>
    <m/>
    <m/>
    <m/>
    <n v="1.625"/>
    <n v="29.47"/>
    <n v="239.9"/>
    <n v="160"/>
    <n v="-79.900000000000006"/>
    <n v="0"/>
    <n v="0"/>
    <n v="0"/>
    <n v="0"/>
    <n v="0"/>
    <n v="0"/>
    <n v="0"/>
    <n v="66.100875364735302"/>
    <n v="7.0162567736556891"/>
    <n v="60.025010421008751"/>
    <n v="3.201333889120467"/>
    <n v="0"/>
    <n v="0"/>
    <n v="2.9178824510212586"/>
    <n v="0"/>
    <n v="0"/>
    <n v="0"/>
    <n v="0"/>
    <n v="1.0837849103793247"/>
    <n v="19.654856190079197"/>
    <n v="159.99999999999997"/>
    <n v="0"/>
    <n v="0"/>
    <n v="0"/>
    <n v="0"/>
    <n v="0"/>
    <n v="0"/>
    <n v="0"/>
    <n v="7474.8233410685052"/>
    <n v="793.41278930522321"/>
    <n v="6787.7519997595145"/>
    <n v="362.01343998717414"/>
    <n v="0"/>
    <n v="0"/>
    <n v="329.96016665497638"/>
    <n v="0"/>
    <n v="0"/>
    <n v="0"/>
    <n v="0"/>
    <n v="122.55663332899124"/>
    <n v="2222.6116825879208"/>
  </r>
  <r>
    <x v="1"/>
    <s v="December"/>
    <x v="1"/>
    <n v="92.349581730769231"/>
    <n v="0.22450000000000001"/>
    <n v="113.08206282932692"/>
    <m/>
    <m/>
    <m/>
    <x v="0"/>
    <m/>
    <m/>
    <m/>
    <n v="99.11"/>
    <n v="10.52"/>
    <n v="90"/>
    <n v="4.8"/>
    <m/>
    <m/>
    <n v="4.375"/>
    <m/>
    <m/>
    <m/>
    <m/>
    <n v="1.625"/>
    <n v="29.45"/>
    <n v="239.88"/>
    <n v="184"/>
    <n v="-55.879999999999995"/>
    <n v="0"/>
    <n v="0"/>
    <n v="0"/>
    <n v="0"/>
    <n v="0"/>
    <n v="0"/>
    <n v="0"/>
    <n v="76.022344505586119"/>
    <n v="8.0693680173420042"/>
    <n v="69.034517258629322"/>
    <n v="3.68184092046023"/>
    <n v="0"/>
    <n v="0"/>
    <n v="3.3558445889611472"/>
    <n v="0"/>
    <n v="0"/>
    <n v="0"/>
    <n v="0"/>
    <n v="1.2464565616141405"/>
    <n v="22.589628147407037"/>
    <n v="183.99999999999997"/>
    <n v="0"/>
    <n v="0"/>
    <n v="0"/>
    <n v="0"/>
    <n v="0"/>
    <n v="0"/>
    <n v="0"/>
    <n v="8596.7635378134255"/>
    <n v="912.50078113002962"/>
    <n v="7806.5656180325741"/>
    <n v="416.35016629507055"/>
    <n v="0"/>
    <n v="0"/>
    <n v="379.48582865436123"/>
    <n v="0"/>
    <n v="0"/>
    <n v="0"/>
    <n v="0"/>
    <n v="140.95187921447703"/>
    <n v="2554.4817494562144"/>
  </r>
  <r>
    <x v="1"/>
    <s v="January"/>
    <x v="2"/>
    <n v="100.96153846153847"/>
    <n v="0.23630000000000001"/>
    <n v="124.81875000000001"/>
    <m/>
    <m/>
    <m/>
    <x v="0"/>
    <m/>
    <m/>
    <m/>
    <m/>
    <m/>
    <m/>
    <n v="4.8"/>
    <m/>
    <m/>
    <m/>
    <m/>
    <m/>
    <m/>
    <m/>
    <m/>
    <m/>
    <n v="4.8"/>
    <n v="4.8"/>
    <n v="0"/>
    <n v="0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0"/>
    <n v="599.13"/>
    <n v="0"/>
    <n v="0"/>
    <n v="0"/>
    <n v="0"/>
    <n v="0"/>
    <n v="0"/>
    <n v="0"/>
    <n v="0"/>
    <n v="0"/>
  </r>
  <r>
    <x v="1"/>
    <s v="February"/>
    <x v="2"/>
    <n v="100.96153846153847"/>
    <n v="0.23630000000000001"/>
    <n v="124.81875000000001"/>
    <m/>
    <m/>
    <m/>
    <x v="0"/>
    <m/>
    <m/>
    <m/>
    <m/>
    <m/>
    <m/>
    <n v="4.8"/>
    <m/>
    <m/>
    <m/>
    <m/>
    <m/>
    <m/>
    <m/>
    <m/>
    <m/>
    <n v="4.8"/>
    <n v="4.8"/>
    <n v="0"/>
    <n v="0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0"/>
    <n v="599.13"/>
    <n v="0"/>
    <n v="0"/>
    <n v="0"/>
    <n v="0"/>
    <n v="0"/>
    <n v="0"/>
    <n v="0"/>
    <n v="0"/>
    <n v="0"/>
  </r>
  <r>
    <x v="1"/>
    <s v="March"/>
    <x v="2"/>
    <n v="100.96153846153847"/>
    <n v="0.23630000000000001"/>
    <n v="124.81875000000001"/>
    <m/>
    <m/>
    <m/>
    <x v="0"/>
    <m/>
    <m/>
    <m/>
    <m/>
    <m/>
    <m/>
    <n v="4.8"/>
    <m/>
    <m/>
    <m/>
    <m/>
    <m/>
    <m/>
    <m/>
    <m/>
    <m/>
    <n v="4.8"/>
    <n v="4.8"/>
    <n v="0"/>
    <n v="0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0"/>
    <n v="599.13"/>
    <n v="0"/>
    <n v="0"/>
    <n v="0"/>
    <n v="0"/>
    <n v="0"/>
    <n v="0"/>
    <n v="0"/>
    <n v="0"/>
    <n v="0"/>
  </r>
  <r>
    <x v="1"/>
    <s v="April"/>
    <x v="2"/>
    <n v="100.96153846153847"/>
    <n v="0.23630000000000001"/>
    <n v="124.81875000000001"/>
    <m/>
    <m/>
    <m/>
    <x v="0"/>
    <m/>
    <m/>
    <m/>
    <m/>
    <m/>
    <m/>
    <n v="4.8"/>
    <m/>
    <m/>
    <m/>
    <m/>
    <m/>
    <m/>
    <m/>
    <m/>
    <m/>
    <n v="4.8"/>
    <n v="4.8"/>
    <n v="0"/>
    <n v="0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0"/>
    <n v="599.13"/>
    <n v="0"/>
    <n v="0"/>
    <n v="0"/>
    <n v="0"/>
    <n v="0"/>
    <n v="0"/>
    <n v="0"/>
    <n v="0"/>
    <n v="0"/>
  </r>
  <r>
    <x v="1"/>
    <s v="May"/>
    <x v="2"/>
    <n v="100.96153846153847"/>
    <n v="0.23630000000000001"/>
    <n v="124.81875000000001"/>
    <m/>
    <m/>
    <m/>
    <x v="0"/>
    <m/>
    <m/>
    <m/>
    <m/>
    <m/>
    <m/>
    <n v="4.8"/>
    <m/>
    <m/>
    <m/>
    <m/>
    <m/>
    <m/>
    <m/>
    <m/>
    <m/>
    <n v="4.8"/>
    <n v="4.8"/>
    <n v="0"/>
    <n v="0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0"/>
    <n v="599.13"/>
    <n v="0"/>
    <n v="0"/>
    <n v="0"/>
    <n v="0"/>
    <n v="0"/>
    <n v="0"/>
    <n v="0"/>
    <n v="0"/>
    <n v="0"/>
  </r>
  <r>
    <x v="1"/>
    <s v="June"/>
    <x v="2"/>
    <n v="100.96153846153847"/>
    <n v="0.23630000000000001"/>
    <n v="124.81875000000001"/>
    <m/>
    <m/>
    <m/>
    <x v="0"/>
    <m/>
    <m/>
    <m/>
    <m/>
    <m/>
    <m/>
    <n v="4.8"/>
    <m/>
    <m/>
    <m/>
    <m/>
    <m/>
    <m/>
    <m/>
    <m/>
    <m/>
    <n v="4.8"/>
    <n v="4.8"/>
    <n v="0"/>
    <n v="0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4.8"/>
    <n v="0"/>
    <n v="0"/>
    <n v="0"/>
    <n v="0"/>
    <n v="0"/>
    <n v="0"/>
    <n v="0"/>
    <n v="0"/>
    <n v="0"/>
    <n v="0"/>
    <n v="599.13"/>
    <n v="0"/>
    <n v="0"/>
    <n v="0"/>
    <n v="0"/>
    <n v="0"/>
    <n v="0"/>
    <n v="0"/>
    <n v="0"/>
    <n v="0"/>
  </r>
  <r>
    <x v="2"/>
    <s v="December"/>
    <x v="3"/>
    <n v="57.206374999999994"/>
    <n v="0.21360000000000001"/>
    <n v="69.42565669999999"/>
    <m/>
    <m/>
    <n v="9"/>
    <x v="0"/>
    <m/>
    <n v="10.5"/>
    <m/>
    <m/>
    <m/>
    <m/>
    <n v="20"/>
    <n v="30"/>
    <m/>
    <m/>
    <m/>
    <m/>
    <m/>
    <m/>
    <m/>
    <n v="30"/>
    <n v="99.5"/>
    <n v="168"/>
    <n v="68.5"/>
    <n v="0"/>
    <n v="0"/>
    <n v="15.195979899497488"/>
    <n v="0"/>
    <n v="0"/>
    <n v="17.728643216080403"/>
    <n v="0"/>
    <n v="0"/>
    <n v="0"/>
    <n v="0"/>
    <n v="33.768844221105532"/>
    <n v="50.653266331658287"/>
    <n v="0"/>
    <n v="0"/>
    <n v="0"/>
    <n v="0"/>
    <n v="0"/>
    <n v="0"/>
    <n v="0"/>
    <n v="50.653266331658287"/>
    <n v="168"/>
    <n v="0"/>
    <n v="0"/>
    <n v="1054.990883722613"/>
    <n v="0"/>
    <n v="0"/>
    <n v="1230.8226976763817"/>
    <n v="0"/>
    <n v="0"/>
    <n v="0"/>
    <n v="0"/>
    <n v="2344.4241860502511"/>
    <n v="3516.636279075376"/>
    <n v="0"/>
    <n v="0"/>
    <n v="0"/>
    <n v="0"/>
    <n v="0"/>
    <n v="0"/>
    <n v="0"/>
    <n v="3516.636279075376"/>
  </r>
  <r>
    <x v="2"/>
    <s v="November"/>
    <x v="3"/>
    <n v="57.206374999999994"/>
    <n v="0.21360000000000001"/>
    <n v="69.42565669999999"/>
    <m/>
    <m/>
    <n v="22"/>
    <x v="0"/>
    <m/>
    <n v="17.5"/>
    <m/>
    <m/>
    <m/>
    <m/>
    <n v="40"/>
    <n v="40"/>
    <m/>
    <m/>
    <m/>
    <m/>
    <m/>
    <m/>
    <m/>
    <n v="40"/>
    <n v="159.5"/>
    <n v="176"/>
    <n v="16.5"/>
    <n v="0"/>
    <n v="0"/>
    <n v="24.275862068965516"/>
    <n v="0"/>
    <n v="0"/>
    <n v="19.310344827586206"/>
    <n v="0"/>
    <n v="0"/>
    <n v="0"/>
    <n v="0"/>
    <n v="44.137931034482754"/>
    <n v="44.137931034482754"/>
    <n v="0"/>
    <n v="0"/>
    <n v="0"/>
    <n v="0"/>
    <n v="0"/>
    <n v="0"/>
    <n v="0"/>
    <n v="44.137931034482754"/>
    <n v="176"/>
    <n v="0"/>
    <n v="0"/>
    <n v="1685.3676660965514"/>
    <n v="0"/>
    <n v="0"/>
    <n v="1340.6333707586205"/>
    <n v="0"/>
    <n v="0"/>
    <n v="0"/>
    <n v="0"/>
    <n v="3064.3048474482753"/>
    <n v="3064.3048474482753"/>
    <n v="0"/>
    <n v="0"/>
    <n v="0"/>
    <n v="0"/>
    <n v="0"/>
    <n v="0"/>
    <n v="0"/>
    <n v="3064.3048474482753"/>
  </r>
  <r>
    <x v="2"/>
    <s v="October"/>
    <x v="3"/>
    <n v="57.206374999999994"/>
    <n v="0.21360000000000001"/>
    <n v="69.42565669999999"/>
    <m/>
    <m/>
    <n v="32.5"/>
    <x v="0"/>
    <m/>
    <n v="15.5"/>
    <m/>
    <m/>
    <m/>
    <m/>
    <n v="30"/>
    <n v="50"/>
    <m/>
    <m/>
    <m/>
    <m/>
    <m/>
    <m/>
    <m/>
    <n v="40"/>
    <n v="168"/>
    <n v="176"/>
    <n v="8"/>
    <n v="0"/>
    <n v="0"/>
    <n v="34.047619047619051"/>
    <n v="0"/>
    <n v="0"/>
    <n v="16.238095238095241"/>
    <n v="0"/>
    <n v="0"/>
    <n v="0"/>
    <n v="0"/>
    <n v="31.428571428571431"/>
    <n v="52.38095238095238"/>
    <n v="0"/>
    <n v="0"/>
    <n v="0"/>
    <n v="0"/>
    <n v="0"/>
    <n v="0"/>
    <n v="0"/>
    <n v="41.904761904761905"/>
    <n v="176"/>
    <n v="0"/>
    <n v="0"/>
    <n v="2363.7783114523809"/>
    <n v="0"/>
    <n v="0"/>
    <n v="1127.3404254619047"/>
    <n v="0"/>
    <n v="0"/>
    <n v="0"/>
    <n v="0"/>
    <n v="2181.9492105714285"/>
    <n v="3636.5820176190468"/>
    <n v="0"/>
    <n v="0"/>
    <n v="0"/>
    <n v="0"/>
    <n v="0"/>
    <n v="0"/>
    <n v="0"/>
    <n v="2909.2656140952377"/>
  </r>
  <r>
    <x v="2"/>
    <s v="December"/>
    <x v="0"/>
    <n v="64.663456730769227"/>
    <n v="0.1913"/>
    <n v="77.033576003365383"/>
    <m/>
    <m/>
    <m/>
    <x v="0"/>
    <n v="5"/>
    <n v="9"/>
    <n v="30"/>
    <m/>
    <m/>
    <m/>
    <m/>
    <n v="20"/>
    <n v="26"/>
    <m/>
    <m/>
    <n v="25"/>
    <m/>
    <m/>
    <m/>
    <n v="5"/>
    <n v="120"/>
    <n v="176"/>
    <n v="56"/>
    <n v="0"/>
    <n v="0"/>
    <n v="0"/>
    <n v="0"/>
    <n v="7.333333333333333"/>
    <n v="13.2"/>
    <n v="44"/>
    <n v="0"/>
    <n v="0"/>
    <n v="0"/>
    <n v="0"/>
    <n v="29.333333333333332"/>
    <n v="38.133333333333333"/>
    <n v="0"/>
    <n v="0"/>
    <n v="36.666666666666671"/>
    <n v="0"/>
    <n v="0"/>
    <n v="0"/>
    <n v="7.333333333333333"/>
    <n v="176.00000000000003"/>
    <n v="0"/>
    <n v="0"/>
    <n v="0"/>
    <n v="0"/>
    <n v="564.91289069134609"/>
    <n v="1016.843203244423"/>
    <n v="3389.477344148077"/>
    <n v="0"/>
    <n v="0"/>
    <n v="0"/>
    <n v="0"/>
    <n v="2259.6515627653844"/>
    <n v="2937.5470315949997"/>
    <n v="0"/>
    <n v="0"/>
    <n v="2824.5644534567309"/>
    <n v="0"/>
    <n v="0"/>
    <n v="0"/>
    <n v="564.91289069134609"/>
  </r>
  <r>
    <x v="2"/>
    <s v="November"/>
    <x v="0"/>
    <n v="64.663456730769227"/>
    <n v="0.1913"/>
    <n v="77.033576003365383"/>
    <m/>
    <m/>
    <m/>
    <x v="0"/>
    <n v="5"/>
    <n v="12"/>
    <n v="30"/>
    <m/>
    <m/>
    <m/>
    <m/>
    <n v="40"/>
    <n v="30"/>
    <m/>
    <m/>
    <n v="30"/>
    <m/>
    <m/>
    <m/>
    <n v="5"/>
    <n v="152"/>
    <n v="168"/>
    <n v="16"/>
    <n v="0"/>
    <n v="0"/>
    <n v="0"/>
    <n v="0"/>
    <n v="5.5263157894736841"/>
    <n v="13.263157894736841"/>
    <n v="33.157894736842103"/>
    <n v="0"/>
    <n v="0"/>
    <n v="0"/>
    <n v="0"/>
    <n v="44.210526315789473"/>
    <n v="33.157894736842103"/>
    <n v="0"/>
    <n v="0"/>
    <n v="33.157894736842103"/>
    <n v="0"/>
    <n v="0"/>
    <n v="0"/>
    <n v="5.5263157894736841"/>
    <n v="168"/>
    <n v="0"/>
    <n v="0"/>
    <n v="0"/>
    <n v="0"/>
    <n v="425.7118673870192"/>
    <n v="1021.708481728846"/>
    <n v="2554.271204322115"/>
    <n v="0"/>
    <n v="0"/>
    <n v="0"/>
    <n v="0"/>
    <n v="3405.6949390961536"/>
    <n v="2554.271204322115"/>
    <n v="0"/>
    <n v="0"/>
    <n v="2554.271204322115"/>
    <n v="0"/>
    <n v="0"/>
    <n v="0"/>
    <n v="425.7118673870192"/>
  </r>
  <r>
    <x v="2"/>
    <s v="June"/>
    <x v="0"/>
    <n v="64.663456730769227"/>
    <n v="0.1913"/>
    <n v="77.033576003365383"/>
    <m/>
    <m/>
    <m/>
    <x v="0"/>
    <m/>
    <n v="27"/>
    <n v="42"/>
    <m/>
    <m/>
    <m/>
    <n v="40"/>
    <n v="32"/>
    <m/>
    <m/>
    <m/>
    <m/>
    <m/>
    <m/>
    <m/>
    <n v="15"/>
    <n v="156"/>
    <n v="160"/>
    <n v="4"/>
    <n v="0"/>
    <n v="0"/>
    <n v="0"/>
    <n v="0"/>
    <n v="0"/>
    <n v="27.692307692307693"/>
    <n v="43.076923076923073"/>
    <n v="0"/>
    <n v="0"/>
    <n v="0"/>
    <n v="41.025641025641022"/>
    <n v="32.820512820512818"/>
    <n v="0"/>
    <n v="0"/>
    <n v="0"/>
    <n v="0"/>
    <n v="0"/>
    <n v="0"/>
    <n v="0"/>
    <n v="15.384615384615385"/>
    <n v="160"/>
    <n v="0"/>
    <n v="0"/>
    <n v="0"/>
    <n v="0"/>
    <n v="0"/>
    <n v="2133.2374893239644"/>
    <n v="3318.3694278372777"/>
    <n v="0"/>
    <n v="0"/>
    <n v="0"/>
    <n v="3160.3518360355024"/>
    <n v="2528.281468828402"/>
    <n v="0"/>
    <n v="0"/>
    <n v="0"/>
    <n v="0"/>
    <n v="0"/>
    <n v="0"/>
    <n v="0"/>
    <n v="1185.1319385133136"/>
  </r>
  <r>
    <x v="2"/>
    <s v="March"/>
    <x v="0"/>
    <n v="64.663456730769227"/>
    <n v="0.1913"/>
    <n v="77.033576003365383"/>
    <m/>
    <m/>
    <n v="11"/>
    <x v="0"/>
    <m/>
    <n v="19"/>
    <n v="55"/>
    <m/>
    <m/>
    <m/>
    <n v="25"/>
    <n v="30"/>
    <m/>
    <m/>
    <m/>
    <m/>
    <m/>
    <m/>
    <m/>
    <n v="20"/>
    <n v="160"/>
    <n v="168"/>
    <n v="8"/>
    <n v="0"/>
    <n v="0"/>
    <n v="11.55"/>
    <n v="0"/>
    <n v="0"/>
    <n v="19.95"/>
    <n v="57.75"/>
    <n v="0"/>
    <n v="0"/>
    <n v="0"/>
    <n v="26.25"/>
    <n v="31.5"/>
    <n v="0"/>
    <n v="0"/>
    <n v="0"/>
    <n v="0"/>
    <n v="0"/>
    <n v="0"/>
    <n v="0"/>
    <n v="21"/>
    <n v="168"/>
    <n v="0"/>
    <n v="0"/>
    <n v="889.73780283887027"/>
    <n v="0"/>
    <n v="0"/>
    <n v="1536.8198412671393"/>
    <n v="4448.6890141943504"/>
    <n v="0"/>
    <n v="0"/>
    <n v="0"/>
    <n v="2022.1313700883413"/>
    <n v="2426.5576441060098"/>
    <n v="0"/>
    <n v="0"/>
    <n v="0"/>
    <n v="0"/>
    <n v="0"/>
    <n v="0"/>
    <n v="0"/>
    <n v="1617.7050960706731"/>
  </r>
  <r>
    <x v="2"/>
    <s v="August"/>
    <x v="0"/>
    <n v="64.663456730769227"/>
    <n v="0.1913"/>
    <n v="77.033576003365383"/>
    <m/>
    <m/>
    <m/>
    <x v="0"/>
    <m/>
    <n v="40"/>
    <n v="33"/>
    <m/>
    <m/>
    <m/>
    <n v="30"/>
    <n v="40"/>
    <m/>
    <m/>
    <m/>
    <m/>
    <m/>
    <m/>
    <m/>
    <n v="20"/>
    <n v="163"/>
    <n v="176"/>
    <n v="13"/>
    <n v="0"/>
    <n v="0"/>
    <n v="0"/>
    <n v="0"/>
    <n v="0"/>
    <n v="43.190184049079754"/>
    <n v="35.631901840490798"/>
    <n v="0"/>
    <n v="0"/>
    <n v="0"/>
    <n v="32.392638036809814"/>
    <n v="43.190184049079754"/>
    <n v="0"/>
    <n v="0"/>
    <n v="0"/>
    <n v="0"/>
    <n v="0"/>
    <n v="0"/>
    <n v="0"/>
    <n v="21.595092024539877"/>
    <n v="176"/>
    <n v="0"/>
    <n v="0"/>
    <n v="0"/>
    <n v="0"/>
    <n v="0"/>
    <n v="3327.0943255441243"/>
    <n v="2744.8528185739028"/>
    <n v="0"/>
    <n v="0"/>
    <n v="0"/>
    <n v="2495.320744158093"/>
    <n v="3327.0943255441243"/>
    <n v="0"/>
    <n v="0"/>
    <n v="0"/>
    <n v="0"/>
    <n v="0"/>
    <n v="0"/>
    <n v="0"/>
    <n v="1663.5471627720622"/>
  </r>
  <r>
    <x v="2"/>
    <s v="February"/>
    <x v="0"/>
    <n v="64.663456730769227"/>
    <n v="0.1913"/>
    <n v="77.033576003365383"/>
    <m/>
    <m/>
    <n v="24"/>
    <x v="0"/>
    <m/>
    <n v="25"/>
    <n v="17"/>
    <m/>
    <m/>
    <m/>
    <n v="40"/>
    <n v="30"/>
    <m/>
    <m/>
    <m/>
    <m/>
    <m/>
    <m/>
    <m/>
    <n v="30"/>
    <n v="166"/>
    <n v="168"/>
    <n v="2"/>
    <n v="0"/>
    <n v="0"/>
    <n v="24.289156626506024"/>
    <n v="0"/>
    <n v="0"/>
    <n v="25.30120481927711"/>
    <n v="17.204819277108435"/>
    <n v="0"/>
    <n v="0"/>
    <n v="0"/>
    <n v="40.481927710843372"/>
    <n v="30.361445783132531"/>
    <n v="0"/>
    <n v="0"/>
    <n v="0"/>
    <n v="0"/>
    <n v="0"/>
    <n v="0"/>
    <n v="0"/>
    <n v="30.361445783132531"/>
    <n v="167.99999999999997"/>
    <n v="0"/>
    <n v="0"/>
    <n v="1871.0805930455977"/>
    <n v="0"/>
    <n v="0"/>
    <n v="1949.0422844224977"/>
    <n v="1325.3487534072985"/>
    <n v="0"/>
    <n v="0"/>
    <n v="0"/>
    <n v="3118.4676550759959"/>
    <n v="2338.8507413069974"/>
    <n v="0"/>
    <n v="0"/>
    <n v="0"/>
    <n v="0"/>
    <n v="0"/>
    <n v="0"/>
    <n v="0"/>
    <n v="2338.8507413069974"/>
  </r>
  <r>
    <x v="2"/>
    <s v="September"/>
    <x v="0"/>
    <n v="64.663456730769227"/>
    <n v="0.1913"/>
    <n v="77.033576003365383"/>
    <m/>
    <m/>
    <m/>
    <x v="0"/>
    <m/>
    <n v="40"/>
    <n v="60"/>
    <m/>
    <m/>
    <m/>
    <n v="20"/>
    <n v="28"/>
    <m/>
    <m/>
    <m/>
    <m/>
    <m/>
    <m/>
    <m/>
    <n v="20"/>
    <n v="168"/>
    <n v="168"/>
    <n v="0"/>
    <n v="0"/>
    <n v="0"/>
    <n v="0"/>
    <n v="0"/>
    <n v="0"/>
    <n v="40"/>
    <n v="60"/>
    <n v="0"/>
    <n v="0"/>
    <n v="0"/>
    <n v="20"/>
    <n v="28"/>
    <n v="0"/>
    <n v="0"/>
    <n v="0"/>
    <n v="0"/>
    <n v="0"/>
    <n v="0"/>
    <n v="0"/>
    <n v="20"/>
    <n v="168"/>
    <n v="0"/>
    <n v="0"/>
    <n v="0"/>
    <n v="0"/>
    <n v="0"/>
    <n v="3081.3430401346154"/>
    <n v="4622.0145602019229"/>
    <n v="0"/>
    <n v="0"/>
    <n v="0"/>
    <n v="1540.6715200673077"/>
    <n v="2156.9401280942307"/>
    <n v="0"/>
    <n v="0"/>
    <n v="0"/>
    <n v="0"/>
    <n v="0"/>
    <n v="0"/>
    <n v="0"/>
    <n v="1540.6715200673077"/>
  </r>
  <r>
    <x v="2"/>
    <s v="April"/>
    <x v="0"/>
    <n v="64.663456730769227"/>
    <n v="0.1913"/>
    <n v="77.033576003365383"/>
    <m/>
    <m/>
    <n v="5"/>
    <x v="0"/>
    <m/>
    <n v="31"/>
    <n v="43"/>
    <m/>
    <m/>
    <m/>
    <n v="33"/>
    <n v="35"/>
    <m/>
    <m/>
    <m/>
    <m/>
    <m/>
    <m/>
    <m/>
    <n v="25"/>
    <n v="172"/>
    <n v="176"/>
    <n v="4"/>
    <n v="0"/>
    <n v="0"/>
    <n v="5.1162790697674421"/>
    <n v="0"/>
    <n v="0"/>
    <n v="31.720930232558139"/>
    <n v="44"/>
    <n v="0"/>
    <n v="0"/>
    <n v="0"/>
    <n v="33.767441860465119"/>
    <n v="35.813953488372093"/>
    <n v="0"/>
    <n v="0"/>
    <n v="0"/>
    <n v="0"/>
    <n v="0"/>
    <n v="0"/>
    <n v="0"/>
    <n v="25.581395348837212"/>
    <n v="176.00000000000003"/>
    <n v="0"/>
    <n v="0"/>
    <n v="394.12527257535777"/>
    <n v="0"/>
    <n v="0"/>
    <n v="2443.576689967218"/>
    <n v="3389.477344148077"/>
    <n v="0"/>
    <n v="0"/>
    <n v="0"/>
    <n v="2601.2267989973616"/>
    <n v="2758.8769080275042"/>
    <n v="0"/>
    <n v="0"/>
    <n v="0"/>
    <n v="0"/>
    <n v="0"/>
    <n v="0"/>
    <n v="0"/>
    <n v="1970.626362876789"/>
  </r>
  <r>
    <x v="2"/>
    <s v="May"/>
    <x v="0"/>
    <n v="64.663456730769227"/>
    <n v="0.1913"/>
    <n v="77.033576003365383"/>
    <m/>
    <m/>
    <m/>
    <x v="0"/>
    <m/>
    <n v="34"/>
    <n v="45"/>
    <m/>
    <m/>
    <m/>
    <n v="43"/>
    <n v="34"/>
    <m/>
    <m/>
    <m/>
    <m/>
    <m/>
    <m/>
    <m/>
    <n v="20"/>
    <n v="176"/>
    <n v="184"/>
    <n v="8"/>
    <n v="0"/>
    <n v="0"/>
    <n v="0"/>
    <n v="0"/>
    <n v="0"/>
    <n v="35.545454545454547"/>
    <n v="47.045454545454547"/>
    <n v="0"/>
    <n v="0"/>
    <n v="0"/>
    <n v="44.954545454545453"/>
    <n v="35.545454545454547"/>
    <n v="0"/>
    <n v="0"/>
    <n v="0"/>
    <n v="0"/>
    <n v="0"/>
    <n v="0"/>
    <n v="0"/>
    <n v="20.90909090909091"/>
    <n v="184"/>
    <n v="0"/>
    <n v="0"/>
    <n v="0"/>
    <n v="0"/>
    <n v="0"/>
    <n v="2738.1934743014422"/>
    <n v="3624.0795983401445"/>
    <n v="0"/>
    <n v="0"/>
    <n v="0"/>
    <n v="3463.0093939694711"/>
    <n v="2738.1934743014422"/>
    <n v="0"/>
    <n v="0"/>
    <n v="0"/>
    <n v="0"/>
    <n v="0"/>
    <n v="0"/>
    <n v="0"/>
    <n v="1610.7020437067308"/>
  </r>
  <r>
    <x v="2"/>
    <s v="July"/>
    <x v="0"/>
    <n v="64.663456730769227"/>
    <n v="0.1913"/>
    <n v="77.033576003365383"/>
    <m/>
    <m/>
    <m/>
    <x v="0"/>
    <m/>
    <n v="22"/>
    <n v="45"/>
    <m/>
    <m/>
    <m/>
    <n v="43"/>
    <n v="44"/>
    <m/>
    <m/>
    <m/>
    <m/>
    <m/>
    <m/>
    <m/>
    <n v="22"/>
    <n v="176"/>
    <n v="184"/>
    <n v="8"/>
    <n v="0"/>
    <n v="0"/>
    <n v="0"/>
    <n v="0"/>
    <n v="0"/>
    <n v="23"/>
    <n v="47.045454545454547"/>
    <n v="0"/>
    <n v="0"/>
    <n v="0"/>
    <n v="44.954545454545453"/>
    <n v="46"/>
    <n v="0"/>
    <n v="0"/>
    <n v="0"/>
    <n v="0"/>
    <n v="0"/>
    <n v="0"/>
    <n v="0"/>
    <n v="23"/>
    <n v="184"/>
    <n v="0"/>
    <n v="0"/>
    <n v="0"/>
    <n v="0"/>
    <n v="0"/>
    <n v="1771.7722480774039"/>
    <n v="3624.0795983401445"/>
    <n v="0"/>
    <n v="0"/>
    <n v="0"/>
    <n v="3463.0093939694711"/>
    <n v="3543.5444961548078"/>
    <n v="0"/>
    <n v="0"/>
    <n v="0"/>
    <n v="0"/>
    <n v="0"/>
    <n v="0"/>
    <n v="0"/>
    <n v="1771.7722480774039"/>
  </r>
  <r>
    <x v="2"/>
    <s v="January"/>
    <x v="0"/>
    <n v="64.663456730769227"/>
    <n v="0.1913"/>
    <n v="77.033576003365383"/>
    <m/>
    <m/>
    <n v="17"/>
    <x v="0"/>
    <m/>
    <n v="22"/>
    <n v="15"/>
    <m/>
    <m/>
    <m/>
    <n v="50"/>
    <n v="60"/>
    <m/>
    <m/>
    <m/>
    <m/>
    <m/>
    <m/>
    <m/>
    <n v="20"/>
    <n v="184"/>
    <n v="184"/>
    <n v="0"/>
    <n v="0"/>
    <n v="0"/>
    <n v="17"/>
    <n v="0"/>
    <n v="0"/>
    <n v="22"/>
    <n v="15"/>
    <n v="0"/>
    <n v="0"/>
    <n v="0"/>
    <n v="50"/>
    <n v="60"/>
    <n v="0"/>
    <n v="0"/>
    <n v="0"/>
    <n v="0"/>
    <n v="0"/>
    <n v="0"/>
    <n v="0"/>
    <n v="20"/>
    <n v="184"/>
    <n v="0"/>
    <n v="0"/>
    <n v="1309.5707920572115"/>
    <n v="0"/>
    <n v="0"/>
    <n v="1694.7386720740385"/>
    <n v="1155.5036400504807"/>
    <n v="0"/>
    <n v="0"/>
    <n v="0"/>
    <n v="3851.6788001682689"/>
    <n v="4622.0145602019229"/>
    <n v="0"/>
    <n v="0"/>
    <n v="0"/>
    <n v="0"/>
    <n v="0"/>
    <n v="0"/>
    <n v="0"/>
    <n v="1540.6715200673077"/>
  </r>
  <r>
    <x v="2"/>
    <s v="October"/>
    <x v="0"/>
    <n v="64.663456730769227"/>
    <n v="0.1913"/>
    <n v="77.033576003365383"/>
    <m/>
    <m/>
    <n v="20"/>
    <x v="0"/>
    <m/>
    <n v="18"/>
    <n v="40"/>
    <m/>
    <m/>
    <m/>
    <n v="35"/>
    <n v="46"/>
    <m/>
    <m/>
    <m/>
    <m/>
    <m/>
    <m/>
    <m/>
    <n v="25"/>
    <n v="184"/>
    <n v="184"/>
    <n v="0"/>
    <n v="0"/>
    <n v="0"/>
    <n v="20"/>
    <n v="0"/>
    <n v="0"/>
    <n v="18"/>
    <n v="40"/>
    <n v="0"/>
    <n v="0"/>
    <n v="0"/>
    <n v="35"/>
    <n v="46"/>
    <n v="0"/>
    <n v="0"/>
    <n v="0"/>
    <n v="0"/>
    <n v="0"/>
    <n v="0"/>
    <n v="0"/>
    <n v="25"/>
    <n v="184"/>
    <n v="0"/>
    <n v="0"/>
    <n v="1540.6715200673077"/>
    <n v="0"/>
    <n v="0"/>
    <n v="1386.6043680605769"/>
    <n v="3081.3430401346154"/>
    <n v="0"/>
    <n v="0"/>
    <n v="0"/>
    <n v="2696.1751601177884"/>
    <n v="3543.5444961548078"/>
    <n v="0"/>
    <n v="0"/>
    <n v="0"/>
    <n v="0"/>
    <n v="0"/>
    <n v="0"/>
    <n v="0"/>
    <n v="1925.8394000841345"/>
  </r>
  <r>
    <x v="2"/>
    <s v="February"/>
    <x v="1"/>
    <n v="82.595701923076916"/>
    <n v="0.22450000000000001"/>
    <n v="101.13843700480768"/>
    <m/>
    <m/>
    <m/>
    <x v="0"/>
    <n v="24"/>
    <m/>
    <n v="56"/>
    <n v="23.75"/>
    <m/>
    <m/>
    <n v="66"/>
    <m/>
    <n v="6"/>
    <m/>
    <m/>
    <n v="30"/>
    <m/>
    <m/>
    <m/>
    <m/>
    <n v="205.75"/>
    <n v="160"/>
    <n v="-45.75"/>
    <n v="0"/>
    <n v="0"/>
    <n v="0"/>
    <n v="0"/>
    <n v="18.663426488456864"/>
    <n v="0"/>
    <n v="43.547995139732684"/>
    <n v="18.469015795868774"/>
    <n v="0"/>
    <n v="0"/>
    <n v="51.324422843256379"/>
    <n v="0"/>
    <n v="4.6658566221142159"/>
    <n v="0"/>
    <n v="0"/>
    <n v="23.32928311057108"/>
    <n v="0"/>
    <n v="0"/>
    <n v="0"/>
    <n v="0"/>
    <n v="160"/>
    <n v="0"/>
    <n v="0"/>
    <n v="0"/>
    <n v="0"/>
    <n v="1887.5897841966537"/>
    <n v="0"/>
    <n v="4404.3761631255256"/>
    <n v="1867.9273906112721"/>
    <n v="0"/>
    <n v="0"/>
    <n v="5190.8719065407977"/>
    <n v="0"/>
    <n v="471.89744604916342"/>
    <n v="0"/>
    <n v="0"/>
    <n v="2359.487230245817"/>
    <n v="0"/>
    <n v="0"/>
    <n v="0"/>
    <n v="0"/>
  </r>
  <r>
    <x v="2"/>
    <s v="March"/>
    <x v="1"/>
    <n v="82.595701923076916"/>
    <n v="0.22450000000000001"/>
    <n v="101.13843700480768"/>
    <m/>
    <m/>
    <m/>
    <x v="0"/>
    <n v="26"/>
    <m/>
    <n v="38"/>
    <n v="23.75"/>
    <m/>
    <n v="35"/>
    <n v="43"/>
    <m/>
    <n v="17"/>
    <m/>
    <m/>
    <n v="26"/>
    <m/>
    <m/>
    <m/>
    <m/>
    <n v="208.75"/>
    <n v="168"/>
    <n v="-40.75"/>
    <n v="0"/>
    <n v="0"/>
    <n v="0"/>
    <n v="0"/>
    <n v="20.924550898203591"/>
    <n v="0"/>
    <n v="30.582035928143714"/>
    <n v="19.113772455089819"/>
    <n v="0"/>
    <n v="28.167664670658681"/>
    <n v="34.605988023952094"/>
    <n v="0"/>
    <n v="13.681437125748504"/>
    <n v="0"/>
    <n v="0"/>
    <n v="20.924550898203591"/>
    <n v="0"/>
    <n v="0"/>
    <n v="0"/>
    <n v="0"/>
    <n v="168"/>
    <n v="0"/>
    <n v="0"/>
    <n v="0"/>
    <n v="0"/>
    <n v="2116.276372871856"/>
    <n v="0"/>
    <n v="3093.0193141973282"/>
    <n v="1933.1370713733299"/>
    <n v="0"/>
    <n v="2848.8335788659601"/>
    <n v="3499.9955397496078"/>
    <n v="0"/>
    <n v="1383.7191668777523"/>
    <n v="0"/>
    <n v="0"/>
    <n v="2116.276372871856"/>
    <n v="0"/>
    <n v="0"/>
    <n v="0"/>
    <n v="0"/>
  </r>
  <r>
    <x v="2"/>
    <s v="July"/>
    <x v="1"/>
    <n v="82.595701923076916"/>
    <n v="0.22450000000000001"/>
    <n v="101.13843700480768"/>
    <m/>
    <m/>
    <m/>
    <x v="0"/>
    <n v="23"/>
    <m/>
    <n v="33"/>
    <n v="23.75"/>
    <m/>
    <n v="50"/>
    <n v="33"/>
    <m/>
    <n v="25.5"/>
    <m/>
    <m/>
    <n v="26"/>
    <m/>
    <m/>
    <m/>
    <m/>
    <n v="214.25"/>
    <n v="184"/>
    <n v="-30.25"/>
    <n v="0"/>
    <n v="0"/>
    <n v="0"/>
    <n v="0"/>
    <n v="19.752625437572931"/>
    <n v="0"/>
    <n v="28.340723453908986"/>
    <n v="20.396732788798133"/>
    <n v="0"/>
    <n v="42.940490081680281"/>
    <n v="28.340723453908986"/>
    <n v="0"/>
    <n v="21.899649941656943"/>
    <n v="0"/>
    <n v="0"/>
    <n v="22.329054842473745"/>
    <n v="0"/>
    <n v="0"/>
    <n v="0"/>
    <n v="0"/>
    <n v="184"/>
    <n v="0"/>
    <n v="0"/>
    <n v="0"/>
    <n v="0"/>
    <n v="1997.7496634975316"/>
    <n v="0"/>
    <n v="2866.3364737138495"/>
    <n v="2062.8936742637552"/>
    <n v="0"/>
    <n v="4342.93405108159"/>
    <n v="2866.3364737138495"/>
    <n v="0"/>
    <n v="2214.896366051611"/>
    <n v="0"/>
    <n v="0"/>
    <n v="2258.3257065624271"/>
    <n v="0"/>
    <n v="0"/>
    <n v="0"/>
    <n v="0"/>
  </r>
  <r>
    <x v="2"/>
    <s v="June"/>
    <x v="1"/>
    <n v="82.595701923076916"/>
    <n v="0.22450000000000001"/>
    <n v="101.13843700480768"/>
    <m/>
    <m/>
    <m/>
    <x v="0"/>
    <n v="26"/>
    <m/>
    <n v="33"/>
    <n v="23.75"/>
    <m/>
    <n v="37"/>
    <n v="42"/>
    <m/>
    <n v="13"/>
    <m/>
    <m/>
    <n v="42"/>
    <m/>
    <m/>
    <m/>
    <m/>
    <n v="216.75"/>
    <n v="168"/>
    <n v="-48.75"/>
    <n v="0"/>
    <n v="0"/>
    <n v="0"/>
    <n v="0"/>
    <n v="20.152249134948097"/>
    <n v="0"/>
    <n v="25.577854671280278"/>
    <n v="18.408304498269896"/>
    <n v="0"/>
    <n v="28.678200692041521"/>
    <n v="32.553633217993081"/>
    <n v="0"/>
    <n v="10.076124567474048"/>
    <n v="0"/>
    <n v="0"/>
    <n v="32.553633217993081"/>
    <n v="0"/>
    <n v="0"/>
    <n v="0"/>
    <n v="0"/>
    <n v="168"/>
    <n v="0"/>
    <n v="0"/>
    <n v="0"/>
    <n v="0"/>
    <n v="2038.1669796401382"/>
    <n v="0"/>
    <n v="2586.9042433894065"/>
    <n v="1861.7871448635879"/>
    <n v="0"/>
    <n v="2900.4683941032736"/>
    <n v="3292.4235824956081"/>
    <n v="0"/>
    <n v="1019.0834898200691"/>
    <n v="0"/>
    <n v="0"/>
    <n v="3292.4235824956081"/>
    <n v="0"/>
    <n v="0"/>
    <n v="0"/>
    <n v="0"/>
  </r>
  <r>
    <x v="2"/>
    <s v="April"/>
    <x v="1"/>
    <n v="82.595701923076916"/>
    <n v="0.22450000000000001"/>
    <n v="101.13843700480768"/>
    <m/>
    <m/>
    <m/>
    <x v="0"/>
    <n v="63"/>
    <m/>
    <n v="27"/>
    <n v="23.75"/>
    <m/>
    <n v="38"/>
    <n v="34"/>
    <m/>
    <n v="8.5"/>
    <m/>
    <m/>
    <n v="27.5"/>
    <m/>
    <m/>
    <m/>
    <m/>
    <n v="221.75"/>
    <n v="176"/>
    <n v="-45.75"/>
    <n v="0"/>
    <n v="0"/>
    <n v="0"/>
    <n v="0"/>
    <n v="50.002254791431795"/>
    <n v="0"/>
    <n v="21.429537767756482"/>
    <n v="18.850056369785793"/>
    <n v="0"/>
    <n v="30.160090191657272"/>
    <n v="26.985343855693348"/>
    <n v="0"/>
    <n v="6.7463359639233369"/>
    <n v="0"/>
    <n v="0"/>
    <n v="21.826381059751974"/>
    <n v="0"/>
    <n v="0"/>
    <n v="0"/>
    <n v="0"/>
    <n v="176.00000000000003"/>
    <n v="0"/>
    <n v="0"/>
    <n v="0"/>
    <n v="0"/>
    <n v="5057.1498963215681"/>
    <n v="0"/>
    <n v="2167.3499555663861"/>
    <n v="1906.4652386926543"/>
    <n v="0"/>
    <n v="3050.3443819082472"/>
    <n v="2729.2554996021158"/>
    <n v="0"/>
    <n v="682.31387490052896"/>
    <n v="0"/>
    <n v="0"/>
    <n v="2207.4860658546527"/>
    <n v="0"/>
    <n v="0"/>
    <n v="0"/>
    <n v="0"/>
  </r>
  <r>
    <x v="2"/>
    <s v="September"/>
    <x v="1"/>
    <n v="82.595701923076916"/>
    <n v="0.22450000000000001"/>
    <n v="101.13843700480768"/>
    <m/>
    <m/>
    <m/>
    <x v="0"/>
    <m/>
    <m/>
    <n v="32"/>
    <n v="23.75"/>
    <m/>
    <n v="75"/>
    <n v="50"/>
    <m/>
    <n v="22"/>
    <m/>
    <m/>
    <n v="23"/>
    <m/>
    <m/>
    <m/>
    <m/>
    <n v="225.75"/>
    <n v="176"/>
    <n v="-49.75"/>
    <n v="0"/>
    <n v="0"/>
    <n v="0"/>
    <n v="0"/>
    <n v="0"/>
    <n v="0"/>
    <n v="24.947951273532667"/>
    <n v="18.516057585825028"/>
    <n v="0"/>
    <n v="58.471760797342192"/>
    <n v="38.981173864894792"/>
    <n v="0"/>
    <n v="17.151716500553711"/>
    <n v="0"/>
    <n v="0"/>
    <n v="17.931339977851604"/>
    <n v="0"/>
    <n v="0"/>
    <n v="0"/>
    <n v="0"/>
    <n v="175.99999999999997"/>
    <n v="0"/>
    <n v="0"/>
    <n v="0"/>
    <n v="0"/>
    <n v="0"/>
    <n v="0"/>
    <n v="2523.1967982771953"/>
    <n v="1872.6851237213559"/>
    <n v="0"/>
    <n v="5913.7424959621767"/>
    <n v="3942.4949973081175"/>
    <n v="0"/>
    <n v="1734.697798815572"/>
    <n v="0"/>
    <n v="0"/>
    <n v="1813.547698761734"/>
    <n v="0"/>
    <n v="0"/>
    <n v="0"/>
    <n v="0"/>
  </r>
  <r>
    <x v="2"/>
    <s v="May"/>
    <x v="1"/>
    <n v="82.595701923076916"/>
    <n v="0.22450000000000001"/>
    <n v="101.13843700480768"/>
    <m/>
    <m/>
    <m/>
    <x v="0"/>
    <n v="41"/>
    <m/>
    <n v="40.5"/>
    <n v="23.75"/>
    <m/>
    <n v="37"/>
    <n v="45"/>
    <m/>
    <n v="8.5"/>
    <m/>
    <m/>
    <n v="31"/>
    <m/>
    <m/>
    <m/>
    <m/>
    <n v="226.75"/>
    <n v="176"/>
    <n v="-50.75"/>
    <n v="0"/>
    <n v="0"/>
    <n v="0"/>
    <n v="0"/>
    <n v="31.823594266813672"/>
    <n v="0"/>
    <n v="31.435501653803748"/>
    <n v="18.434399117971335"/>
    <n v="0"/>
    <n v="28.718853362734286"/>
    <n v="34.928335170893057"/>
    <n v="0"/>
    <n v="6.5975744211686873"/>
    <n v="0"/>
    <n v="0"/>
    <n v="24.061742006615212"/>
    <n v="0"/>
    <n v="0"/>
    <n v="0"/>
    <n v="0"/>
    <n v="176.00000000000003"/>
    <n v="0"/>
    <n v="0"/>
    <n v="0"/>
    <n v="0"/>
    <n v="3218.5885840206934"/>
    <n v="0"/>
    <n v="3179.3375037277583"/>
    <n v="1864.4263139144261"/>
    <n v="0"/>
    <n v="2904.5799416772111"/>
    <n v="3532.5972263641761"/>
    <n v="0"/>
    <n v="667.26836497989984"/>
    <n v="0"/>
    <n v="0"/>
    <n v="2433.5669781619877"/>
    <n v="0"/>
    <n v="0"/>
    <n v="0"/>
    <n v="0"/>
  </r>
  <r>
    <x v="2"/>
    <s v="August"/>
    <x v="1"/>
    <n v="82.595701923076916"/>
    <n v="0.22450000000000001"/>
    <n v="101.13843700480768"/>
    <m/>
    <m/>
    <m/>
    <x v="0"/>
    <m/>
    <m/>
    <n v="24"/>
    <n v="23.75"/>
    <m/>
    <n v="75"/>
    <n v="54"/>
    <m/>
    <n v="25.5"/>
    <m/>
    <m/>
    <n v="25"/>
    <m/>
    <m/>
    <m/>
    <m/>
    <n v="227.25"/>
    <n v="168"/>
    <n v="-59.25"/>
    <n v="0"/>
    <n v="0"/>
    <n v="0"/>
    <n v="0"/>
    <n v="0"/>
    <n v="0"/>
    <n v="17.742574257425744"/>
    <n v="17.557755775577558"/>
    <n v="0"/>
    <n v="55.445544554455445"/>
    <n v="39.920792079207921"/>
    <n v="0"/>
    <n v="18.85148514851485"/>
    <n v="0"/>
    <n v="0"/>
    <n v="18.481848184818482"/>
    <n v="0"/>
    <n v="0"/>
    <n v="0"/>
    <n v="0"/>
    <n v="168.00000000000003"/>
    <n v="0"/>
    <n v="0"/>
    <n v="0"/>
    <n v="0"/>
    <n v="0"/>
    <n v="0"/>
    <n v="1794.4562288377761"/>
    <n v="1775.763976454049"/>
    <n v="0"/>
    <n v="5607.67571511805"/>
    <n v="4037.5265148849958"/>
    <n v="0"/>
    <n v="1906.6097431401367"/>
    <n v="0"/>
    <n v="0"/>
    <n v="1869.2252383726832"/>
    <n v="0"/>
    <n v="0"/>
    <n v="0"/>
    <n v="0"/>
  </r>
  <r>
    <x v="2"/>
    <s v="November"/>
    <x v="1"/>
    <n v="82.595701923076916"/>
    <n v="0.22450000000000001"/>
    <n v="101.13843700480768"/>
    <m/>
    <m/>
    <m/>
    <x v="0"/>
    <m/>
    <m/>
    <n v="69"/>
    <n v="23.75"/>
    <m/>
    <n v="95"/>
    <n v="4"/>
    <m/>
    <n v="12"/>
    <m/>
    <m/>
    <n v="25"/>
    <m/>
    <m/>
    <m/>
    <m/>
    <n v="228.75"/>
    <n v="160"/>
    <n v="-68.75"/>
    <n v="0"/>
    <n v="0"/>
    <n v="0"/>
    <n v="0"/>
    <n v="0"/>
    <n v="0"/>
    <n v="48.262295081967217"/>
    <n v="16.612021857923498"/>
    <n v="0"/>
    <n v="66.448087431693992"/>
    <n v="2.7978142076502732"/>
    <n v="0"/>
    <n v="8.3934426229508201"/>
    <n v="0"/>
    <n v="0"/>
    <n v="17.486338797814206"/>
    <n v="0"/>
    <n v="0"/>
    <n v="0"/>
    <n v="0"/>
    <n v="160"/>
    <n v="0"/>
    <n v="0"/>
    <n v="0"/>
    <n v="0"/>
    <n v="0"/>
    <n v="0"/>
    <n v="4881.1730908549807"/>
    <n v="1680.1139262000841"/>
    <n v="0"/>
    <n v="6720.4557048003362"/>
    <n v="282.96655599159311"/>
    <n v="0"/>
    <n v="848.89966797477928"/>
    <n v="0"/>
    <n v="0"/>
    <n v="1768.5409749474566"/>
    <n v="0"/>
    <n v="0"/>
    <n v="0"/>
    <n v="0"/>
  </r>
  <r>
    <x v="2"/>
    <s v="January"/>
    <x v="1"/>
    <n v="82.595701923076916"/>
    <n v="0.22450000000000001"/>
    <n v="101.13843700480768"/>
    <m/>
    <m/>
    <m/>
    <x v="0"/>
    <n v="56"/>
    <m/>
    <n v="60"/>
    <n v="23.75"/>
    <m/>
    <m/>
    <n v="55"/>
    <m/>
    <n v="6"/>
    <m/>
    <m/>
    <n v="32.5"/>
    <m/>
    <m/>
    <m/>
    <m/>
    <n v="233.25"/>
    <n v="184"/>
    <n v="-49.25"/>
    <n v="0"/>
    <n v="0"/>
    <n v="0"/>
    <n v="0"/>
    <n v="44.175777063236872"/>
    <n v="0"/>
    <n v="47.331189710610929"/>
    <n v="18.735262593783496"/>
    <n v="0"/>
    <n v="0"/>
    <n v="43.386923901393352"/>
    <n v="0"/>
    <n v="4.733118971061093"/>
    <n v="0"/>
    <n v="0"/>
    <n v="25.637727759914252"/>
    <n v="0"/>
    <n v="0"/>
    <n v="0"/>
    <n v="0"/>
    <n v="183.99999999999997"/>
    <n v="0"/>
    <n v="0"/>
    <n v="0"/>
    <n v="0"/>
    <n v="4467.8690456486102"/>
    <n v="0"/>
    <n v="4787.002548909225"/>
    <n v="1894.8551756099018"/>
    <n v="0"/>
    <n v="0"/>
    <n v="4388.0856698334564"/>
    <n v="0"/>
    <n v="478.70025489092251"/>
    <n v="0"/>
    <n v="0"/>
    <n v="2592.9597139924967"/>
    <n v="0"/>
    <n v="0"/>
    <n v="0"/>
    <n v="0"/>
  </r>
  <r>
    <x v="2"/>
    <s v="December"/>
    <x v="1"/>
    <n v="82.595701923076916"/>
    <n v="0.22450000000000001"/>
    <n v="101.13843700480768"/>
    <m/>
    <m/>
    <m/>
    <x v="0"/>
    <m/>
    <m/>
    <n v="80"/>
    <n v="23.75"/>
    <m/>
    <n v="90"/>
    <n v="4"/>
    <m/>
    <n v="12"/>
    <m/>
    <m/>
    <n v="25"/>
    <m/>
    <m/>
    <m/>
    <m/>
    <n v="234.75"/>
    <n v="184"/>
    <n v="-50.75"/>
    <n v="0"/>
    <n v="0"/>
    <n v="0"/>
    <n v="0"/>
    <n v="0"/>
    <n v="0"/>
    <n v="62.705005324813634"/>
    <n v="18.615548455804046"/>
    <n v="0"/>
    <n v="70.543130990415335"/>
    <n v="3.135250266240682"/>
    <n v="0"/>
    <n v="9.4057507987220443"/>
    <n v="0"/>
    <n v="0"/>
    <n v="19.595314164004261"/>
    <n v="0"/>
    <n v="0"/>
    <n v="0"/>
    <n v="0"/>
    <n v="184"/>
    <n v="0"/>
    <n v="0"/>
    <n v="0"/>
    <n v="0"/>
    <n v="0"/>
    <n v="0"/>
    <n v="6341.8862309297938"/>
    <n v="1882.7474748072825"/>
    <n v="0"/>
    <n v="7134.6220097960177"/>
    <n v="317.09431154648973"/>
    <n v="0"/>
    <n v="951.28293463946909"/>
    <n v="0"/>
    <n v="0"/>
    <n v="1981.8394471655606"/>
    <n v="0"/>
    <n v="0"/>
    <n v="0"/>
    <n v="0"/>
  </r>
  <r>
    <x v="2"/>
    <s v="October"/>
    <x v="1"/>
    <n v="82.595701923076916"/>
    <n v="0.22450000000000001"/>
    <n v="101.13843700480768"/>
    <m/>
    <m/>
    <m/>
    <x v="0"/>
    <m/>
    <m/>
    <n v="62"/>
    <n v="23.75"/>
    <m/>
    <n v="95"/>
    <n v="4"/>
    <m/>
    <n v="22"/>
    <m/>
    <m/>
    <n v="32"/>
    <m/>
    <m/>
    <m/>
    <m/>
    <n v="238.75"/>
    <n v="184"/>
    <n v="-54.75"/>
    <n v="0"/>
    <n v="0"/>
    <n v="0"/>
    <n v="0"/>
    <n v="0"/>
    <n v="0"/>
    <n v="47.782198952879583"/>
    <n v="18.303664921465966"/>
    <n v="0"/>
    <n v="73.214659685863865"/>
    <n v="3.0827225130890055"/>
    <n v="0"/>
    <n v="16.95497382198953"/>
    <n v="0"/>
    <n v="0"/>
    <n v="24.661780104712044"/>
    <n v="0"/>
    <n v="0"/>
    <n v="0"/>
    <n v="0"/>
    <n v="184"/>
    <n v="0"/>
    <n v="0"/>
    <n v="0"/>
    <n v="0"/>
    <n v="0"/>
    <n v="0"/>
    <n v="4832.6169187469995"/>
    <n v="1851.2040616167938"/>
    <n v="0"/>
    <n v="7404.816246467175"/>
    <n v="311.78173669335479"/>
    <n v="0"/>
    <n v="1714.7995518134514"/>
    <n v="0"/>
    <n v="0"/>
    <n v="2494.2538935468383"/>
    <n v="0"/>
    <n v="0"/>
    <n v="0"/>
    <n v="0"/>
  </r>
  <r>
    <x v="2"/>
    <s v="February"/>
    <x v="2"/>
    <n v="91.165865384615387"/>
    <n v="0.23630000000000001"/>
    <n v="112.708359375"/>
    <m/>
    <m/>
    <m/>
    <x v="0"/>
    <m/>
    <m/>
    <n v="52"/>
    <m/>
    <m/>
    <n v="90"/>
    <m/>
    <m/>
    <n v="19"/>
    <m/>
    <m/>
    <n v="28"/>
    <m/>
    <m/>
    <m/>
    <m/>
    <n v="189"/>
    <n v="160"/>
    <n v="-29"/>
    <n v="0"/>
    <n v="0"/>
    <n v="0"/>
    <n v="0"/>
    <n v="0"/>
    <n v="0"/>
    <n v="44.021164021164019"/>
    <n v="0"/>
    <n v="0"/>
    <n v="76.19047619047619"/>
    <n v="0"/>
    <n v="0"/>
    <n v="16.084656084656082"/>
    <n v="0"/>
    <n v="0"/>
    <n v="23.703703703703702"/>
    <n v="0"/>
    <n v="0"/>
    <n v="0"/>
    <n v="0"/>
    <n v="159.99999999999997"/>
    <n v="0"/>
    <n v="0"/>
    <n v="0"/>
    <n v="0"/>
    <n v="0"/>
    <n v="0"/>
    <n v="4961.5531746031747"/>
    <n v="0"/>
    <n v="0"/>
    <n v="8587.3035714285706"/>
    <n v="0"/>
    <n v="0"/>
    <n v="1812.8751984126982"/>
    <n v="0"/>
    <n v="0"/>
    <n v="2671.6055555555554"/>
    <n v="0"/>
    <n v="0"/>
    <n v="0"/>
    <n v="0"/>
  </r>
  <r>
    <x v="2"/>
    <s v="March"/>
    <x v="2"/>
    <n v="91.165865384615387"/>
    <n v="0.23630000000000001"/>
    <n v="112.708359375"/>
    <m/>
    <m/>
    <m/>
    <x v="0"/>
    <m/>
    <m/>
    <n v="54"/>
    <m/>
    <m/>
    <n v="90"/>
    <m/>
    <m/>
    <n v="12"/>
    <m/>
    <m/>
    <n v="33"/>
    <m/>
    <m/>
    <m/>
    <m/>
    <n v="189"/>
    <n v="176"/>
    <n v="-13"/>
    <n v="0"/>
    <n v="0"/>
    <n v="0"/>
    <n v="0"/>
    <n v="0"/>
    <n v="0"/>
    <n v="50.285714285714285"/>
    <n v="0"/>
    <n v="0"/>
    <n v="83.80952380952381"/>
    <n v="0"/>
    <n v="0"/>
    <n v="11.174603174603174"/>
    <n v="0"/>
    <n v="0"/>
    <n v="30.730158730158728"/>
    <n v="0"/>
    <n v="0"/>
    <n v="0"/>
    <n v="0"/>
    <n v="176"/>
    <n v="0"/>
    <n v="0"/>
    <n v="0"/>
    <n v="0"/>
    <n v="0"/>
    <n v="0"/>
    <n v="5667.6203571428568"/>
    <n v="0"/>
    <n v="0"/>
    <n v="9446.033928571429"/>
    <n v="0"/>
    <n v="0"/>
    <n v="1259.4711904761905"/>
    <n v="0"/>
    <n v="0"/>
    <n v="3463.5457738095233"/>
    <n v="0"/>
    <n v="0"/>
    <n v="0"/>
    <n v="0"/>
  </r>
  <r>
    <x v="2"/>
    <s v="June"/>
    <x v="2"/>
    <n v="91.165865384615387"/>
    <n v="0.23630000000000001"/>
    <n v="112.708359375"/>
    <m/>
    <m/>
    <m/>
    <x v="0"/>
    <m/>
    <m/>
    <n v="35"/>
    <m/>
    <m/>
    <n v="120"/>
    <m/>
    <m/>
    <n v="10"/>
    <m/>
    <m/>
    <n v="24"/>
    <m/>
    <m/>
    <m/>
    <m/>
    <n v="189"/>
    <n v="176"/>
    <n v="-13"/>
    <n v="0"/>
    <n v="0"/>
    <n v="0"/>
    <n v="0"/>
    <n v="0"/>
    <n v="0"/>
    <n v="32.592592592592588"/>
    <n v="0"/>
    <n v="0"/>
    <n v="111.74603174603175"/>
    <n v="0"/>
    <n v="0"/>
    <n v="9.3121693121693117"/>
    <n v="0"/>
    <n v="0"/>
    <n v="22.349206349206348"/>
    <n v="0"/>
    <n v="0"/>
    <n v="0"/>
    <n v="0"/>
    <n v="176"/>
    <n v="0"/>
    <n v="0"/>
    <n v="0"/>
    <n v="0"/>
    <n v="0"/>
    <n v="0"/>
    <n v="3673.4576388888886"/>
    <n v="0"/>
    <n v="0"/>
    <n v="12594.711904761905"/>
    <n v="0"/>
    <n v="0"/>
    <n v="1049.5593253968254"/>
    <n v="0"/>
    <n v="0"/>
    <n v="2518.942380952381"/>
    <n v="0"/>
    <n v="0"/>
    <n v="0"/>
    <n v="0"/>
  </r>
  <r>
    <x v="2"/>
    <s v="May"/>
    <x v="2"/>
    <n v="91.165865384615387"/>
    <n v="0.23630000000000001"/>
    <n v="112.708359375"/>
    <m/>
    <m/>
    <m/>
    <x v="0"/>
    <m/>
    <m/>
    <n v="41"/>
    <m/>
    <m/>
    <n v="120"/>
    <m/>
    <m/>
    <n v="9"/>
    <m/>
    <m/>
    <n v="22"/>
    <m/>
    <m/>
    <m/>
    <m/>
    <n v="192"/>
    <n v="168"/>
    <n v="-24"/>
    <n v="0"/>
    <n v="0"/>
    <n v="0"/>
    <n v="0"/>
    <n v="0"/>
    <n v="0"/>
    <n v="35.875"/>
    <n v="0"/>
    <n v="0"/>
    <n v="105"/>
    <n v="0"/>
    <n v="0"/>
    <n v="7.875"/>
    <n v="0"/>
    <n v="0"/>
    <n v="19.25"/>
    <n v="0"/>
    <n v="0"/>
    <n v="0"/>
    <n v="0"/>
    <n v="168"/>
    <n v="0"/>
    <n v="0"/>
    <n v="0"/>
    <n v="0"/>
    <n v="0"/>
    <n v="0"/>
    <n v="4043.412392578125"/>
    <n v="0"/>
    <n v="0"/>
    <n v="11834.377734375001"/>
    <n v="0"/>
    <n v="0"/>
    <n v="887.57833007812496"/>
    <n v="0"/>
    <n v="0"/>
    <n v="2169.6359179687502"/>
    <n v="0"/>
    <n v="0"/>
    <n v="0"/>
    <n v="0"/>
  </r>
  <r>
    <x v="2"/>
    <s v="July"/>
    <x v="2"/>
    <n v="91.165865384615387"/>
    <n v="0.23630000000000001"/>
    <n v="112.708359375"/>
    <m/>
    <m/>
    <m/>
    <x v="0"/>
    <m/>
    <m/>
    <n v="43"/>
    <m/>
    <m/>
    <n v="120"/>
    <m/>
    <m/>
    <n v="11"/>
    <m/>
    <m/>
    <n v="21"/>
    <m/>
    <m/>
    <m/>
    <m/>
    <n v="195"/>
    <n v="184"/>
    <n v="-11"/>
    <n v="0"/>
    <n v="0"/>
    <n v="0"/>
    <n v="0"/>
    <n v="0"/>
    <n v="0"/>
    <n v="40.574358974358972"/>
    <n v="0"/>
    <n v="0"/>
    <n v="113.23076923076924"/>
    <n v="0"/>
    <n v="0"/>
    <n v="10.37948717948718"/>
    <n v="0"/>
    <n v="0"/>
    <n v="19.815384615384616"/>
    <n v="0"/>
    <n v="0"/>
    <n v="0"/>
    <n v="0"/>
    <n v="184"/>
    <n v="0"/>
    <n v="0"/>
    <n v="0"/>
    <n v="0"/>
    <n v="0"/>
    <n v="0"/>
    <n v="4573.0694326923076"/>
    <n v="0"/>
    <n v="0"/>
    <n v="12762.054230769232"/>
    <n v="0"/>
    <n v="0"/>
    <n v="1169.8549711538462"/>
    <n v="0"/>
    <n v="0"/>
    <n v="2233.3594903846156"/>
    <n v="0"/>
    <n v="0"/>
    <n v="0"/>
    <n v="0"/>
  </r>
  <r>
    <x v="2"/>
    <s v="January"/>
    <x v="2"/>
    <n v="91.165865384615387"/>
    <n v="0.23630000000000001"/>
    <n v="112.708359375"/>
    <m/>
    <m/>
    <m/>
    <x v="0"/>
    <m/>
    <m/>
    <n v="67"/>
    <m/>
    <m/>
    <n v="92"/>
    <m/>
    <m/>
    <n v="14"/>
    <m/>
    <m/>
    <n v="31"/>
    <m/>
    <m/>
    <m/>
    <m/>
    <n v="204"/>
    <n v="176"/>
    <n v="-28"/>
    <n v="0"/>
    <n v="0"/>
    <n v="0"/>
    <n v="0"/>
    <n v="0"/>
    <n v="0"/>
    <n v="57.803921568627452"/>
    <n v="0"/>
    <n v="0"/>
    <n v="79.372549019607845"/>
    <n v="0"/>
    <n v="0"/>
    <n v="12.078431372549021"/>
    <n v="0"/>
    <n v="0"/>
    <n v="26.745098039215684"/>
    <n v="0"/>
    <n v="0"/>
    <n v="0"/>
    <n v="0"/>
    <n v="176.00000000000003"/>
    <n v="0"/>
    <n v="0"/>
    <n v="0"/>
    <n v="0"/>
    <n v="0"/>
    <n v="0"/>
    <n v="6514.9851654411768"/>
    <n v="0"/>
    <n v="0"/>
    <n v="8945.9497794117651"/>
    <n v="0"/>
    <n v="0"/>
    <n v="1361.3401838235295"/>
    <n v="0"/>
    <n v="0"/>
    <n v="3014.3961213235293"/>
    <n v="0"/>
    <n v="0"/>
    <n v="0"/>
    <n v="0"/>
  </r>
  <r>
    <x v="2"/>
    <s v="April"/>
    <x v="2"/>
    <n v="91.165865384615387"/>
    <n v="0.23630000000000001"/>
    <n v="112.708359375"/>
    <m/>
    <m/>
    <m/>
    <x v="0"/>
    <m/>
    <m/>
    <n v="34"/>
    <m/>
    <m/>
    <n v="120"/>
    <m/>
    <m/>
    <n v="38"/>
    <m/>
    <m/>
    <n v="25"/>
    <m/>
    <m/>
    <m/>
    <m/>
    <n v="217"/>
    <n v="176"/>
    <n v="-41"/>
    <n v="0"/>
    <n v="0"/>
    <n v="0"/>
    <n v="0"/>
    <n v="0"/>
    <n v="0"/>
    <n v="27.576036866359445"/>
    <n v="0"/>
    <n v="0"/>
    <n v="97.327188940092171"/>
    <n v="0"/>
    <n v="0"/>
    <n v="30.820276497695851"/>
    <n v="0"/>
    <n v="0"/>
    <n v="20.276497695852534"/>
    <n v="0"/>
    <n v="0"/>
    <n v="0"/>
    <n v="0"/>
    <n v="176"/>
    <n v="0"/>
    <n v="0"/>
    <n v="0"/>
    <n v="0"/>
    <n v="0"/>
    <n v="0"/>
    <n v="3108.0498732718893"/>
    <n v="0"/>
    <n v="0"/>
    <n v="10969.587788018434"/>
    <n v="0"/>
    <n v="0"/>
    <n v="3473.7027995391704"/>
    <n v="0"/>
    <n v="0"/>
    <n v="2285.3307891705067"/>
    <n v="0"/>
    <n v="0"/>
    <n v="0"/>
    <n v="0"/>
  </r>
  <r>
    <x v="3"/>
    <s v="October"/>
    <x v="3"/>
    <n v="32.516567307692313"/>
    <n v="0.21360000000000001"/>
    <n v="39.462106084615392"/>
    <m/>
    <m/>
    <m/>
    <x v="0"/>
    <m/>
    <n v="9"/>
    <m/>
    <m/>
    <m/>
    <m/>
    <n v="32.5"/>
    <m/>
    <m/>
    <m/>
    <m/>
    <m/>
    <m/>
    <m/>
    <m/>
    <n v="103"/>
    <n v="144.5"/>
    <n v="176"/>
    <n v="31.5"/>
    <n v="0"/>
    <n v="0"/>
    <n v="0"/>
    <n v="0"/>
    <n v="0"/>
    <n v="10.961937716262975"/>
    <n v="0"/>
    <n v="0"/>
    <n v="0"/>
    <n v="0"/>
    <n v="39.584775086505189"/>
    <n v="0"/>
    <n v="0"/>
    <n v="0"/>
    <n v="0"/>
    <n v="0"/>
    <n v="0"/>
    <n v="0"/>
    <n v="0"/>
    <n v="125.45328719723184"/>
    <n v="176"/>
    <n v="0"/>
    <n v="0"/>
    <n v="0"/>
    <n v="0"/>
    <n v="0"/>
    <n v="432.58114905211607"/>
    <n v="0"/>
    <n v="0"/>
    <n v="0"/>
    <n v="0"/>
    <n v="1562.0985937993082"/>
    <n v="0"/>
    <n v="0"/>
    <n v="0"/>
    <n v="0"/>
    <n v="0"/>
    <n v="0"/>
    <n v="0"/>
    <n v="0"/>
    <n v="4950.6509280408854"/>
  </r>
  <r>
    <x v="3"/>
    <s v="November"/>
    <x v="3"/>
    <n v="32.516567307692313"/>
    <n v="0.21360000000000001"/>
    <n v="39.462106084615392"/>
    <m/>
    <m/>
    <m/>
    <x v="0"/>
    <m/>
    <n v="9.5"/>
    <m/>
    <m/>
    <m/>
    <m/>
    <n v="36"/>
    <m/>
    <m/>
    <m/>
    <m/>
    <m/>
    <m/>
    <m/>
    <m/>
    <n v="100.5"/>
    <n v="146"/>
    <n v="176"/>
    <n v="30"/>
    <n v="0"/>
    <n v="0"/>
    <n v="0"/>
    <n v="0"/>
    <n v="0"/>
    <n v="11.452054794520548"/>
    <n v="0"/>
    <n v="0"/>
    <n v="0"/>
    <n v="0"/>
    <n v="43.397260273972599"/>
    <n v="0"/>
    <n v="0"/>
    <n v="0"/>
    <n v="0"/>
    <n v="0"/>
    <n v="0"/>
    <n v="0"/>
    <n v="0"/>
    <n v="121.15068493150685"/>
    <n v="176"/>
    <n v="0"/>
    <n v="0"/>
    <n v="0"/>
    <n v="0"/>
    <n v="0"/>
    <n v="451.92220118819819"/>
    <n v="0"/>
    <n v="0"/>
    <n v="0"/>
    <n v="0"/>
    <n v="1712.5472887131718"/>
    <n v="0"/>
    <n v="0"/>
    <n v="0"/>
    <n v="0"/>
    <n v="0"/>
    <n v="0"/>
    <n v="0"/>
    <n v="0"/>
    <n v="4780.8611809909389"/>
  </r>
  <r>
    <x v="3"/>
    <s v="December"/>
    <x v="3"/>
    <n v="32.516567307692313"/>
    <n v="0.21360000000000001"/>
    <n v="39.462106084615392"/>
    <m/>
    <m/>
    <m/>
    <x v="0"/>
    <m/>
    <n v="3"/>
    <m/>
    <m/>
    <m/>
    <m/>
    <n v="13.5"/>
    <m/>
    <m/>
    <m/>
    <m/>
    <m/>
    <m/>
    <m/>
    <m/>
    <n v="137"/>
    <n v="153.5"/>
    <n v="168"/>
    <n v="14.5"/>
    <n v="0"/>
    <n v="0"/>
    <n v="0"/>
    <n v="0"/>
    <n v="0"/>
    <n v="3.2833876221498368"/>
    <n v="0"/>
    <n v="0"/>
    <n v="0"/>
    <n v="0"/>
    <n v="14.775244299674267"/>
    <n v="0"/>
    <n v="0"/>
    <n v="0"/>
    <n v="0"/>
    <n v="0"/>
    <n v="0"/>
    <n v="0"/>
    <n v="0"/>
    <n v="149.94136807817588"/>
    <n v="168"/>
    <n v="0"/>
    <n v="0"/>
    <n v="0"/>
    <n v="0"/>
    <n v="0"/>
    <n v="129.56939066218993"/>
    <n v="0"/>
    <n v="0"/>
    <n v="0"/>
    <n v="0"/>
    <n v="583.06225797985473"/>
    <n v="0"/>
    <n v="0"/>
    <n v="0"/>
    <n v="0"/>
    <n v="0"/>
    <n v="0"/>
    <n v="0"/>
    <n v="0"/>
    <n v="5917.0021735733408"/>
  </r>
  <r>
    <x v="3"/>
    <s v="June"/>
    <x v="0"/>
    <n v="37.870995192307689"/>
    <n v="0.1913"/>
    <n v="45.115716572596149"/>
    <m/>
    <m/>
    <m/>
    <x v="0"/>
    <m/>
    <n v="16"/>
    <n v="80"/>
    <m/>
    <m/>
    <m/>
    <m/>
    <m/>
    <m/>
    <m/>
    <m/>
    <m/>
    <m/>
    <m/>
    <m/>
    <n v="64"/>
    <n v="160"/>
    <n v="160"/>
    <n v="0"/>
    <n v="0"/>
    <n v="0"/>
    <n v="0"/>
    <n v="0"/>
    <n v="0"/>
    <n v="16"/>
    <n v="80"/>
    <n v="0"/>
    <n v="0"/>
    <n v="0"/>
    <n v="0"/>
    <n v="0"/>
    <n v="0"/>
    <n v="0"/>
    <n v="0"/>
    <n v="0"/>
    <n v="0"/>
    <n v="0"/>
    <n v="0"/>
    <n v="64"/>
    <n v="160"/>
    <n v="0"/>
    <n v="0"/>
    <n v="0"/>
    <n v="0"/>
    <n v="0"/>
    <n v="721.85146516153839"/>
    <n v="3609.2573258076918"/>
    <n v="0"/>
    <n v="0"/>
    <n v="0"/>
    <n v="0"/>
    <n v="0"/>
    <n v="0"/>
    <n v="0"/>
    <n v="0"/>
    <n v="0"/>
    <n v="0"/>
    <n v="0"/>
    <n v="0"/>
    <n v="2887.4058606461535"/>
  </r>
  <r>
    <x v="3"/>
    <s v="February"/>
    <x v="0"/>
    <n v="37.870995192307689"/>
    <n v="0.1913"/>
    <n v="45.115716572596149"/>
    <m/>
    <m/>
    <m/>
    <x v="0"/>
    <m/>
    <n v="16.8"/>
    <n v="84"/>
    <m/>
    <m/>
    <m/>
    <m/>
    <m/>
    <m/>
    <m/>
    <m/>
    <m/>
    <m/>
    <m/>
    <m/>
    <n v="67.199999999999989"/>
    <n v="168"/>
    <n v="168"/>
    <n v="0"/>
    <n v="0"/>
    <n v="0"/>
    <n v="0"/>
    <n v="0"/>
    <n v="0"/>
    <n v="16.8"/>
    <n v="84"/>
    <n v="0"/>
    <n v="0"/>
    <n v="0"/>
    <n v="0"/>
    <n v="0"/>
    <n v="0"/>
    <n v="0"/>
    <n v="0"/>
    <n v="0"/>
    <n v="0"/>
    <n v="0"/>
    <n v="0"/>
    <n v="67.199999999999989"/>
    <n v="168"/>
    <n v="0"/>
    <n v="0"/>
    <n v="0"/>
    <n v="0"/>
    <n v="0"/>
    <n v="757.94403841961537"/>
    <n v="3789.7201920980765"/>
    <n v="0"/>
    <n v="0"/>
    <n v="0"/>
    <n v="0"/>
    <n v="0"/>
    <n v="0"/>
    <n v="0"/>
    <n v="0"/>
    <n v="0"/>
    <n v="0"/>
    <n v="0"/>
    <n v="0"/>
    <n v="3031.7761536784606"/>
  </r>
  <r>
    <x v="3"/>
    <s v="March"/>
    <x v="0"/>
    <n v="37.870995192307689"/>
    <n v="0.1913"/>
    <n v="45.115716572596149"/>
    <m/>
    <m/>
    <m/>
    <x v="0"/>
    <m/>
    <n v="16.8"/>
    <n v="84"/>
    <m/>
    <m/>
    <m/>
    <m/>
    <m/>
    <m/>
    <m/>
    <m/>
    <m/>
    <m/>
    <m/>
    <m/>
    <n v="67.199999999999989"/>
    <n v="168"/>
    <n v="168"/>
    <n v="0"/>
    <n v="0"/>
    <n v="0"/>
    <n v="0"/>
    <n v="0"/>
    <n v="0"/>
    <n v="16.8"/>
    <n v="84"/>
    <n v="0"/>
    <n v="0"/>
    <n v="0"/>
    <n v="0"/>
    <n v="0"/>
    <n v="0"/>
    <n v="0"/>
    <n v="0"/>
    <n v="0"/>
    <n v="0"/>
    <n v="0"/>
    <n v="0"/>
    <n v="67.199999999999989"/>
    <n v="168"/>
    <n v="0"/>
    <n v="0"/>
    <n v="0"/>
    <n v="0"/>
    <n v="0"/>
    <n v="757.94403841961537"/>
    <n v="3789.7201920980765"/>
    <n v="0"/>
    <n v="0"/>
    <n v="0"/>
    <n v="0"/>
    <n v="0"/>
    <n v="0"/>
    <n v="0"/>
    <n v="0"/>
    <n v="0"/>
    <n v="0"/>
    <n v="0"/>
    <n v="0"/>
    <n v="3031.7761536784606"/>
  </r>
  <r>
    <x v="3"/>
    <s v="September"/>
    <x v="0"/>
    <n v="37.870995192307689"/>
    <n v="0.1913"/>
    <n v="45.115716572596149"/>
    <m/>
    <m/>
    <m/>
    <x v="0"/>
    <m/>
    <n v="16.8"/>
    <n v="84"/>
    <m/>
    <m/>
    <m/>
    <m/>
    <m/>
    <m/>
    <m/>
    <m/>
    <m/>
    <m/>
    <m/>
    <m/>
    <n v="67.199999999999989"/>
    <n v="168"/>
    <n v="168"/>
    <n v="0"/>
    <n v="0"/>
    <n v="0"/>
    <n v="0"/>
    <n v="0"/>
    <n v="0"/>
    <n v="16.8"/>
    <n v="84"/>
    <n v="0"/>
    <n v="0"/>
    <n v="0"/>
    <n v="0"/>
    <n v="0"/>
    <n v="0"/>
    <n v="0"/>
    <n v="0"/>
    <n v="0"/>
    <n v="0"/>
    <n v="0"/>
    <n v="0"/>
    <n v="67.199999999999989"/>
    <n v="168"/>
    <n v="0"/>
    <n v="0"/>
    <n v="0"/>
    <n v="0"/>
    <n v="0"/>
    <n v="757.94403841961537"/>
    <n v="3789.7201920980765"/>
    <n v="0"/>
    <n v="0"/>
    <n v="0"/>
    <n v="0"/>
    <n v="0"/>
    <n v="0"/>
    <n v="0"/>
    <n v="0"/>
    <n v="0"/>
    <n v="0"/>
    <n v="0"/>
    <n v="0"/>
    <n v="3031.7761536784606"/>
  </r>
  <r>
    <x v="3"/>
    <s v="November"/>
    <x v="0"/>
    <n v="37.870995192307689"/>
    <n v="0.1913"/>
    <n v="45.115716572596149"/>
    <m/>
    <m/>
    <m/>
    <x v="0"/>
    <m/>
    <n v="16.8"/>
    <n v="84"/>
    <m/>
    <m/>
    <m/>
    <m/>
    <m/>
    <m/>
    <m/>
    <m/>
    <m/>
    <m/>
    <m/>
    <m/>
    <n v="67.199999999999989"/>
    <n v="168"/>
    <n v="168"/>
    <n v="0"/>
    <n v="0"/>
    <n v="0"/>
    <n v="0"/>
    <n v="0"/>
    <n v="0"/>
    <n v="16.8"/>
    <n v="84"/>
    <n v="0"/>
    <n v="0"/>
    <n v="0"/>
    <n v="0"/>
    <n v="0"/>
    <n v="0"/>
    <n v="0"/>
    <n v="0"/>
    <n v="0"/>
    <n v="0"/>
    <n v="0"/>
    <n v="0"/>
    <n v="67.199999999999989"/>
    <n v="168"/>
    <n v="0"/>
    <n v="0"/>
    <n v="0"/>
    <n v="0"/>
    <n v="0"/>
    <n v="757.94403841961537"/>
    <n v="3789.7201920980765"/>
    <n v="0"/>
    <n v="0"/>
    <n v="0"/>
    <n v="0"/>
    <n v="0"/>
    <n v="0"/>
    <n v="0"/>
    <n v="0"/>
    <n v="0"/>
    <n v="0"/>
    <n v="0"/>
    <n v="0"/>
    <n v="3031.7761536784606"/>
  </r>
  <r>
    <x v="3"/>
    <s v="April"/>
    <x v="0"/>
    <n v="37.870995192307689"/>
    <n v="0.1913"/>
    <n v="45.115716572596149"/>
    <m/>
    <m/>
    <m/>
    <x v="0"/>
    <m/>
    <n v="17.600000000000001"/>
    <n v="88"/>
    <m/>
    <m/>
    <m/>
    <m/>
    <m/>
    <m/>
    <m/>
    <m/>
    <m/>
    <m/>
    <m/>
    <m/>
    <n v="70.400000000000006"/>
    <n v="176"/>
    <n v="176"/>
    <n v="0"/>
    <n v="0"/>
    <n v="0"/>
    <n v="0"/>
    <n v="0"/>
    <n v="0"/>
    <n v="17.600000000000001"/>
    <n v="88"/>
    <n v="0"/>
    <n v="0"/>
    <n v="0"/>
    <n v="0"/>
    <n v="0"/>
    <n v="0"/>
    <n v="0"/>
    <n v="0"/>
    <n v="0"/>
    <n v="0"/>
    <n v="0"/>
    <n v="0"/>
    <n v="70.400000000000006"/>
    <n v="176"/>
    <n v="0"/>
    <n v="0"/>
    <n v="0"/>
    <n v="0"/>
    <n v="0"/>
    <n v="794.03661167769224"/>
    <n v="3970.1830583884612"/>
    <n v="0"/>
    <n v="0"/>
    <n v="0"/>
    <n v="0"/>
    <n v="0"/>
    <n v="0"/>
    <n v="0"/>
    <n v="0"/>
    <n v="0"/>
    <n v="0"/>
    <n v="0"/>
    <n v="0"/>
    <n v="3176.1464467107689"/>
  </r>
  <r>
    <x v="3"/>
    <s v="August"/>
    <x v="0"/>
    <n v="37.870995192307689"/>
    <n v="0.1913"/>
    <n v="45.115716572596149"/>
    <m/>
    <m/>
    <m/>
    <x v="0"/>
    <m/>
    <n v="17.600000000000001"/>
    <n v="88"/>
    <m/>
    <m/>
    <m/>
    <m/>
    <m/>
    <m/>
    <m/>
    <m/>
    <m/>
    <m/>
    <m/>
    <m/>
    <n v="70.400000000000006"/>
    <n v="176"/>
    <n v="176"/>
    <n v="0"/>
    <n v="0"/>
    <n v="0"/>
    <n v="0"/>
    <n v="0"/>
    <n v="0"/>
    <n v="17.600000000000001"/>
    <n v="88"/>
    <n v="0"/>
    <n v="0"/>
    <n v="0"/>
    <n v="0"/>
    <n v="0"/>
    <n v="0"/>
    <n v="0"/>
    <n v="0"/>
    <n v="0"/>
    <n v="0"/>
    <n v="0"/>
    <n v="0"/>
    <n v="70.400000000000006"/>
    <n v="176"/>
    <n v="0"/>
    <n v="0"/>
    <n v="0"/>
    <n v="0"/>
    <n v="0"/>
    <n v="794.03661167769224"/>
    <n v="3970.1830583884612"/>
    <n v="0"/>
    <n v="0"/>
    <n v="0"/>
    <n v="0"/>
    <n v="0"/>
    <n v="0"/>
    <n v="0"/>
    <n v="0"/>
    <n v="0"/>
    <n v="0"/>
    <n v="0"/>
    <n v="0"/>
    <n v="3176.1464467107689"/>
  </r>
  <r>
    <x v="3"/>
    <s v="December"/>
    <x v="0"/>
    <n v="37.870995192307689"/>
    <n v="0.1913"/>
    <n v="45.115716572596149"/>
    <m/>
    <m/>
    <m/>
    <x v="0"/>
    <m/>
    <n v="17.600000000000001"/>
    <n v="88"/>
    <m/>
    <m/>
    <m/>
    <m/>
    <m/>
    <m/>
    <m/>
    <m/>
    <m/>
    <m/>
    <m/>
    <m/>
    <n v="70.400000000000006"/>
    <n v="176"/>
    <n v="176"/>
    <n v="0"/>
    <n v="0"/>
    <n v="0"/>
    <n v="0"/>
    <n v="0"/>
    <n v="0"/>
    <n v="17.600000000000001"/>
    <n v="88"/>
    <n v="0"/>
    <n v="0"/>
    <n v="0"/>
    <n v="0"/>
    <n v="0"/>
    <n v="0"/>
    <n v="0"/>
    <n v="0"/>
    <n v="0"/>
    <n v="0"/>
    <n v="0"/>
    <n v="0"/>
    <n v="70.400000000000006"/>
    <n v="176"/>
    <n v="0"/>
    <n v="0"/>
    <n v="0"/>
    <n v="0"/>
    <n v="0"/>
    <n v="794.03661167769224"/>
    <n v="3970.1830583884612"/>
    <n v="0"/>
    <n v="0"/>
    <n v="0"/>
    <n v="0"/>
    <n v="0"/>
    <n v="0"/>
    <n v="0"/>
    <n v="0"/>
    <n v="0"/>
    <n v="0"/>
    <n v="0"/>
    <n v="0"/>
    <n v="3176.1464467107689"/>
  </r>
  <r>
    <x v="3"/>
    <s v="January"/>
    <x v="0"/>
    <n v="37.870995192307689"/>
    <n v="0.1913"/>
    <n v="45.115716572596149"/>
    <m/>
    <m/>
    <m/>
    <x v="0"/>
    <m/>
    <n v="18.400000000000002"/>
    <n v="92"/>
    <m/>
    <m/>
    <m/>
    <m/>
    <m/>
    <m/>
    <m/>
    <m/>
    <m/>
    <m/>
    <m/>
    <m/>
    <n v="73.599999999999994"/>
    <n v="184"/>
    <n v="184"/>
    <n v="0"/>
    <n v="0"/>
    <n v="0"/>
    <n v="0"/>
    <n v="0"/>
    <n v="0"/>
    <n v="18.400000000000002"/>
    <n v="92"/>
    <n v="0"/>
    <n v="0"/>
    <n v="0"/>
    <n v="0"/>
    <n v="0"/>
    <n v="0"/>
    <n v="0"/>
    <n v="0"/>
    <n v="0"/>
    <n v="0"/>
    <n v="0"/>
    <n v="0"/>
    <n v="73.599999999999994"/>
    <n v="184"/>
    <n v="0"/>
    <n v="0"/>
    <n v="0"/>
    <n v="0"/>
    <n v="0"/>
    <n v="830.12918493576922"/>
    <n v="4150.6459246788454"/>
    <n v="0"/>
    <n v="0"/>
    <n v="0"/>
    <n v="0"/>
    <n v="0"/>
    <n v="0"/>
    <n v="0"/>
    <n v="0"/>
    <n v="0"/>
    <n v="0"/>
    <n v="0"/>
    <n v="0"/>
    <n v="3320.5167397430764"/>
  </r>
  <r>
    <x v="3"/>
    <s v="May"/>
    <x v="0"/>
    <n v="37.870995192307689"/>
    <n v="0.1913"/>
    <n v="45.115716572596149"/>
    <m/>
    <m/>
    <m/>
    <x v="0"/>
    <m/>
    <n v="18.400000000000002"/>
    <n v="92"/>
    <m/>
    <m/>
    <m/>
    <m/>
    <m/>
    <m/>
    <m/>
    <m/>
    <m/>
    <m/>
    <m/>
    <m/>
    <n v="73.599999999999994"/>
    <n v="184"/>
    <n v="184"/>
    <n v="0"/>
    <n v="0"/>
    <n v="0"/>
    <n v="0"/>
    <n v="0"/>
    <n v="0"/>
    <n v="18.400000000000002"/>
    <n v="92"/>
    <n v="0"/>
    <n v="0"/>
    <n v="0"/>
    <n v="0"/>
    <n v="0"/>
    <n v="0"/>
    <n v="0"/>
    <n v="0"/>
    <n v="0"/>
    <n v="0"/>
    <n v="0"/>
    <n v="0"/>
    <n v="73.599999999999994"/>
    <n v="184"/>
    <n v="0"/>
    <n v="0"/>
    <n v="0"/>
    <n v="0"/>
    <n v="0"/>
    <n v="830.12918493576922"/>
    <n v="4150.6459246788454"/>
    <n v="0"/>
    <n v="0"/>
    <n v="0"/>
    <n v="0"/>
    <n v="0"/>
    <n v="0"/>
    <n v="0"/>
    <n v="0"/>
    <n v="0"/>
    <n v="0"/>
    <n v="0"/>
    <n v="0"/>
    <n v="3320.5167397430764"/>
  </r>
  <r>
    <x v="3"/>
    <s v="July"/>
    <x v="0"/>
    <n v="37.870995192307689"/>
    <n v="0.1913"/>
    <n v="45.115716572596149"/>
    <m/>
    <m/>
    <m/>
    <x v="0"/>
    <m/>
    <n v="18.400000000000002"/>
    <n v="92"/>
    <m/>
    <m/>
    <m/>
    <m/>
    <m/>
    <m/>
    <m/>
    <m/>
    <m/>
    <m/>
    <m/>
    <m/>
    <n v="73.599999999999994"/>
    <n v="184"/>
    <n v="184"/>
    <n v="0"/>
    <n v="0"/>
    <n v="0"/>
    <n v="0"/>
    <n v="0"/>
    <n v="0"/>
    <n v="18.400000000000002"/>
    <n v="92"/>
    <n v="0"/>
    <n v="0"/>
    <n v="0"/>
    <n v="0"/>
    <n v="0"/>
    <n v="0"/>
    <n v="0"/>
    <n v="0"/>
    <n v="0"/>
    <n v="0"/>
    <n v="0"/>
    <n v="0"/>
    <n v="73.599999999999994"/>
    <n v="184"/>
    <n v="0"/>
    <n v="0"/>
    <n v="0"/>
    <n v="0"/>
    <n v="0"/>
    <n v="830.12918493576922"/>
    <n v="4150.6459246788454"/>
    <n v="0"/>
    <n v="0"/>
    <n v="0"/>
    <n v="0"/>
    <n v="0"/>
    <n v="0"/>
    <n v="0"/>
    <n v="0"/>
    <n v="0"/>
    <n v="0"/>
    <n v="0"/>
    <n v="0"/>
    <n v="3320.5167397430764"/>
  </r>
  <r>
    <x v="3"/>
    <s v="October"/>
    <x v="0"/>
    <n v="37.870995192307689"/>
    <n v="0.1913"/>
    <n v="45.115716572596149"/>
    <m/>
    <m/>
    <m/>
    <x v="0"/>
    <m/>
    <n v="18.400000000000002"/>
    <n v="92"/>
    <m/>
    <m/>
    <m/>
    <m/>
    <m/>
    <m/>
    <m/>
    <m/>
    <m/>
    <m/>
    <m/>
    <m/>
    <n v="73.599999999999994"/>
    <n v="184"/>
    <n v="184"/>
    <n v="0"/>
    <n v="0"/>
    <n v="0"/>
    <n v="0"/>
    <n v="0"/>
    <n v="0"/>
    <n v="18.400000000000002"/>
    <n v="92"/>
    <n v="0"/>
    <n v="0"/>
    <n v="0"/>
    <n v="0"/>
    <n v="0"/>
    <n v="0"/>
    <n v="0"/>
    <n v="0"/>
    <n v="0"/>
    <n v="0"/>
    <n v="0"/>
    <n v="0"/>
    <n v="73.599999999999994"/>
    <n v="184"/>
    <n v="0"/>
    <n v="0"/>
    <n v="0"/>
    <n v="0"/>
    <n v="0"/>
    <n v="830.12918493576922"/>
    <n v="4150.6459246788454"/>
    <n v="0"/>
    <n v="0"/>
    <n v="0"/>
    <n v="0"/>
    <n v="0"/>
    <n v="0"/>
    <n v="0"/>
    <n v="0"/>
    <n v="0"/>
    <n v="0"/>
    <n v="0"/>
    <n v="0"/>
    <n v="3320.5167397430764"/>
  </r>
  <r>
    <x v="3"/>
    <s v="August"/>
    <x v="1"/>
    <n v="37.736903846153844"/>
    <n v="0.22450000000000001"/>
    <n v="46.208838759615382"/>
    <m/>
    <m/>
    <m/>
    <x v="0"/>
    <m/>
    <m/>
    <n v="75"/>
    <m/>
    <m/>
    <m/>
    <m/>
    <m/>
    <n v="12"/>
    <m/>
    <m/>
    <n v="13"/>
    <m/>
    <m/>
    <m/>
    <n v="59"/>
    <n v="159"/>
    <n v="168"/>
    <n v="9"/>
    <n v="0"/>
    <n v="0"/>
    <n v="0"/>
    <n v="0"/>
    <n v="0"/>
    <n v="0"/>
    <n v="79.245283018867923"/>
    <n v="0"/>
    <n v="0"/>
    <n v="0"/>
    <n v="0"/>
    <n v="0"/>
    <n v="12.679245283018867"/>
    <n v="0"/>
    <n v="0"/>
    <n v="13.735849056603772"/>
    <n v="0"/>
    <n v="0"/>
    <n v="0"/>
    <n v="62.339622641509429"/>
    <n v="168"/>
    <n v="0"/>
    <n v="0"/>
    <n v="0"/>
    <n v="0"/>
    <n v="0"/>
    <n v="0"/>
    <n v="3661.8325054789548"/>
    <n v="0"/>
    <n v="0"/>
    <n v="0"/>
    <n v="0"/>
    <n v="0"/>
    <n v="585.8932008766327"/>
    <n v="0"/>
    <n v="0"/>
    <n v="634.71763428301881"/>
    <n v="0"/>
    <n v="0"/>
    <n v="0"/>
    <n v="2880.6415709767775"/>
  </r>
  <r>
    <x v="3"/>
    <s v="February"/>
    <x v="1"/>
    <n v="37.736903846153844"/>
    <n v="0.22450000000000001"/>
    <n v="46.208838759615382"/>
    <m/>
    <m/>
    <m/>
    <x v="0"/>
    <m/>
    <n v="11"/>
    <n v="69"/>
    <m/>
    <m/>
    <m/>
    <m/>
    <m/>
    <n v="16"/>
    <m/>
    <m/>
    <n v="10"/>
    <m/>
    <m/>
    <m/>
    <n v="59"/>
    <n v="165"/>
    <n v="160"/>
    <n v="-5"/>
    <n v="0"/>
    <n v="0"/>
    <n v="0"/>
    <n v="0"/>
    <n v="0"/>
    <n v="10.666666666666666"/>
    <n v="66.909090909090907"/>
    <n v="0"/>
    <n v="0"/>
    <n v="0"/>
    <n v="0"/>
    <n v="0"/>
    <n v="15.515151515151516"/>
    <n v="0"/>
    <n v="0"/>
    <n v="9.6969696969696972"/>
    <n v="0"/>
    <n v="0"/>
    <n v="0"/>
    <n v="57.212121212121218"/>
    <n v="160"/>
    <n v="0"/>
    <n v="0"/>
    <n v="0"/>
    <n v="0"/>
    <n v="0"/>
    <n v="492.89428010256404"/>
    <n v="3091.7913933706291"/>
    <n v="0"/>
    <n v="0"/>
    <n v="0"/>
    <n v="0"/>
    <n v="0"/>
    <n v="716.93713469463864"/>
    <n v="0"/>
    <n v="0"/>
    <n v="448.08570918414915"/>
    <n v="0"/>
    <n v="0"/>
    <n v="0"/>
    <n v="2643.7056841864805"/>
  </r>
  <r>
    <x v="3"/>
    <s v="June"/>
    <x v="1"/>
    <n v="37.736903846153844"/>
    <n v="0.22450000000000001"/>
    <n v="46.208838759615382"/>
    <m/>
    <m/>
    <m/>
    <x v="0"/>
    <m/>
    <m/>
    <n v="72"/>
    <m/>
    <m/>
    <m/>
    <m/>
    <n v="12"/>
    <n v="9"/>
    <m/>
    <m/>
    <n v="5"/>
    <m/>
    <m/>
    <m/>
    <n v="72"/>
    <n v="170"/>
    <n v="168"/>
    <n v="-2"/>
    <n v="0"/>
    <n v="0"/>
    <n v="0"/>
    <n v="0"/>
    <n v="0"/>
    <n v="0"/>
    <n v="71.152941176470591"/>
    <n v="0"/>
    <n v="0"/>
    <n v="0"/>
    <n v="0"/>
    <n v="11.858823529411765"/>
    <n v="8.8941176470588239"/>
    <n v="0"/>
    <n v="0"/>
    <n v="4.9411764705882355"/>
    <n v="0"/>
    <n v="0"/>
    <n v="0"/>
    <n v="71.152941176470591"/>
    <n v="168"/>
    <n v="0"/>
    <n v="0"/>
    <n v="0"/>
    <n v="0"/>
    <n v="0"/>
    <n v="0"/>
    <n v="3287.8947860959274"/>
    <n v="0"/>
    <n v="0"/>
    <n v="0"/>
    <n v="0"/>
    <n v="547.98246434932128"/>
    <n v="410.98684826199093"/>
    <n v="0"/>
    <n v="0"/>
    <n v="228.32602681221718"/>
    <n v="0"/>
    <n v="0"/>
    <n v="0"/>
    <n v="3287.8947860959274"/>
  </r>
  <r>
    <x v="3"/>
    <s v="December"/>
    <x v="1"/>
    <n v="37.736903846153844"/>
    <n v="0.22450000000000001"/>
    <n v="46.208838759615382"/>
    <m/>
    <m/>
    <m/>
    <x v="0"/>
    <m/>
    <m/>
    <n v="48"/>
    <m/>
    <m/>
    <m/>
    <n v="5"/>
    <m/>
    <m/>
    <m/>
    <m/>
    <n v="13"/>
    <m/>
    <m/>
    <m/>
    <n v="104"/>
    <n v="170"/>
    <n v="184"/>
    <n v="14"/>
    <n v="0"/>
    <n v="0"/>
    <n v="0"/>
    <n v="0"/>
    <n v="0"/>
    <n v="0"/>
    <n v="51.952941176470588"/>
    <n v="0"/>
    <n v="0"/>
    <n v="0"/>
    <n v="5.4117647058823533"/>
    <n v="0"/>
    <n v="0"/>
    <n v="0"/>
    <n v="0"/>
    <n v="14.070588235294119"/>
    <n v="0"/>
    <n v="0"/>
    <n v="0"/>
    <n v="112.56470588235295"/>
    <n v="184"/>
    <n v="0"/>
    <n v="0"/>
    <n v="0"/>
    <n v="0"/>
    <n v="0"/>
    <n v="0"/>
    <n v="2400.685081911312"/>
    <n v="0"/>
    <n v="0"/>
    <n v="0"/>
    <n v="250.07136269909503"/>
    <n v="0"/>
    <n v="0"/>
    <n v="0"/>
    <n v="0"/>
    <n v="650.18554301764709"/>
    <n v="0"/>
    <n v="0"/>
    <n v="0"/>
    <n v="5201.4843441411767"/>
  </r>
  <r>
    <x v="3"/>
    <s v="November"/>
    <x v="1"/>
    <n v="37.736903846153844"/>
    <n v="0.22450000000000001"/>
    <n v="46.208838759615382"/>
    <m/>
    <m/>
    <m/>
    <x v="0"/>
    <m/>
    <m/>
    <n v="58"/>
    <m/>
    <m/>
    <m/>
    <n v="9"/>
    <m/>
    <n v="8"/>
    <m/>
    <m/>
    <n v="14"/>
    <m/>
    <m/>
    <m/>
    <n v="86"/>
    <n v="175"/>
    <n v="160"/>
    <n v="-15"/>
    <n v="0"/>
    <n v="0"/>
    <n v="0"/>
    <n v="0"/>
    <n v="0"/>
    <n v="0"/>
    <n v="53.028571428571425"/>
    <n v="0"/>
    <n v="0"/>
    <n v="0"/>
    <n v="8.2285714285714278"/>
    <n v="0"/>
    <n v="7.3142857142857141"/>
    <n v="0"/>
    <n v="0"/>
    <n v="12.8"/>
    <n v="0"/>
    <n v="0"/>
    <n v="0"/>
    <n v="78.628571428571433"/>
    <n v="160"/>
    <n v="0"/>
    <n v="0"/>
    <n v="0"/>
    <n v="0"/>
    <n v="0"/>
    <n v="0"/>
    <n v="2450.3887067956043"/>
    <n v="0"/>
    <n v="0"/>
    <n v="0"/>
    <n v="380.23273036483511"/>
    <n v="0"/>
    <n v="337.9846492131868"/>
    <n v="0"/>
    <n v="0"/>
    <n v="591.47313612307687"/>
    <n v="0"/>
    <n v="0"/>
    <n v="0"/>
    <n v="3633.3349790417583"/>
  </r>
  <r>
    <x v="3"/>
    <s v="May"/>
    <x v="1"/>
    <n v="37.736903846153844"/>
    <n v="0.22450000000000001"/>
    <n v="46.208838759615382"/>
    <m/>
    <m/>
    <m/>
    <x v="0"/>
    <m/>
    <m/>
    <n v="48"/>
    <m/>
    <m/>
    <m/>
    <m/>
    <n v="20"/>
    <n v="13"/>
    <m/>
    <m/>
    <m/>
    <m/>
    <m/>
    <m/>
    <n v="97"/>
    <n v="178"/>
    <n v="176"/>
    <n v="-2"/>
    <n v="0"/>
    <n v="0"/>
    <n v="0"/>
    <n v="0"/>
    <n v="0"/>
    <n v="0"/>
    <n v="47.460674157303373"/>
    <n v="0"/>
    <n v="0"/>
    <n v="0"/>
    <n v="0"/>
    <n v="19.775280898876403"/>
    <n v="12.853932584269662"/>
    <n v="0"/>
    <n v="0"/>
    <n v="0"/>
    <n v="0"/>
    <n v="0"/>
    <n v="0"/>
    <n v="95.910112359550567"/>
    <n v="176"/>
    <n v="0"/>
    <n v="0"/>
    <n v="0"/>
    <n v="0"/>
    <n v="0"/>
    <n v="0"/>
    <n v="2193.1026395574763"/>
    <n v="0"/>
    <n v="0"/>
    <n v="0"/>
    <n v="0"/>
    <n v="913.79276648228165"/>
    <n v="593.96529821348304"/>
    <n v="0"/>
    <n v="0"/>
    <n v="0"/>
    <n v="0"/>
    <n v="0"/>
    <n v="0"/>
    <n v="4431.8949174390664"/>
  </r>
  <r>
    <x v="3"/>
    <s v="September"/>
    <x v="1"/>
    <n v="37.736903846153844"/>
    <n v="0.22450000000000001"/>
    <n v="46.208838759615382"/>
    <m/>
    <m/>
    <m/>
    <x v="0"/>
    <m/>
    <m/>
    <n v="75"/>
    <m/>
    <m/>
    <m/>
    <m/>
    <m/>
    <n v="17"/>
    <m/>
    <m/>
    <n v="29"/>
    <m/>
    <m/>
    <m/>
    <n v="61"/>
    <n v="182"/>
    <n v="176"/>
    <n v="-6"/>
    <n v="0"/>
    <n v="0"/>
    <n v="0"/>
    <n v="0"/>
    <n v="0"/>
    <n v="0"/>
    <n v="72.527472527472526"/>
    <n v="0"/>
    <n v="0"/>
    <n v="0"/>
    <n v="0"/>
    <n v="0"/>
    <n v="16.439560439560438"/>
    <n v="0"/>
    <n v="0"/>
    <n v="28.043956043956044"/>
    <n v="0"/>
    <n v="0"/>
    <n v="0"/>
    <n v="58.989010989010985"/>
    <n v="176"/>
    <n v="0"/>
    <n v="0"/>
    <n v="0"/>
    <n v="0"/>
    <n v="0"/>
    <n v="0"/>
    <n v="3351.4102836644124"/>
    <n v="0"/>
    <n v="0"/>
    <n v="0"/>
    <n v="0"/>
    <n v="0"/>
    <n v="759.65299763060011"/>
    <n v="0"/>
    <n v="0"/>
    <n v="1295.8786430169062"/>
    <n v="0"/>
    <n v="0"/>
    <n v="0"/>
    <n v="2725.8136973803885"/>
  </r>
  <r>
    <x v="3"/>
    <s v="January"/>
    <x v="1"/>
    <n v="37.736903846153844"/>
    <n v="0.22450000000000001"/>
    <n v="46.208838759615382"/>
    <m/>
    <m/>
    <m/>
    <x v="0"/>
    <m/>
    <m/>
    <n v="59"/>
    <m/>
    <m/>
    <m/>
    <n v="16"/>
    <m/>
    <m/>
    <m/>
    <m/>
    <m/>
    <m/>
    <m/>
    <m/>
    <n v="108"/>
    <n v="183"/>
    <n v="184"/>
    <n v="1"/>
    <n v="0"/>
    <n v="0"/>
    <n v="0"/>
    <n v="0"/>
    <n v="0"/>
    <n v="0"/>
    <n v="59.322404371584703"/>
    <n v="0"/>
    <n v="0"/>
    <n v="0"/>
    <n v="16.087431693989071"/>
    <n v="0"/>
    <n v="0"/>
    <n v="0"/>
    <n v="0"/>
    <n v="0"/>
    <n v="0"/>
    <n v="0"/>
    <n v="0"/>
    <n v="108.59016393442623"/>
    <n v="184"/>
    <n v="0"/>
    <n v="0"/>
    <n v="0"/>
    <n v="0"/>
    <n v="0"/>
    <n v="0"/>
    <n v="2741.2194184392602"/>
    <n v="0"/>
    <n v="0"/>
    <n v="0"/>
    <n v="743.38153720386708"/>
    <n v="0"/>
    <n v="0"/>
    <n v="0"/>
    <n v="0"/>
    <n v="0"/>
    <n v="0"/>
    <n v="0"/>
    <n v="0"/>
    <n v="5017.825376126103"/>
  </r>
  <r>
    <x v="3"/>
    <s v="July"/>
    <x v="1"/>
    <n v="37.736903846153844"/>
    <n v="0.22450000000000001"/>
    <n v="46.208838759615382"/>
    <m/>
    <m/>
    <m/>
    <x v="0"/>
    <m/>
    <m/>
    <n v="48"/>
    <m/>
    <m/>
    <m/>
    <n v="15"/>
    <m/>
    <m/>
    <m/>
    <m/>
    <m/>
    <m/>
    <m/>
    <m/>
    <n v="121"/>
    <n v="184"/>
    <n v="184"/>
    <n v="0"/>
    <n v="0"/>
    <n v="0"/>
    <n v="0"/>
    <n v="0"/>
    <n v="0"/>
    <n v="0"/>
    <n v="48"/>
    <n v="0"/>
    <n v="0"/>
    <n v="0"/>
    <n v="15"/>
    <n v="0"/>
    <n v="0"/>
    <n v="0"/>
    <n v="0"/>
    <n v="0"/>
    <n v="0"/>
    <n v="0"/>
    <n v="0"/>
    <n v="121"/>
    <n v="184"/>
    <n v="0"/>
    <n v="0"/>
    <n v="0"/>
    <n v="0"/>
    <n v="0"/>
    <n v="0"/>
    <n v="2218.0242604615382"/>
    <n v="0"/>
    <n v="0"/>
    <n v="0"/>
    <n v="693.13258139423078"/>
    <n v="0"/>
    <n v="0"/>
    <n v="0"/>
    <n v="0"/>
    <n v="0"/>
    <n v="0"/>
    <n v="0"/>
    <n v="0"/>
    <n v="5591.2694899134613"/>
  </r>
  <r>
    <x v="3"/>
    <s v="April"/>
    <x v="1"/>
    <n v="37.736903846153844"/>
    <n v="0.22450000000000001"/>
    <n v="46.208838759615382"/>
    <m/>
    <m/>
    <m/>
    <x v="0"/>
    <m/>
    <m/>
    <n v="67"/>
    <m/>
    <m/>
    <m/>
    <m/>
    <n v="24"/>
    <n v="24"/>
    <m/>
    <m/>
    <n v="22"/>
    <m/>
    <m/>
    <m/>
    <n v="50"/>
    <n v="187"/>
    <n v="176"/>
    <n v="-11"/>
    <n v="0"/>
    <n v="0"/>
    <n v="0"/>
    <n v="0"/>
    <n v="0"/>
    <n v="0"/>
    <n v="63.058823529411761"/>
    <n v="0"/>
    <n v="0"/>
    <n v="0"/>
    <n v="0"/>
    <n v="22.588235294117649"/>
    <n v="22.588235294117649"/>
    <n v="0"/>
    <n v="0"/>
    <n v="20.705882352941178"/>
    <n v="0"/>
    <n v="0"/>
    <n v="0"/>
    <n v="47.058823529411768"/>
    <n v="176"/>
    <n v="0"/>
    <n v="0"/>
    <n v="0"/>
    <n v="0"/>
    <n v="0"/>
    <n v="0"/>
    <n v="2913.8750088416286"/>
    <n v="0"/>
    <n v="0"/>
    <n v="0"/>
    <n v="0"/>
    <n v="1043.7761225701358"/>
    <n v="1043.7761225701358"/>
    <n v="0"/>
    <n v="0"/>
    <n v="956.79477902262443"/>
    <n v="0"/>
    <n v="0"/>
    <n v="0"/>
    <n v="2174.5335886877829"/>
  </r>
  <r>
    <x v="3"/>
    <s v="March"/>
    <x v="1"/>
    <n v="37.736903846153844"/>
    <n v="0.22450000000000001"/>
    <n v="46.208838759615382"/>
    <m/>
    <m/>
    <m/>
    <x v="0"/>
    <m/>
    <m/>
    <n v="64"/>
    <m/>
    <m/>
    <m/>
    <m/>
    <n v="22"/>
    <n v="24"/>
    <m/>
    <m/>
    <n v="19"/>
    <m/>
    <m/>
    <m/>
    <n v="59"/>
    <n v="188"/>
    <n v="168"/>
    <n v="-20"/>
    <n v="0"/>
    <n v="0"/>
    <n v="0"/>
    <n v="0"/>
    <n v="0"/>
    <n v="0"/>
    <n v="57.191489361702125"/>
    <n v="0"/>
    <n v="0"/>
    <n v="0"/>
    <n v="0"/>
    <n v="19.659574468085108"/>
    <n v="21.446808510638295"/>
    <n v="0"/>
    <n v="0"/>
    <n v="16.978723404255319"/>
    <n v="0"/>
    <n v="0"/>
    <n v="0"/>
    <n v="52.723404255319146"/>
    <n v="168"/>
    <n v="0"/>
    <n v="0"/>
    <n v="0"/>
    <n v="0"/>
    <n v="0"/>
    <n v="0"/>
    <n v="2642.7523103371518"/>
    <n v="0"/>
    <n v="0"/>
    <n v="0"/>
    <n v="0"/>
    <n v="908.44610667839606"/>
    <n v="991.03211637643187"/>
    <n v="0"/>
    <n v="0"/>
    <n v="784.56709213134206"/>
    <n v="0"/>
    <n v="0"/>
    <n v="0"/>
    <n v="2436.287286092062"/>
  </r>
  <r>
    <x v="3"/>
    <s v="October"/>
    <x v="1"/>
    <n v="37.736903846153844"/>
    <n v="0.22450000000000001"/>
    <n v="46.208838759615382"/>
    <m/>
    <m/>
    <m/>
    <x v="0"/>
    <m/>
    <m/>
    <n v="73"/>
    <m/>
    <m/>
    <m/>
    <n v="11"/>
    <m/>
    <n v="8"/>
    <m/>
    <m/>
    <n v="19"/>
    <m/>
    <m/>
    <m/>
    <n v="77"/>
    <n v="188"/>
    <n v="184"/>
    <n v="-4"/>
    <n v="0"/>
    <n v="0"/>
    <n v="0"/>
    <n v="0"/>
    <n v="0"/>
    <n v="0"/>
    <n v="71.446808510638292"/>
    <n v="0"/>
    <n v="0"/>
    <n v="0"/>
    <n v="10.76595744680851"/>
    <n v="0"/>
    <n v="7.8297872340425529"/>
    <n v="0"/>
    <n v="0"/>
    <n v="18.595744680851062"/>
    <n v="0"/>
    <n v="0"/>
    <n v="0"/>
    <n v="75.361702127659569"/>
    <n v="184"/>
    <n v="0"/>
    <n v="0"/>
    <n v="0"/>
    <n v="0"/>
    <n v="0"/>
    <n v="0"/>
    <n v="3301.4740543572007"/>
    <n v="0"/>
    <n v="0"/>
    <n v="0"/>
    <n v="497.48239175245493"/>
    <n v="0"/>
    <n v="361.80537581996725"/>
    <n v="0"/>
    <n v="0"/>
    <n v="859.28776757242213"/>
    <n v="0"/>
    <n v="0"/>
    <n v="0"/>
    <n v="3482.3767422671845"/>
  </r>
  <r>
    <x v="3"/>
    <s v="January"/>
    <x v="2"/>
    <n v="38.46153846153846"/>
    <n v="0.23630000000000001"/>
    <n v="47.55"/>
    <m/>
    <m/>
    <m/>
    <x v="0"/>
    <m/>
    <m/>
    <n v="93"/>
    <m/>
    <m/>
    <m/>
    <m/>
    <m/>
    <n v="51"/>
    <m/>
    <m/>
    <m/>
    <m/>
    <m/>
    <m/>
    <n v="50"/>
    <n v="194"/>
    <n v="176"/>
    <n v="-18"/>
    <n v="0"/>
    <n v="0"/>
    <n v="0"/>
    <n v="0"/>
    <n v="0"/>
    <n v="0"/>
    <n v="84.371134020618555"/>
    <n v="0"/>
    <n v="0"/>
    <n v="0"/>
    <n v="0"/>
    <n v="0"/>
    <n v="46.268041237113401"/>
    <n v="0"/>
    <n v="0"/>
    <n v="0"/>
    <n v="0"/>
    <n v="0"/>
    <n v="0"/>
    <n v="45.360824742268036"/>
    <n v="176"/>
    <n v="0"/>
    <n v="0"/>
    <n v="0"/>
    <n v="0"/>
    <n v="0"/>
    <n v="0"/>
    <n v="4011.8474226804119"/>
    <n v="0"/>
    <n v="0"/>
    <n v="0"/>
    <n v="0"/>
    <n v="0"/>
    <n v="2200.0453608247421"/>
    <n v="0"/>
    <n v="0"/>
    <n v="0"/>
    <n v="0"/>
    <n v="0"/>
    <n v="0"/>
    <n v="2156.9072164948452"/>
  </r>
  <r>
    <x v="3"/>
    <s v="March"/>
    <x v="2"/>
    <n v="38.46153846153846"/>
    <n v="0.23630000000000001"/>
    <n v="47.55"/>
    <m/>
    <m/>
    <m/>
    <x v="0"/>
    <m/>
    <m/>
    <n v="87"/>
    <m/>
    <m/>
    <m/>
    <m/>
    <m/>
    <n v="53"/>
    <m/>
    <m/>
    <m/>
    <m/>
    <m/>
    <m/>
    <n v="57"/>
    <n v="197"/>
    <n v="176"/>
    <n v="-21"/>
    <n v="0"/>
    <n v="0"/>
    <n v="0"/>
    <n v="0"/>
    <n v="0"/>
    <n v="0"/>
    <n v="77.725888324873097"/>
    <n v="0"/>
    <n v="0"/>
    <n v="0"/>
    <n v="0"/>
    <n v="0"/>
    <n v="47.350253807106597"/>
    <n v="0"/>
    <n v="0"/>
    <n v="0"/>
    <n v="0"/>
    <n v="0"/>
    <n v="0"/>
    <n v="50.923857868020299"/>
    <n v="176"/>
    <n v="0"/>
    <n v="0"/>
    <n v="0"/>
    <n v="0"/>
    <n v="0"/>
    <n v="0"/>
    <n v="3695.8659898477154"/>
    <n v="0"/>
    <n v="0"/>
    <n v="0"/>
    <n v="0"/>
    <n v="0"/>
    <n v="2251.5045685279188"/>
    <n v="0"/>
    <n v="0"/>
    <n v="0"/>
    <n v="0"/>
    <n v="0"/>
    <n v="0"/>
    <n v="2421.4294416243652"/>
  </r>
  <r>
    <x v="3"/>
    <s v="February"/>
    <x v="2"/>
    <n v="38.46153846153846"/>
    <n v="0.23630000000000001"/>
    <n v="47.55"/>
    <m/>
    <m/>
    <m/>
    <x v="0"/>
    <m/>
    <m/>
    <n v="82"/>
    <m/>
    <m/>
    <m/>
    <m/>
    <m/>
    <n v="48"/>
    <m/>
    <m/>
    <m/>
    <m/>
    <m/>
    <m/>
    <n v="69"/>
    <n v="199"/>
    <n v="160"/>
    <n v="-39"/>
    <n v="0"/>
    <n v="0"/>
    <n v="0"/>
    <n v="0"/>
    <n v="0"/>
    <n v="0"/>
    <n v="65.929648241206024"/>
    <n v="0"/>
    <n v="0"/>
    <n v="0"/>
    <n v="0"/>
    <n v="0"/>
    <n v="38.5929648241206"/>
    <n v="0"/>
    <n v="0"/>
    <n v="0"/>
    <n v="0"/>
    <n v="0"/>
    <n v="0"/>
    <n v="55.477386934673369"/>
    <n v="160"/>
    <n v="0"/>
    <n v="0"/>
    <n v="0"/>
    <n v="0"/>
    <n v="0"/>
    <n v="0"/>
    <n v="3134.9547738693464"/>
    <n v="0"/>
    <n v="0"/>
    <n v="0"/>
    <n v="0"/>
    <n v="0"/>
    <n v="1835.0954773869344"/>
    <n v="0"/>
    <n v="0"/>
    <n v="0"/>
    <n v="0"/>
    <n v="0"/>
    <n v="0"/>
    <n v="2637.9497487437184"/>
  </r>
  <r>
    <x v="3"/>
    <s v="April"/>
    <x v="2"/>
    <n v="38.46153846153846"/>
    <n v="0.23630000000000001"/>
    <n v="47.55"/>
    <m/>
    <m/>
    <m/>
    <x v="0"/>
    <m/>
    <m/>
    <n v="97"/>
    <m/>
    <m/>
    <m/>
    <m/>
    <m/>
    <n v="59"/>
    <m/>
    <m/>
    <m/>
    <m/>
    <m/>
    <m/>
    <n v="43"/>
    <n v="199"/>
    <n v="176"/>
    <n v="-23"/>
    <n v="0"/>
    <n v="0"/>
    <n v="0"/>
    <n v="0"/>
    <n v="0"/>
    <n v="0"/>
    <n v="85.788944723618087"/>
    <n v="0"/>
    <n v="0"/>
    <n v="0"/>
    <n v="0"/>
    <n v="0"/>
    <n v="52.180904522613069"/>
    <n v="0"/>
    <n v="0"/>
    <n v="0"/>
    <n v="0"/>
    <n v="0"/>
    <n v="0"/>
    <n v="38.030150753768844"/>
    <n v="176"/>
    <n v="0"/>
    <n v="0"/>
    <n v="0"/>
    <n v="0"/>
    <n v="0"/>
    <n v="0"/>
    <n v="4079.2643216080396"/>
    <n v="0"/>
    <n v="0"/>
    <n v="0"/>
    <n v="0"/>
    <n v="0"/>
    <n v="2481.2020100502514"/>
    <n v="0"/>
    <n v="0"/>
    <n v="0"/>
    <n v="0"/>
    <n v="0"/>
    <n v="0"/>
    <n v="1808.3336683417085"/>
  </r>
  <r>
    <x v="3"/>
    <s v="May"/>
    <x v="2"/>
    <n v="38.46153846153846"/>
    <n v="0.23630000000000001"/>
    <n v="47.55"/>
    <m/>
    <m/>
    <m/>
    <x v="0"/>
    <m/>
    <m/>
    <n v="101"/>
    <m/>
    <m/>
    <m/>
    <m/>
    <m/>
    <n v="56"/>
    <m/>
    <m/>
    <m/>
    <m/>
    <m/>
    <m/>
    <n v="42"/>
    <n v="199"/>
    <n v="168"/>
    <n v="-31"/>
    <n v="0"/>
    <n v="0"/>
    <n v="0"/>
    <n v="0"/>
    <n v="0"/>
    <n v="0"/>
    <n v="85.266331658291449"/>
    <n v="0"/>
    <n v="0"/>
    <n v="0"/>
    <n v="0"/>
    <n v="0"/>
    <n v="47.276381909547737"/>
    <n v="0"/>
    <n v="0"/>
    <n v="0"/>
    <n v="0"/>
    <n v="0"/>
    <n v="0"/>
    <n v="35.457286432160807"/>
    <n v="168"/>
    <n v="0"/>
    <n v="0"/>
    <n v="0"/>
    <n v="0"/>
    <n v="0"/>
    <n v="0"/>
    <n v="4054.4140703517583"/>
    <n v="0"/>
    <n v="0"/>
    <n v="0"/>
    <n v="0"/>
    <n v="0"/>
    <n v="2247.9919597989947"/>
    <n v="0"/>
    <n v="0"/>
    <n v="0"/>
    <n v="0"/>
    <n v="0"/>
    <n v="0"/>
    <n v="1685.9939698492462"/>
  </r>
  <r>
    <x v="3"/>
    <s v="June"/>
    <x v="2"/>
    <n v="38.46153846153846"/>
    <n v="0.23630000000000001"/>
    <n v="47.55"/>
    <m/>
    <m/>
    <m/>
    <x v="0"/>
    <m/>
    <m/>
    <n v="97"/>
    <m/>
    <m/>
    <m/>
    <m/>
    <m/>
    <n v="54"/>
    <m/>
    <m/>
    <m/>
    <m/>
    <m/>
    <m/>
    <n v="51"/>
    <n v="202"/>
    <n v="176"/>
    <n v="-26"/>
    <n v="0"/>
    <n v="0"/>
    <n v="0"/>
    <n v="0"/>
    <n v="0"/>
    <n v="0"/>
    <n v="84.514851485148512"/>
    <n v="0"/>
    <n v="0"/>
    <n v="0"/>
    <n v="0"/>
    <n v="0"/>
    <n v="47.049504950495049"/>
    <n v="0"/>
    <n v="0"/>
    <n v="0"/>
    <n v="0"/>
    <n v="0"/>
    <n v="0"/>
    <n v="44.43564356435644"/>
    <n v="176"/>
    <n v="0"/>
    <n v="0"/>
    <n v="0"/>
    <n v="0"/>
    <n v="0"/>
    <n v="0"/>
    <n v="4018.6811881188114"/>
    <n v="0"/>
    <n v="0"/>
    <n v="0"/>
    <n v="0"/>
    <n v="0"/>
    <n v="2237.2039603960393"/>
    <n v="0"/>
    <n v="0"/>
    <n v="0"/>
    <n v="0"/>
    <n v="0"/>
    <n v="0"/>
    <n v="2112.9148514851486"/>
  </r>
  <r>
    <x v="3"/>
    <s v="July"/>
    <x v="2"/>
    <n v="38.46153846153846"/>
    <n v="0.23630000000000001"/>
    <n v="47.55"/>
    <m/>
    <m/>
    <m/>
    <x v="0"/>
    <m/>
    <m/>
    <n v="104"/>
    <m/>
    <m/>
    <m/>
    <m/>
    <m/>
    <n v="60"/>
    <m/>
    <m/>
    <m/>
    <m/>
    <m/>
    <m/>
    <n v="44"/>
    <n v="208"/>
    <n v="184"/>
    <n v="-24"/>
    <n v="0"/>
    <n v="0"/>
    <n v="0"/>
    <n v="0"/>
    <n v="0"/>
    <n v="0"/>
    <n v="92"/>
    <n v="0"/>
    <n v="0"/>
    <n v="0"/>
    <n v="0"/>
    <n v="0"/>
    <n v="53.076923076923073"/>
    <n v="0"/>
    <n v="0"/>
    <n v="0"/>
    <n v="0"/>
    <n v="0"/>
    <n v="0"/>
    <n v="38.92307692307692"/>
    <n v="184"/>
    <n v="0"/>
    <n v="0"/>
    <n v="0"/>
    <n v="0"/>
    <n v="0"/>
    <n v="0"/>
    <n v="4374.5999999999995"/>
    <n v="0"/>
    <n v="0"/>
    <n v="0"/>
    <n v="0"/>
    <n v="0"/>
    <n v="2523.8076923076919"/>
    <n v="0"/>
    <n v="0"/>
    <n v="0"/>
    <n v="0"/>
    <n v="0"/>
    <n v="0"/>
    <n v="1850.7923076923075"/>
  </r>
  <r>
    <x v="3"/>
    <s v="August"/>
    <x v="2"/>
    <n v="38.46153846153846"/>
    <n v="0.23630000000000001"/>
    <n v="47.55"/>
    <m/>
    <m/>
    <m/>
    <x v="0"/>
    <m/>
    <m/>
    <m/>
    <m/>
    <m/>
    <m/>
    <m/>
    <m/>
    <n v="53"/>
    <m/>
    <m/>
    <n v="64"/>
    <m/>
    <m/>
    <m/>
    <n v="59"/>
    <n v="176"/>
    <n v="176"/>
    <n v="0"/>
    <n v="0"/>
    <n v="0"/>
    <n v="0"/>
    <n v="0"/>
    <n v="0"/>
    <n v="0"/>
    <n v="0"/>
    <n v="0"/>
    <n v="0"/>
    <n v="0"/>
    <n v="0"/>
    <n v="0"/>
    <n v="53"/>
    <n v="0"/>
    <n v="0"/>
    <n v="64"/>
    <n v="0"/>
    <n v="0"/>
    <n v="0"/>
    <n v="59"/>
    <n v="176"/>
    <n v="0"/>
    <n v="0"/>
    <n v="0"/>
    <n v="0"/>
    <n v="0"/>
    <n v="0"/>
    <n v="0"/>
    <n v="0"/>
    <n v="0"/>
    <n v="0"/>
    <n v="0"/>
    <n v="0"/>
    <n v="2520.1499999999996"/>
    <n v="0"/>
    <n v="0"/>
    <n v="3043.2"/>
    <n v="0"/>
    <n v="0"/>
    <n v="0"/>
    <n v="2805.45"/>
  </r>
  <r>
    <x v="4"/>
    <s v="January"/>
    <x v="0"/>
    <n v="23.63325"/>
    <n v="0.1913"/>
    <n v="28.154290725000003"/>
    <m/>
    <m/>
    <m/>
    <x v="0"/>
    <m/>
    <m/>
    <n v="5"/>
    <m/>
    <m/>
    <m/>
    <m/>
    <m/>
    <m/>
    <m/>
    <m/>
    <m/>
    <m/>
    <m/>
    <m/>
    <m/>
    <n v="5"/>
    <n v="5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140.77145362500002"/>
    <n v="0"/>
    <n v="0"/>
    <n v="0"/>
    <n v="0"/>
    <n v="0"/>
    <n v="0"/>
    <n v="0"/>
    <n v="0"/>
    <n v="0"/>
    <n v="0"/>
    <n v="0"/>
    <n v="0"/>
    <n v="0"/>
  </r>
  <r>
    <x v="4"/>
    <s v="February"/>
    <x v="0"/>
    <n v="23.63325"/>
    <n v="0.1913"/>
    <n v="28.154290725000003"/>
    <m/>
    <m/>
    <m/>
    <x v="0"/>
    <m/>
    <m/>
    <n v="27"/>
    <m/>
    <m/>
    <m/>
    <m/>
    <m/>
    <m/>
    <m/>
    <m/>
    <m/>
    <m/>
    <m/>
    <m/>
    <m/>
    <n v="27"/>
    <n v="27"/>
    <n v="0"/>
    <n v="0"/>
    <n v="0"/>
    <n v="0"/>
    <n v="0"/>
    <n v="0"/>
    <n v="0"/>
    <n v="27"/>
    <n v="0"/>
    <n v="0"/>
    <n v="0"/>
    <n v="0"/>
    <n v="0"/>
    <n v="0"/>
    <n v="0"/>
    <n v="0"/>
    <n v="0"/>
    <n v="0"/>
    <n v="0"/>
    <n v="0"/>
    <n v="0"/>
    <n v="27"/>
    <n v="0"/>
    <n v="0"/>
    <n v="0"/>
    <n v="0"/>
    <n v="0"/>
    <n v="0"/>
    <n v="760.16584957500004"/>
    <n v="0"/>
    <n v="0"/>
    <n v="0"/>
    <n v="0"/>
    <n v="0"/>
    <n v="0"/>
    <n v="0"/>
    <n v="0"/>
    <n v="0"/>
    <n v="0"/>
    <n v="0"/>
    <n v="0"/>
    <n v="0"/>
  </r>
  <r>
    <x v="4"/>
    <s v="December"/>
    <x v="0"/>
    <n v="23.63325"/>
    <n v="0.1913"/>
    <n v="28.154290725000003"/>
    <m/>
    <m/>
    <m/>
    <x v="0"/>
    <m/>
    <m/>
    <n v="29"/>
    <m/>
    <m/>
    <m/>
    <m/>
    <m/>
    <m/>
    <m/>
    <m/>
    <m/>
    <m/>
    <m/>
    <m/>
    <m/>
    <n v="29"/>
    <n v="29"/>
    <n v="0"/>
    <n v="0"/>
    <n v="0"/>
    <n v="0"/>
    <n v="0"/>
    <n v="0"/>
    <n v="0"/>
    <n v="29"/>
    <n v="0"/>
    <n v="0"/>
    <n v="0"/>
    <n v="0"/>
    <n v="0"/>
    <n v="0"/>
    <n v="0"/>
    <n v="0"/>
    <n v="0"/>
    <n v="0"/>
    <n v="0"/>
    <n v="0"/>
    <n v="0"/>
    <n v="29"/>
    <n v="0"/>
    <n v="0"/>
    <n v="0"/>
    <n v="0"/>
    <n v="0"/>
    <n v="0"/>
    <n v="816.47443102500006"/>
    <n v="0"/>
    <n v="0"/>
    <n v="0"/>
    <n v="0"/>
    <n v="0"/>
    <n v="0"/>
    <n v="0"/>
    <n v="0"/>
    <n v="0"/>
    <n v="0"/>
    <n v="0"/>
    <n v="0"/>
    <n v="0"/>
  </r>
  <r>
    <x v="4"/>
    <s v="July"/>
    <x v="0"/>
    <n v="23.63325"/>
    <n v="0.1913"/>
    <n v="28.154290725000003"/>
    <m/>
    <m/>
    <m/>
    <x v="0"/>
    <m/>
    <m/>
    <n v="37"/>
    <m/>
    <m/>
    <m/>
    <m/>
    <m/>
    <m/>
    <m/>
    <m/>
    <m/>
    <m/>
    <m/>
    <m/>
    <m/>
    <n v="37"/>
    <n v="37"/>
    <n v="0"/>
    <n v="0"/>
    <n v="0"/>
    <n v="0"/>
    <n v="0"/>
    <n v="0"/>
    <n v="0"/>
    <n v="37"/>
    <n v="0"/>
    <n v="0"/>
    <n v="0"/>
    <n v="0"/>
    <n v="0"/>
    <n v="0"/>
    <n v="0"/>
    <n v="0"/>
    <n v="0"/>
    <n v="0"/>
    <n v="0"/>
    <n v="0"/>
    <n v="0"/>
    <n v="37"/>
    <n v="0"/>
    <n v="0"/>
    <n v="0"/>
    <n v="0"/>
    <n v="0"/>
    <n v="0"/>
    <n v="1041.7087568250001"/>
    <n v="0"/>
    <n v="0"/>
    <n v="0"/>
    <n v="0"/>
    <n v="0"/>
    <n v="0"/>
    <n v="0"/>
    <n v="0"/>
    <n v="0"/>
    <n v="0"/>
    <n v="0"/>
    <n v="0"/>
    <n v="0"/>
  </r>
  <r>
    <x v="4"/>
    <s v="October"/>
    <x v="0"/>
    <n v="23.63325"/>
    <n v="0.1913"/>
    <n v="28.154290725000003"/>
    <m/>
    <m/>
    <m/>
    <x v="0"/>
    <m/>
    <m/>
    <n v="39"/>
    <m/>
    <m/>
    <m/>
    <m/>
    <m/>
    <m/>
    <m/>
    <m/>
    <m/>
    <m/>
    <m/>
    <m/>
    <m/>
    <n v="39"/>
    <n v="39"/>
    <n v="0"/>
    <n v="0"/>
    <n v="0"/>
    <n v="0"/>
    <n v="0"/>
    <n v="0"/>
    <n v="0"/>
    <n v="39"/>
    <n v="0"/>
    <n v="0"/>
    <n v="0"/>
    <n v="0"/>
    <n v="0"/>
    <n v="0"/>
    <n v="0"/>
    <n v="0"/>
    <n v="0"/>
    <n v="0"/>
    <n v="0"/>
    <n v="0"/>
    <n v="0"/>
    <n v="39"/>
    <n v="0"/>
    <n v="0"/>
    <n v="0"/>
    <n v="0"/>
    <n v="0"/>
    <n v="0"/>
    <n v="1098.0173382750002"/>
    <n v="0"/>
    <n v="0"/>
    <n v="0"/>
    <n v="0"/>
    <n v="0"/>
    <n v="0"/>
    <n v="0"/>
    <n v="0"/>
    <n v="0"/>
    <n v="0"/>
    <n v="0"/>
    <n v="0"/>
    <n v="0"/>
  </r>
  <r>
    <x v="4"/>
    <s v="March"/>
    <x v="0"/>
    <n v="23.63325"/>
    <n v="0.1913"/>
    <n v="28.154290725000003"/>
    <m/>
    <m/>
    <m/>
    <x v="0"/>
    <m/>
    <m/>
    <n v="40"/>
    <m/>
    <m/>
    <m/>
    <m/>
    <m/>
    <m/>
    <m/>
    <m/>
    <m/>
    <m/>
    <m/>
    <m/>
    <m/>
    <n v="40"/>
    <n v="40"/>
    <n v="0"/>
    <n v="0"/>
    <n v="0"/>
    <n v="0"/>
    <n v="0"/>
    <n v="0"/>
    <n v="0"/>
    <n v="40"/>
    <n v="0"/>
    <n v="0"/>
    <n v="0"/>
    <n v="0"/>
    <n v="0"/>
    <n v="0"/>
    <n v="0"/>
    <n v="0"/>
    <n v="0"/>
    <n v="0"/>
    <n v="0"/>
    <n v="0"/>
    <n v="0"/>
    <n v="40"/>
    <n v="0"/>
    <n v="0"/>
    <n v="0"/>
    <n v="0"/>
    <n v="0"/>
    <n v="0"/>
    <n v="1126.1716290000002"/>
    <n v="0"/>
    <n v="0"/>
    <n v="0"/>
    <n v="0"/>
    <n v="0"/>
    <n v="0"/>
    <n v="0"/>
    <n v="0"/>
    <n v="0"/>
    <n v="0"/>
    <n v="0"/>
    <n v="0"/>
    <n v="0"/>
  </r>
  <r>
    <x v="4"/>
    <s v="November"/>
    <x v="0"/>
    <n v="23.63325"/>
    <n v="0.1913"/>
    <n v="28.154290725000003"/>
    <m/>
    <m/>
    <m/>
    <x v="0"/>
    <m/>
    <m/>
    <n v="41"/>
    <m/>
    <m/>
    <m/>
    <m/>
    <m/>
    <m/>
    <m/>
    <m/>
    <m/>
    <m/>
    <m/>
    <m/>
    <m/>
    <n v="41"/>
    <n v="41"/>
    <n v="0"/>
    <n v="0"/>
    <n v="0"/>
    <n v="0"/>
    <n v="0"/>
    <n v="0"/>
    <n v="0"/>
    <n v="41"/>
    <n v="0"/>
    <n v="0"/>
    <n v="0"/>
    <n v="0"/>
    <n v="0"/>
    <n v="0"/>
    <n v="0"/>
    <n v="0"/>
    <n v="0"/>
    <n v="0"/>
    <n v="0"/>
    <n v="0"/>
    <n v="0"/>
    <n v="41"/>
    <n v="0"/>
    <n v="0"/>
    <n v="0"/>
    <n v="0"/>
    <n v="0"/>
    <n v="0"/>
    <n v="1154.3259197250002"/>
    <n v="0"/>
    <n v="0"/>
    <n v="0"/>
    <n v="0"/>
    <n v="0"/>
    <n v="0"/>
    <n v="0"/>
    <n v="0"/>
    <n v="0"/>
    <n v="0"/>
    <n v="0"/>
    <n v="0"/>
    <n v="0"/>
  </r>
  <r>
    <x v="4"/>
    <s v="June"/>
    <x v="0"/>
    <n v="23.63325"/>
    <n v="0.1913"/>
    <n v="28.154290725000003"/>
    <m/>
    <m/>
    <m/>
    <x v="0"/>
    <m/>
    <m/>
    <n v="44"/>
    <m/>
    <m/>
    <m/>
    <m/>
    <m/>
    <m/>
    <m/>
    <m/>
    <m/>
    <m/>
    <m/>
    <m/>
    <m/>
    <n v="44"/>
    <n v="44"/>
    <n v="0"/>
    <n v="0"/>
    <n v="0"/>
    <n v="0"/>
    <n v="0"/>
    <n v="0"/>
    <n v="0"/>
    <n v="44"/>
    <n v="0"/>
    <n v="0"/>
    <n v="0"/>
    <n v="0"/>
    <n v="0"/>
    <n v="0"/>
    <n v="0"/>
    <n v="0"/>
    <n v="0"/>
    <n v="0"/>
    <n v="0"/>
    <n v="0"/>
    <n v="0"/>
    <n v="44"/>
    <n v="0"/>
    <n v="0"/>
    <n v="0"/>
    <n v="0"/>
    <n v="0"/>
    <n v="0"/>
    <n v="1238.7887919000002"/>
    <n v="0"/>
    <n v="0"/>
    <n v="0"/>
    <n v="0"/>
    <n v="0"/>
    <n v="0"/>
    <n v="0"/>
    <n v="0"/>
    <n v="0"/>
    <n v="0"/>
    <n v="0"/>
    <n v="0"/>
    <n v="0"/>
  </r>
  <r>
    <x v="4"/>
    <s v="April"/>
    <x v="0"/>
    <n v="23.63325"/>
    <n v="0.1913"/>
    <n v="28.154290725000003"/>
    <m/>
    <m/>
    <m/>
    <x v="0"/>
    <m/>
    <m/>
    <n v="45"/>
    <m/>
    <m/>
    <m/>
    <m/>
    <m/>
    <m/>
    <m/>
    <m/>
    <m/>
    <m/>
    <m/>
    <m/>
    <m/>
    <n v="45"/>
    <n v="45"/>
    <n v="0"/>
    <n v="0"/>
    <n v="0"/>
    <n v="0"/>
    <n v="0"/>
    <n v="0"/>
    <n v="0"/>
    <n v="45"/>
    <n v="0"/>
    <n v="0"/>
    <n v="0"/>
    <n v="0"/>
    <n v="0"/>
    <n v="0"/>
    <n v="0"/>
    <n v="0"/>
    <n v="0"/>
    <n v="0"/>
    <n v="0"/>
    <n v="0"/>
    <n v="0"/>
    <n v="45"/>
    <n v="0"/>
    <n v="0"/>
    <n v="0"/>
    <n v="0"/>
    <n v="0"/>
    <n v="0"/>
    <n v="1266.9430826250002"/>
    <n v="0"/>
    <n v="0"/>
    <n v="0"/>
    <n v="0"/>
    <n v="0"/>
    <n v="0"/>
    <n v="0"/>
    <n v="0"/>
    <n v="0"/>
    <n v="0"/>
    <n v="0"/>
    <n v="0"/>
    <n v="0"/>
  </r>
  <r>
    <x v="4"/>
    <s v="September"/>
    <x v="0"/>
    <n v="23.63325"/>
    <n v="0.1913"/>
    <n v="28.154290725000003"/>
    <m/>
    <m/>
    <m/>
    <x v="0"/>
    <m/>
    <m/>
    <n v="45"/>
    <m/>
    <m/>
    <m/>
    <m/>
    <m/>
    <m/>
    <m/>
    <m/>
    <m/>
    <m/>
    <m/>
    <m/>
    <m/>
    <n v="45"/>
    <n v="45"/>
    <n v="0"/>
    <n v="0"/>
    <n v="0"/>
    <n v="0"/>
    <n v="0"/>
    <n v="0"/>
    <n v="0"/>
    <n v="45"/>
    <n v="0"/>
    <n v="0"/>
    <n v="0"/>
    <n v="0"/>
    <n v="0"/>
    <n v="0"/>
    <n v="0"/>
    <n v="0"/>
    <n v="0"/>
    <n v="0"/>
    <n v="0"/>
    <n v="0"/>
    <n v="0"/>
    <n v="45"/>
    <n v="0"/>
    <n v="0"/>
    <n v="0"/>
    <n v="0"/>
    <n v="0"/>
    <n v="0"/>
    <n v="1266.9430826250002"/>
    <n v="0"/>
    <n v="0"/>
    <n v="0"/>
    <n v="0"/>
    <n v="0"/>
    <n v="0"/>
    <n v="0"/>
    <n v="0"/>
    <n v="0"/>
    <n v="0"/>
    <n v="0"/>
    <n v="0"/>
    <n v="0"/>
  </r>
  <r>
    <x v="4"/>
    <s v="August"/>
    <x v="0"/>
    <n v="23.63325"/>
    <n v="0.1913"/>
    <n v="28.154290725000003"/>
    <m/>
    <m/>
    <m/>
    <x v="0"/>
    <m/>
    <m/>
    <n v="48"/>
    <m/>
    <m/>
    <m/>
    <m/>
    <m/>
    <m/>
    <m/>
    <m/>
    <m/>
    <m/>
    <m/>
    <m/>
    <m/>
    <n v="48"/>
    <n v="48"/>
    <n v="0"/>
    <n v="0"/>
    <n v="0"/>
    <n v="0"/>
    <n v="0"/>
    <n v="0"/>
    <n v="0"/>
    <n v="48"/>
    <n v="0"/>
    <n v="0"/>
    <n v="0"/>
    <n v="0"/>
    <n v="0"/>
    <n v="0"/>
    <n v="0"/>
    <n v="0"/>
    <n v="0"/>
    <n v="0"/>
    <n v="0"/>
    <n v="0"/>
    <n v="0"/>
    <n v="48"/>
    <n v="0"/>
    <n v="0"/>
    <n v="0"/>
    <n v="0"/>
    <n v="0"/>
    <n v="0"/>
    <n v="1351.4059548"/>
    <n v="0"/>
    <n v="0"/>
    <n v="0"/>
    <n v="0"/>
    <n v="0"/>
    <n v="0"/>
    <n v="0"/>
    <n v="0"/>
    <n v="0"/>
    <n v="0"/>
    <n v="0"/>
    <n v="0"/>
    <n v="0"/>
  </r>
  <r>
    <x v="4"/>
    <s v="May"/>
    <x v="0"/>
    <n v="23.63325"/>
    <n v="0.1913"/>
    <n v="28.154290725000003"/>
    <m/>
    <m/>
    <m/>
    <x v="0"/>
    <m/>
    <m/>
    <n v="57"/>
    <m/>
    <m/>
    <m/>
    <m/>
    <m/>
    <m/>
    <m/>
    <m/>
    <m/>
    <m/>
    <m/>
    <m/>
    <m/>
    <n v="57"/>
    <n v="57"/>
    <n v="0"/>
    <n v="0"/>
    <n v="0"/>
    <n v="0"/>
    <n v="0"/>
    <n v="0"/>
    <n v="0"/>
    <n v="57"/>
    <n v="0"/>
    <n v="0"/>
    <n v="0"/>
    <n v="0"/>
    <n v="0"/>
    <n v="0"/>
    <n v="0"/>
    <n v="0"/>
    <n v="0"/>
    <n v="0"/>
    <n v="0"/>
    <n v="0"/>
    <n v="0"/>
    <n v="57"/>
    <n v="0"/>
    <n v="0"/>
    <n v="0"/>
    <n v="0"/>
    <n v="0"/>
    <n v="0"/>
    <n v="1604.7945713250001"/>
    <n v="0"/>
    <n v="0"/>
    <n v="0"/>
    <n v="0"/>
    <n v="0"/>
    <n v="0"/>
    <n v="0"/>
    <n v="0"/>
    <n v="0"/>
    <n v="0"/>
    <n v="0"/>
    <n v="0"/>
    <n v="0"/>
  </r>
  <r>
    <x v="4"/>
    <s v="February"/>
    <x v="1"/>
    <n v="28.77403846153846"/>
    <n v="0.22450000000000001"/>
    <n v="35.233810096153839"/>
    <m/>
    <m/>
    <m/>
    <x v="0"/>
    <m/>
    <m/>
    <n v="37"/>
    <n v="197.58"/>
    <m/>
    <m/>
    <m/>
    <m/>
    <m/>
    <m/>
    <m/>
    <n v="4"/>
    <m/>
    <m/>
    <m/>
    <m/>
    <n v="238.58"/>
    <n v="160"/>
    <n v="-78.580000000000013"/>
    <n v="0"/>
    <n v="0"/>
    <n v="0"/>
    <n v="0"/>
    <n v="0"/>
    <n v="0"/>
    <n v="24.813479755218374"/>
    <n v="132.50398189286611"/>
    <n v="0"/>
    <n v="0"/>
    <n v="0"/>
    <n v="0"/>
    <n v="0"/>
    <n v="0"/>
    <n v="0"/>
    <n v="2.6825383519154999"/>
    <n v="0"/>
    <n v="0"/>
    <n v="0"/>
    <n v="0"/>
    <n v="159.99999999999997"/>
    <n v="0"/>
    <n v="0"/>
    <n v="0"/>
    <n v="0"/>
    <n v="0"/>
    <n v="0"/>
    <n v="874.27343352012201"/>
    <n v="4668.6201349974517"/>
    <n v="0"/>
    <n v="0"/>
    <n v="0"/>
    <n v="0"/>
    <n v="0"/>
    <n v="0"/>
    <n v="0"/>
    <n v="94.516046867040217"/>
    <n v="0"/>
    <n v="0"/>
    <n v="0"/>
    <n v="0"/>
  </r>
  <r>
    <x v="4"/>
    <s v="January"/>
    <x v="1"/>
    <n v="28.77403846153846"/>
    <n v="0.22450000000000001"/>
    <n v="35.233810096153839"/>
    <m/>
    <m/>
    <m/>
    <x v="0"/>
    <m/>
    <m/>
    <n v="42"/>
    <n v="197.57"/>
    <m/>
    <m/>
    <m/>
    <m/>
    <m/>
    <m/>
    <m/>
    <n v="8"/>
    <m/>
    <m/>
    <m/>
    <m/>
    <n v="247.57"/>
    <n v="184"/>
    <n v="-63.569999999999993"/>
    <n v="0"/>
    <n v="0"/>
    <n v="0"/>
    <n v="0"/>
    <n v="0"/>
    <n v="0"/>
    <n v="31.215413822353277"/>
    <n v="146.83879306862704"/>
    <n v="0"/>
    <n v="0"/>
    <n v="0"/>
    <n v="0"/>
    <n v="0"/>
    <n v="0"/>
    <n v="0"/>
    <n v="5.9457931090196716"/>
    <n v="0"/>
    <n v="0"/>
    <n v="0"/>
    <n v="0"/>
    <n v="183.99999999999997"/>
    <n v="0"/>
    <n v="0"/>
    <n v="0"/>
    <n v="0"/>
    <n v="0"/>
    <n v="0"/>
    <n v="1099.837962689651"/>
    <n v="5173.6901497284362"/>
    <n v="0"/>
    <n v="0"/>
    <n v="0"/>
    <n v="0"/>
    <n v="0"/>
    <n v="0"/>
    <n v="0"/>
    <n v="209.49294527421924"/>
    <n v="0"/>
    <n v="0"/>
    <n v="0"/>
    <n v="0"/>
  </r>
  <r>
    <x v="4"/>
    <s v="March"/>
    <x v="1"/>
    <n v="28.77403846153846"/>
    <n v="0.22450000000000001"/>
    <n v="35.233810096153839"/>
    <m/>
    <m/>
    <m/>
    <x v="0"/>
    <m/>
    <m/>
    <n v="44"/>
    <n v="197.57"/>
    <m/>
    <n v="35"/>
    <m/>
    <m/>
    <m/>
    <m/>
    <m/>
    <n v="4"/>
    <m/>
    <m/>
    <m/>
    <m/>
    <n v="280.57"/>
    <n v="168"/>
    <n v="-112.57"/>
    <n v="0"/>
    <n v="0"/>
    <n v="0"/>
    <n v="0"/>
    <n v="0"/>
    <n v="0"/>
    <n v="26.346366325694124"/>
    <n v="118.30117261289517"/>
    <n v="0"/>
    <n v="20.957336849983964"/>
    <n v="0"/>
    <n v="0"/>
    <n v="0"/>
    <n v="0"/>
    <n v="0"/>
    <n v="2.3951242114267384"/>
    <n v="0"/>
    <n v="0"/>
    <n v="0"/>
    <n v="0"/>
    <n v="168"/>
    <n v="0"/>
    <n v="0"/>
    <n v="0"/>
    <n v="0"/>
    <n v="0"/>
    <n v="0"/>
    <n v="928.28286784320915"/>
    <n v="4168.2010499950638"/>
    <n v="0"/>
    <n v="738.40682669346188"/>
    <n v="0"/>
    <n v="0"/>
    <n v="0"/>
    <n v="0"/>
    <n v="0"/>
    <n v="84.389351622109913"/>
    <n v="0"/>
    <n v="0"/>
    <n v="0"/>
    <n v="0"/>
  </r>
  <r>
    <x v="4"/>
    <s v="April"/>
    <x v="1"/>
    <n v="28.77403846153846"/>
    <n v="0.22450000000000001"/>
    <n v="35.233810096153839"/>
    <m/>
    <m/>
    <m/>
    <x v="0"/>
    <m/>
    <m/>
    <n v="50"/>
    <n v="197.57"/>
    <m/>
    <n v="35"/>
    <m/>
    <m/>
    <m/>
    <m/>
    <m/>
    <n v="7"/>
    <m/>
    <m/>
    <m/>
    <m/>
    <n v="289.57"/>
    <n v="176"/>
    <n v="-113.57"/>
    <n v="0"/>
    <n v="0"/>
    <n v="0"/>
    <n v="0"/>
    <n v="0"/>
    <n v="0"/>
    <n v="30.389888455295786"/>
    <n v="120.08260524225575"/>
    <n v="0"/>
    <n v="21.272921918707048"/>
    <n v="0"/>
    <n v="0"/>
    <n v="0"/>
    <n v="0"/>
    <n v="0"/>
    <n v="4.2545843837414097"/>
    <n v="0"/>
    <n v="0"/>
    <n v="0"/>
    <n v="0"/>
    <n v="176"/>
    <n v="0"/>
    <n v="0"/>
    <n v="0"/>
    <n v="0"/>
    <n v="0"/>
    <n v="0"/>
    <n v="1070.7515586771897"/>
    <n v="4230.9677089570469"/>
    <n v="0"/>
    <n v="749.52609107403271"/>
    <n v="0"/>
    <n v="0"/>
    <n v="0"/>
    <n v="0"/>
    <n v="0"/>
    <n v="149.90521821480655"/>
    <n v="0"/>
    <n v="0"/>
    <n v="0"/>
    <n v="0"/>
  </r>
  <r>
    <x v="4"/>
    <s v="May"/>
    <x v="1"/>
    <n v="28.77403846153846"/>
    <n v="0.22450000000000001"/>
    <n v="35.233810096153839"/>
    <m/>
    <m/>
    <m/>
    <x v="0"/>
    <m/>
    <m/>
    <n v="50"/>
    <n v="197.57"/>
    <m/>
    <n v="35"/>
    <m/>
    <m/>
    <m/>
    <m/>
    <m/>
    <m/>
    <m/>
    <m/>
    <m/>
    <m/>
    <n v="282.57"/>
    <n v="176"/>
    <n v="-106.57"/>
    <n v="0"/>
    <n v="0"/>
    <n v="0"/>
    <n v="0"/>
    <n v="0"/>
    <n v="0"/>
    <n v="31.142725696287645"/>
    <n v="123.057366316311"/>
    <n v="0"/>
    <n v="21.799907987401355"/>
    <n v="0"/>
    <n v="0"/>
    <n v="0"/>
    <n v="0"/>
    <n v="0"/>
    <n v="0"/>
    <n v="0"/>
    <n v="0"/>
    <n v="0"/>
    <n v="0"/>
    <n v="176"/>
    <n v="0"/>
    <n v="0"/>
    <n v="0"/>
    <n v="0"/>
    <n v="0"/>
    <n v="0"/>
    <n v="1097.2768830596092"/>
    <n v="4335.7798757217397"/>
    <n v="0"/>
    <n v="768.09381814172662"/>
    <n v="0"/>
    <n v="0"/>
    <n v="0"/>
    <n v="0"/>
    <n v="0"/>
    <n v="0"/>
    <n v="0"/>
    <n v="0"/>
    <n v="0"/>
    <n v="0"/>
  </r>
  <r>
    <x v="4"/>
    <s v="June"/>
    <x v="1"/>
    <n v="28.77403846153846"/>
    <n v="0.22450000000000001"/>
    <n v="35.233810096153839"/>
    <m/>
    <m/>
    <m/>
    <x v="0"/>
    <m/>
    <m/>
    <m/>
    <n v="197.57"/>
    <m/>
    <n v="35"/>
    <m/>
    <m/>
    <m/>
    <m/>
    <m/>
    <n v="13"/>
    <m/>
    <m/>
    <m/>
    <m/>
    <n v="245.57"/>
    <n v="168"/>
    <n v="-77.569999999999993"/>
    <n v="0"/>
    <n v="0"/>
    <n v="0"/>
    <n v="0"/>
    <n v="0"/>
    <n v="0"/>
    <n v="0"/>
    <n v="135.1621126359083"/>
    <n v="0"/>
    <n v="23.944292869650202"/>
    <n v="0"/>
    <n v="0"/>
    <n v="0"/>
    <n v="0"/>
    <n v="0"/>
    <n v="8.8935944944415031"/>
    <n v="0"/>
    <n v="0"/>
    <n v="0"/>
    <n v="0"/>
    <n v="168.00000000000003"/>
    <n v="0"/>
    <n v="0"/>
    <n v="0"/>
    <n v="0"/>
    <n v="0"/>
    <n v="0"/>
    <n v="0"/>
    <n v="4762.2762088085483"/>
    <n v="0"/>
    <n v="843.64866785594563"/>
    <n v="0"/>
    <n v="0"/>
    <n v="0"/>
    <n v="0"/>
    <n v="0"/>
    <n v="313.35521948935121"/>
    <n v="0"/>
    <n v="0"/>
    <n v="0"/>
    <n v="0"/>
  </r>
  <r>
    <x v="4"/>
    <s v="July"/>
    <x v="1"/>
    <n v="28.77403846153846"/>
    <n v="0.22450000000000001"/>
    <n v="35.233810096153839"/>
    <m/>
    <m/>
    <m/>
    <x v="0"/>
    <m/>
    <m/>
    <m/>
    <n v="197.57"/>
    <m/>
    <n v="35"/>
    <m/>
    <m/>
    <m/>
    <m/>
    <m/>
    <n v="4"/>
    <m/>
    <m/>
    <m/>
    <m/>
    <n v="236.57"/>
    <n v="184"/>
    <n v="-52.569999999999993"/>
    <n v="0"/>
    <n v="0"/>
    <n v="0"/>
    <n v="0"/>
    <n v="0"/>
    <n v="0"/>
    <n v="0"/>
    <n v="153.6664834932578"/>
    <n v="0"/>
    <n v="27.222386608614787"/>
    <n v="0"/>
    <n v="0"/>
    <n v="0"/>
    <n v="0"/>
    <n v="0"/>
    <n v="3.1111298981274045"/>
    <n v="0"/>
    <n v="0"/>
    <n v="0"/>
    <n v="0"/>
    <n v="184"/>
    <n v="0"/>
    <n v="0"/>
    <n v="0"/>
    <n v="0"/>
    <n v="0"/>
    <n v="0"/>
    <n v="0"/>
    <n v="5414.2556975452035"/>
    <n v="0"/>
    <n v="959.14840013201479"/>
    <n v="0"/>
    <n v="0"/>
    <n v="0"/>
    <n v="0"/>
    <n v="0"/>
    <n v="109.61696001508741"/>
    <n v="0"/>
    <n v="0"/>
    <n v="0"/>
    <n v="0"/>
  </r>
  <r>
    <x v="5"/>
    <s v="December"/>
    <x v="3"/>
    <n v="33.718557692307698"/>
    <n v="0.21360000000000001"/>
    <n v="40.920841615384624"/>
    <m/>
    <m/>
    <m/>
    <x v="0"/>
    <m/>
    <m/>
    <m/>
    <m/>
    <m/>
    <m/>
    <n v="107"/>
    <n v="61"/>
    <m/>
    <m/>
    <m/>
    <m/>
    <m/>
    <m/>
    <m/>
    <m/>
    <n v="168"/>
    <n v="168"/>
    <n v="0"/>
    <n v="0"/>
    <n v="0"/>
    <n v="0"/>
    <n v="0"/>
    <n v="0"/>
    <n v="0"/>
    <n v="0"/>
    <n v="0"/>
    <n v="0"/>
    <n v="0"/>
    <n v="107"/>
    <n v="61"/>
    <n v="0"/>
    <n v="0"/>
    <n v="0"/>
    <n v="0"/>
    <n v="0"/>
    <n v="0"/>
    <n v="0"/>
    <n v="0"/>
    <n v="168"/>
    <n v="0"/>
    <n v="0"/>
    <n v="0"/>
    <n v="0"/>
    <n v="0"/>
    <n v="0"/>
    <n v="0"/>
    <n v="0"/>
    <n v="0"/>
    <n v="0"/>
    <n v="4378.5300528461548"/>
    <n v="2496.1713385384619"/>
    <n v="0"/>
    <n v="0"/>
    <n v="0"/>
    <n v="0"/>
    <n v="0"/>
    <n v="0"/>
    <n v="0"/>
    <n v="0"/>
  </r>
  <r>
    <x v="5"/>
    <s v="October"/>
    <x v="3"/>
    <n v="33.718557692307698"/>
    <n v="0.21360000000000001"/>
    <n v="40.920841615384624"/>
    <m/>
    <m/>
    <m/>
    <x v="0"/>
    <m/>
    <m/>
    <m/>
    <m/>
    <m/>
    <m/>
    <n v="110"/>
    <n v="66"/>
    <m/>
    <m/>
    <m/>
    <m/>
    <m/>
    <m/>
    <m/>
    <m/>
    <n v="176"/>
    <n v="176"/>
    <n v="0"/>
    <n v="0"/>
    <n v="0"/>
    <n v="0"/>
    <n v="0"/>
    <n v="0"/>
    <n v="0"/>
    <n v="0"/>
    <n v="0"/>
    <n v="0"/>
    <n v="0"/>
    <n v="110"/>
    <n v="66"/>
    <n v="0"/>
    <n v="0"/>
    <n v="0"/>
    <n v="0"/>
    <n v="0"/>
    <n v="0"/>
    <n v="0"/>
    <n v="0"/>
    <n v="176"/>
    <n v="0"/>
    <n v="0"/>
    <n v="0"/>
    <n v="0"/>
    <n v="0"/>
    <n v="0"/>
    <n v="0"/>
    <n v="0"/>
    <n v="0"/>
    <n v="0"/>
    <n v="4501.2925776923084"/>
    <n v="2700.7755466153853"/>
    <n v="0"/>
    <n v="0"/>
    <n v="0"/>
    <n v="0"/>
    <n v="0"/>
    <n v="0"/>
    <n v="0"/>
    <n v="0"/>
  </r>
  <r>
    <x v="5"/>
    <s v="November"/>
    <x v="3"/>
    <n v="33.718557692307698"/>
    <n v="0.21360000000000001"/>
    <n v="40.920841615384624"/>
    <m/>
    <m/>
    <m/>
    <x v="0"/>
    <m/>
    <m/>
    <m/>
    <m/>
    <m/>
    <m/>
    <n v="99"/>
    <n v="77"/>
    <m/>
    <m/>
    <m/>
    <m/>
    <m/>
    <m/>
    <m/>
    <m/>
    <n v="176"/>
    <n v="176"/>
    <n v="0"/>
    <n v="0"/>
    <n v="0"/>
    <n v="0"/>
    <n v="0"/>
    <n v="0"/>
    <n v="0"/>
    <n v="0"/>
    <n v="0"/>
    <n v="0"/>
    <n v="0"/>
    <n v="99"/>
    <n v="77"/>
    <n v="0"/>
    <n v="0"/>
    <n v="0"/>
    <n v="0"/>
    <n v="0"/>
    <n v="0"/>
    <n v="0"/>
    <n v="0"/>
    <n v="176"/>
    <n v="0"/>
    <n v="0"/>
    <n v="0"/>
    <n v="0"/>
    <n v="0"/>
    <n v="0"/>
    <n v="0"/>
    <n v="0"/>
    <n v="0"/>
    <n v="0"/>
    <n v="4051.1633199230778"/>
    <n v="3150.904804384616"/>
    <n v="0"/>
    <n v="0"/>
    <n v="0"/>
    <n v="0"/>
    <n v="0"/>
    <n v="0"/>
    <n v="0"/>
    <n v="0"/>
  </r>
  <r>
    <x v="5"/>
    <s v="June"/>
    <x v="0"/>
    <n v="42.982610576923079"/>
    <n v="0.1913"/>
    <n v="51.205183980288467"/>
    <m/>
    <m/>
    <m/>
    <x v="0"/>
    <n v="43"/>
    <m/>
    <m/>
    <m/>
    <m/>
    <m/>
    <n v="73"/>
    <n v="44"/>
    <m/>
    <m/>
    <m/>
    <m/>
    <m/>
    <m/>
    <m/>
    <m/>
    <n v="160"/>
    <n v="160"/>
    <n v="0"/>
    <n v="0"/>
    <n v="0"/>
    <n v="0"/>
    <n v="0"/>
    <n v="43"/>
    <n v="0"/>
    <n v="0"/>
    <n v="0"/>
    <n v="0"/>
    <n v="0"/>
    <n v="73"/>
    <n v="44"/>
    <n v="0"/>
    <n v="0"/>
    <n v="0"/>
    <n v="0"/>
    <n v="0"/>
    <n v="0"/>
    <n v="0"/>
    <n v="0"/>
    <n v="160"/>
    <n v="0"/>
    <n v="0"/>
    <n v="0"/>
    <n v="0"/>
    <n v="2201.8229111524042"/>
    <n v="0"/>
    <n v="0"/>
    <n v="0"/>
    <n v="0"/>
    <n v="0"/>
    <n v="3737.9784305610583"/>
    <n v="2253.0280951326927"/>
    <n v="0"/>
    <n v="0"/>
    <n v="0"/>
    <n v="0"/>
    <n v="0"/>
    <n v="0"/>
    <n v="0"/>
    <n v="0"/>
  </r>
  <r>
    <x v="5"/>
    <s v="February"/>
    <x v="0"/>
    <n v="42.982610576923079"/>
    <n v="0.1913"/>
    <n v="51.205183980288467"/>
    <m/>
    <m/>
    <m/>
    <x v="0"/>
    <m/>
    <m/>
    <m/>
    <m/>
    <m/>
    <m/>
    <n v="51.5"/>
    <n v="46.5"/>
    <m/>
    <m/>
    <n v="70"/>
    <m/>
    <m/>
    <m/>
    <m/>
    <m/>
    <n v="168"/>
    <n v="168"/>
    <n v="0"/>
    <n v="0"/>
    <n v="0"/>
    <n v="0"/>
    <n v="0"/>
    <n v="0"/>
    <n v="0"/>
    <n v="0"/>
    <n v="0"/>
    <n v="0"/>
    <n v="0"/>
    <n v="51.5"/>
    <n v="46.5"/>
    <n v="0"/>
    <n v="0"/>
    <n v="70"/>
    <n v="0"/>
    <n v="0"/>
    <n v="0"/>
    <n v="0"/>
    <n v="0"/>
    <n v="168"/>
    <n v="0"/>
    <n v="0"/>
    <n v="0"/>
    <n v="0"/>
    <n v="0"/>
    <n v="0"/>
    <n v="0"/>
    <n v="0"/>
    <n v="0"/>
    <n v="0"/>
    <n v="2637.0669749848562"/>
    <n v="2381.0410550834135"/>
    <n v="0"/>
    <n v="0"/>
    <n v="3584.3628786201925"/>
    <n v="0"/>
    <n v="0"/>
    <n v="0"/>
    <n v="0"/>
    <n v="0"/>
  </r>
  <r>
    <x v="5"/>
    <s v="March"/>
    <x v="0"/>
    <n v="42.982610576923079"/>
    <n v="0.1913"/>
    <n v="51.205183980288467"/>
    <m/>
    <m/>
    <m/>
    <x v="0"/>
    <m/>
    <m/>
    <m/>
    <m/>
    <m/>
    <m/>
    <n v="27"/>
    <n v="98"/>
    <m/>
    <m/>
    <n v="43"/>
    <m/>
    <m/>
    <m/>
    <m/>
    <m/>
    <n v="168"/>
    <n v="168"/>
    <n v="0"/>
    <n v="0"/>
    <n v="0"/>
    <n v="0"/>
    <n v="0"/>
    <n v="0"/>
    <n v="0"/>
    <n v="0"/>
    <n v="0"/>
    <n v="0"/>
    <n v="0"/>
    <n v="27.000000000000004"/>
    <n v="98"/>
    <n v="0"/>
    <n v="0"/>
    <n v="43"/>
    <n v="0"/>
    <n v="0"/>
    <n v="0"/>
    <n v="0"/>
    <n v="0"/>
    <n v="168"/>
    <n v="0"/>
    <n v="0"/>
    <n v="0"/>
    <n v="0"/>
    <n v="0"/>
    <n v="0"/>
    <n v="0"/>
    <n v="0"/>
    <n v="0"/>
    <n v="0"/>
    <n v="1382.5399674677888"/>
    <n v="5018.1080300682697"/>
    <n v="0"/>
    <n v="0"/>
    <n v="2201.8229111524042"/>
    <n v="0"/>
    <n v="0"/>
    <n v="0"/>
    <n v="0"/>
    <n v="0"/>
  </r>
  <r>
    <x v="5"/>
    <s v="September"/>
    <x v="0"/>
    <n v="42.982610576923079"/>
    <n v="0.1913"/>
    <n v="51.205183980288467"/>
    <m/>
    <m/>
    <m/>
    <x v="0"/>
    <n v="61"/>
    <m/>
    <m/>
    <m/>
    <m/>
    <m/>
    <n v="65"/>
    <n v="42"/>
    <m/>
    <m/>
    <m/>
    <m/>
    <m/>
    <m/>
    <m/>
    <m/>
    <n v="168"/>
    <n v="168"/>
    <n v="0"/>
    <n v="0"/>
    <n v="0"/>
    <n v="0"/>
    <n v="0"/>
    <n v="61"/>
    <n v="0"/>
    <n v="0"/>
    <n v="0"/>
    <n v="0"/>
    <n v="0"/>
    <n v="65"/>
    <n v="42"/>
    <n v="0"/>
    <n v="0"/>
    <n v="0"/>
    <n v="0"/>
    <n v="0"/>
    <n v="0"/>
    <n v="0"/>
    <n v="0"/>
    <n v="168"/>
    <n v="0"/>
    <n v="0"/>
    <n v="0"/>
    <n v="0"/>
    <n v="3123.5162227975966"/>
    <n v="0"/>
    <n v="0"/>
    <n v="0"/>
    <n v="0"/>
    <n v="0"/>
    <n v="3328.3369587187503"/>
    <n v="2150.6177271721158"/>
    <n v="0"/>
    <n v="0"/>
    <n v="0"/>
    <n v="0"/>
    <n v="0"/>
    <n v="0"/>
    <n v="0"/>
    <n v="0"/>
  </r>
  <r>
    <x v="5"/>
    <s v="November"/>
    <x v="0"/>
    <n v="42.982610576923079"/>
    <n v="0.1913"/>
    <n v="51.205183980288467"/>
    <m/>
    <m/>
    <m/>
    <x v="0"/>
    <n v="22"/>
    <m/>
    <m/>
    <m/>
    <m/>
    <m/>
    <n v="86"/>
    <n v="24"/>
    <m/>
    <m/>
    <m/>
    <n v="36"/>
    <m/>
    <m/>
    <m/>
    <m/>
    <n v="168"/>
    <n v="168"/>
    <n v="0"/>
    <n v="0"/>
    <n v="0"/>
    <n v="0"/>
    <n v="0"/>
    <n v="22"/>
    <n v="0"/>
    <n v="0"/>
    <n v="0"/>
    <n v="0"/>
    <n v="0"/>
    <n v="86"/>
    <n v="24"/>
    <n v="0"/>
    <n v="0"/>
    <n v="0"/>
    <n v="36"/>
    <n v="0"/>
    <n v="0"/>
    <n v="0"/>
    <n v="0"/>
    <n v="168"/>
    <n v="0"/>
    <n v="0"/>
    <n v="0"/>
    <n v="0"/>
    <n v="1126.5140475663463"/>
    <n v="0"/>
    <n v="0"/>
    <n v="0"/>
    <n v="0"/>
    <n v="0"/>
    <n v="4403.6458223048085"/>
    <n v="1228.9244155269232"/>
    <n v="0"/>
    <n v="0"/>
    <n v="0"/>
    <n v="1843.3866232903847"/>
    <n v="0"/>
    <n v="0"/>
    <n v="0"/>
    <n v="0"/>
  </r>
  <r>
    <x v="5"/>
    <s v="August"/>
    <x v="0"/>
    <n v="42.982610576923079"/>
    <n v="0.1913"/>
    <n v="51.205183980288467"/>
    <m/>
    <m/>
    <m/>
    <x v="0"/>
    <n v="79"/>
    <m/>
    <m/>
    <m/>
    <m/>
    <m/>
    <n v="61"/>
    <n v="36"/>
    <m/>
    <m/>
    <m/>
    <m/>
    <m/>
    <m/>
    <m/>
    <m/>
    <n v="176"/>
    <n v="176"/>
    <n v="0"/>
    <n v="0"/>
    <n v="0"/>
    <n v="0"/>
    <n v="0"/>
    <n v="79"/>
    <n v="0"/>
    <n v="0"/>
    <n v="0"/>
    <n v="0"/>
    <n v="0"/>
    <n v="61.000000000000007"/>
    <n v="36"/>
    <n v="0"/>
    <n v="0"/>
    <n v="0"/>
    <n v="0"/>
    <n v="0"/>
    <n v="0"/>
    <n v="0"/>
    <n v="0"/>
    <n v="176"/>
    <n v="0"/>
    <n v="0"/>
    <n v="0"/>
    <n v="0"/>
    <n v="4045.2095344427889"/>
    <n v="0"/>
    <n v="0"/>
    <n v="0"/>
    <n v="0"/>
    <n v="0"/>
    <n v="3123.516222797597"/>
    <n v="1843.3866232903847"/>
    <n v="0"/>
    <n v="0"/>
    <n v="0"/>
    <n v="0"/>
    <n v="0"/>
    <n v="0"/>
    <n v="0"/>
    <n v="0"/>
  </r>
  <r>
    <x v="5"/>
    <s v="December"/>
    <x v="0"/>
    <n v="42.982610576923079"/>
    <n v="0.1913"/>
    <n v="51.205183980288467"/>
    <m/>
    <m/>
    <m/>
    <x v="0"/>
    <n v="26"/>
    <m/>
    <m/>
    <m/>
    <m/>
    <m/>
    <n v="93"/>
    <n v="22"/>
    <m/>
    <m/>
    <m/>
    <n v="35"/>
    <m/>
    <m/>
    <m/>
    <m/>
    <n v="176"/>
    <n v="176"/>
    <n v="0"/>
    <n v="0"/>
    <n v="0"/>
    <n v="0"/>
    <n v="0"/>
    <n v="26"/>
    <n v="0"/>
    <n v="0"/>
    <n v="0"/>
    <n v="0"/>
    <n v="0"/>
    <n v="93"/>
    <n v="22"/>
    <n v="0"/>
    <n v="0"/>
    <n v="0"/>
    <n v="35"/>
    <n v="0"/>
    <n v="0"/>
    <n v="0"/>
    <n v="0"/>
    <n v="176"/>
    <n v="0"/>
    <n v="0"/>
    <n v="0"/>
    <n v="0"/>
    <n v="1331.3347834875001"/>
    <n v="0"/>
    <n v="0"/>
    <n v="0"/>
    <n v="0"/>
    <n v="0"/>
    <n v="4762.0821101668271"/>
    <n v="1126.5140475663463"/>
    <n v="0"/>
    <n v="0"/>
    <n v="0"/>
    <n v="1792.1814393100963"/>
    <n v="0"/>
    <n v="0"/>
    <n v="0"/>
    <n v="0"/>
  </r>
  <r>
    <x v="5"/>
    <s v="April"/>
    <x v="0"/>
    <n v="42.982610576923079"/>
    <n v="0.1913"/>
    <n v="51.205183980288467"/>
    <m/>
    <m/>
    <m/>
    <x v="0"/>
    <n v="45"/>
    <m/>
    <m/>
    <m/>
    <m/>
    <m/>
    <n v="78"/>
    <n v="52"/>
    <m/>
    <m/>
    <n v="2"/>
    <m/>
    <m/>
    <m/>
    <m/>
    <m/>
    <n v="177"/>
    <n v="176"/>
    <n v="-1"/>
    <n v="0"/>
    <n v="0"/>
    <n v="0"/>
    <n v="0"/>
    <n v="44.745762711864401"/>
    <n v="0"/>
    <n v="0"/>
    <n v="0"/>
    <n v="0"/>
    <n v="0"/>
    <n v="77.559322033898297"/>
    <n v="51.706214689265536"/>
    <n v="0"/>
    <n v="0"/>
    <n v="1.9887005649717513"/>
    <n v="0"/>
    <n v="0"/>
    <n v="0"/>
    <n v="0"/>
    <n v="0"/>
    <n v="176"/>
    <n v="0"/>
    <n v="0"/>
    <n v="0"/>
    <n v="0"/>
    <n v="2291.215011999348"/>
    <n v="0"/>
    <n v="0"/>
    <n v="0"/>
    <n v="0"/>
    <n v="0"/>
    <n v="3971.4393541322033"/>
    <n v="2647.626236088136"/>
    <n v="0"/>
    <n v="0"/>
    <n v="101.83177831108215"/>
    <n v="0"/>
    <n v="0"/>
    <n v="0"/>
    <n v="0"/>
    <n v="0"/>
  </r>
  <r>
    <x v="5"/>
    <s v="January"/>
    <x v="0"/>
    <n v="42.982610576923079"/>
    <n v="0.1913"/>
    <n v="51.205183980288467"/>
    <m/>
    <m/>
    <m/>
    <x v="0"/>
    <m/>
    <m/>
    <m/>
    <m/>
    <m/>
    <m/>
    <n v="63.5"/>
    <n v="53.5"/>
    <m/>
    <m/>
    <n v="67"/>
    <m/>
    <m/>
    <m/>
    <m/>
    <m/>
    <n v="184"/>
    <n v="184"/>
    <n v="0"/>
    <n v="0"/>
    <n v="0"/>
    <n v="0"/>
    <n v="0"/>
    <n v="0"/>
    <n v="0"/>
    <n v="0"/>
    <n v="0"/>
    <n v="0"/>
    <n v="0"/>
    <n v="63.499999999999993"/>
    <n v="53.5"/>
    <n v="0"/>
    <n v="0"/>
    <n v="67"/>
    <n v="0"/>
    <n v="0"/>
    <n v="0"/>
    <n v="0"/>
    <n v="0"/>
    <n v="184"/>
    <n v="0"/>
    <n v="0"/>
    <n v="0"/>
    <n v="0"/>
    <n v="0"/>
    <n v="0"/>
    <n v="0"/>
    <n v="0"/>
    <n v="0"/>
    <n v="0"/>
    <n v="3251.5291827483175"/>
    <n v="2739.4773429454331"/>
    <n v="0"/>
    <n v="0"/>
    <n v="3430.7473266793272"/>
    <n v="0"/>
    <n v="0"/>
    <n v="0"/>
    <n v="0"/>
    <n v="0"/>
  </r>
  <r>
    <x v="5"/>
    <s v="May"/>
    <x v="0"/>
    <n v="42.982610576923079"/>
    <n v="0.1913"/>
    <n v="51.205183980288467"/>
    <m/>
    <m/>
    <m/>
    <x v="0"/>
    <n v="52"/>
    <m/>
    <m/>
    <m/>
    <m/>
    <m/>
    <n v="66"/>
    <n v="55"/>
    <m/>
    <m/>
    <n v="11"/>
    <m/>
    <m/>
    <m/>
    <m/>
    <m/>
    <n v="184"/>
    <n v="184"/>
    <n v="0"/>
    <n v="0"/>
    <n v="0"/>
    <n v="0"/>
    <n v="0"/>
    <n v="51.999999999999993"/>
    <n v="0"/>
    <n v="0"/>
    <n v="0"/>
    <n v="0"/>
    <n v="0"/>
    <n v="66"/>
    <n v="55"/>
    <n v="0"/>
    <n v="0"/>
    <n v="11"/>
    <n v="0"/>
    <n v="0"/>
    <n v="0"/>
    <n v="0"/>
    <n v="0"/>
    <n v="184"/>
    <n v="0"/>
    <n v="0"/>
    <n v="0"/>
    <n v="0"/>
    <n v="2662.6695669749997"/>
    <n v="0"/>
    <n v="0"/>
    <n v="0"/>
    <n v="0"/>
    <n v="0"/>
    <n v="3379.5421426990388"/>
    <n v="2816.2851189158655"/>
    <n v="0"/>
    <n v="0"/>
    <n v="563.25702378317317"/>
    <n v="0"/>
    <n v="0"/>
    <n v="0"/>
    <n v="0"/>
    <n v="0"/>
  </r>
  <r>
    <x v="5"/>
    <s v="October"/>
    <x v="0"/>
    <n v="42.982610576923079"/>
    <n v="0.1913"/>
    <n v="51.205183980288467"/>
    <m/>
    <m/>
    <m/>
    <x v="0"/>
    <n v="58"/>
    <m/>
    <m/>
    <m/>
    <m/>
    <m/>
    <n v="68"/>
    <n v="33"/>
    <m/>
    <m/>
    <m/>
    <n v="25"/>
    <m/>
    <m/>
    <m/>
    <m/>
    <n v="184"/>
    <n v="184"/>
    <n v="0"/>
    <n v="0"/>
    <n v="0"/>
    <n v="0"/>
    <n v="0"/>
    <n v="58"/>
    <n v="0"/>
    <n v="0"/>
    <n v="0"/>
    <n v="0"/>
    <n v="0"/>
    <n v="68"/>
    <n v="33"/>
    <n v="0"/>
    <n v="0"/>
    <n v="0"/>
    <n v="25"/>
    <n v="0"/>
    <n v="0"/>
    <n v="0"/>
    <n v="0"/>
    <n v="184"/>
    <n v="0"/>
    <n v="0"/>
    <n v="0"/>
    <n v="0"/>
    <n v="2969.9006708567313"/>
    <n v="0"/>
    <n v="0"/>
    <n v="0"/>
    <n v="0"/>
    <n v="0"/>
    <n v="3481.9525106596157"/>
    <n v="1689.7710713495194"/>
    <n v="0"/>
    <n v="0"/>
    <n v="0"/>
    <n v="1280.1295995072117"/>
    <n v="0"/>
    <n v="0"/>
    <n v="0"/>
    <n v="0"/>
  </r>
  <r>
    <x v="5"/>
    <s v="July"/>
    <x v="0"/>
    <n v="42.982610576923079"/>
    <n v="0.1913"/>
    <n v="51.205183980288467"/>
    <m/>
    <m/>
    <m/>
    <x v="0"/>
    <n v="72"/>
    <m/>
    <m/>
    <m/>
    <m/>
    <m/>
    <n v="81"/>
    <n v="34"/>
    <m/>
    <m/>
    <m/>
    <m/>
    <m/>
    <m/>
    <m/>
    <m/>
    <n v="187"/>
    <n v="184"/>
    <n v="-3"/>
    <n v="0"/>
    <n v="0"/>
    <n v="0"/>
    <n v="0"/>
    <n v="70.844919786096256"/>
    <n v="0"/>
    <n v="0"/>
    <n v="0"/>
    <n v="0"/>
    <n v="0"/>
    <n v="79.700534759358291"/>
    <n v="33.454545454545453"/>
    <n v="0"/>
    <n v="0"/>
    <n v="0"/>
    <n v="0"/>
    <n v="0"/>
    <n v="0"/>
    <n v="0"/>
    <n v="0"/>
    <n v="184"/>
    <n v="0"/>
    <n v="0"/>
    <n v="0"/>
    <n v="0"/>
    <n v="3627.6271517158375"/>
    <n v="0"/>
    <n v="0"/>
    <n v="0"/>
    <n v="0"/>
    <n v="0"/>
    <n v="4081.0805456803173"/>
    <n v="1713.0461549769232"/>
    <n v="0"/>
    <n v="0"/>
    <n v="0"/>
    <n v="0"/>
    <n v="0"/>
    <n v="0"/>
    <n v="0"/>
    <n v="0"/>
  </r>
  <r>
    <x v="4"/>
    <s v="August"/>
    <x v="1"/>
    <n v="28.77403846153846"/>
    <n v="0.22450000000000001"/>
    <n v="35.233810096153839"/>
    <m/>
    <m/>
    <m/>
    <x v="0"/>
    <m/>
    <m/>
    <m/>
    <m/>
    <m/>
    <n v="173"/>
    <m/>
    <m/>
    <m/>
    <m/>
    <m/>
    <m/>
    <m/>
    <m/>
    <m/>
    <m/>
    <n v="173"/>
    <n v="168"/>
    <n v="-5"/>
    <n v="0"/>
    <n v="0"/>
    <n v="0"/>
    <n v="0"/>
    <n v="0"/>
    <n v="0"/>
    <n v="0"/>
    <n v="0"/>
    <n v="0"/>
    <n v="168"/>
    <n v="0"/>
    <n v="0"/>
    <n v="0"/>
    <n v="0"/>
    <n v="0"/>
    <n v="0"/>
    <n v="0"/>
    <n v="0"/>
    <n v="0"/>
    <n v="0"/>
    <n v="168"/>
    <n v="0"/>
    <n v="0"/>
    <n v="0"/>
    <n v="0"/>
    <n v="0"/>
    <n v="0"/>
    <n v="0"/>
    <n v="0"/>
    <n v="0"/>
    <n v="5919.2800961538451"/>
    <n v="0"/>
    <n v="0"/>
    <n v="0"/>
    <n v="0"/>
    <n v="0"/>
    <n v="0"/>
    <n v="0"/>
    <n v="0"/>
    <n v="0"/>
    <n v="0"/>
  </r>
  <r>
    <x v="4"/>
    <s v="September"/>
    <x v="1"/>
    <n v="28.77403846153846"/>
    <n v="0.22450000000000001"/>
    <n v="35.233810096153839"/>
    <m/>
    <m/>
    <m/>
    <x v="0"/>
    <m/>
    <m/>
    <m/>
    <m/>
    <m/>
    <n v="173"/>
    <m/>
    <m/>
    <m/>
    <m/>
    <m/>
    <m/>
    <m/>
    <m/>
    <m/>
    <m/>
    <n v="173"/>
    <n v="176"/>
    <n v="3"/>
    <n v="0"/>
    <n v="0"/>
    <n v="0"/>
    <n v="0"/>
    <n v="0"/>
    <n v="0"/>
    <n v="0"/>
    <n v="0"/>
    <n v="0"/>
    <n v="176"/>
    <n v="0"/>
    <n v="0"/>
    <n v="0"/>
    <n v="0"/>
    <n v="0"/>
    <n v="0"/>
    <n v="0"/>
    <n v="0"/>
    <n v="0"/>
    <n v="0"/>
    <n v="176"/>
    <n v="0"/>
    <n v="0"/>
    <n v="0"/>
    <n v="0"/>
    <n v="0"/>
    <n v="0"/>
    <n v="0"/>
    <n v="0"/>
    <n v="0"/>
    <n v="6201.1505769230753"/>
    <n v="0"/>
    <n v="0"/>
    <n v="0"/>
    <n v="0"/>
    <n v="0"/>
    <n v="0"/>
    <n v="0"/>
    <n v="0"/>
    <n v="0"/>
    <n v="0"/>
  </r>
  <r>
    <x v="4"/>
    <s v="October"/>
    <x v="1"/>
    <n v="28.77403846153846"/>
    <n v="0.22450000000000001"/>
    <n v="35.233810096153839"/>
    <m/>
    <m/>
    <m/>
    <x v="0"/>
    <m/>
    <m/>
    <m/>
    <m/>
    <m/>
    <n v="160"/>
    <m/>
    <m/>
    <m/>
    <m/>
    <m/>
    <m/>
    <m/>
    <m/>
    <m/>
    <m/>
    <n v="160"/>
    <n v="184"/>
    <n v="24"/>
    <n v="0"/>
    <n v="0"/>
    <n v="0"/>
    <n v="0"/>
    <n v="0"/>
    <n v="0"/>
    <n v="0"/>
    <n v="0"/>
    <n v="0"/>
    <n v="184"/>
    <n v="0"/>
    <n v="0"/>
    <n v="0"/>
    <n v="0"/>
    <n v="0"/>
    <n v="0"/>
    <n v="0"/>
    <n v="0"/>
    <n v="0"/>
    <n v="0"/>
    <n v="184"/>
    <n v="0"/>
    <n v="0"/>
    <n v="0"/>
    <n v="0"/>
    <n v="0"/>
    <n v="0"/>
    <n v="0"/>
    <n v="0"/>
    <n v="0"/>
    <n v="6483.0210576923064"/>
    <n v="0"/>
    <n v="0"/>
    <n v="0"/>
    <n v="0"/>
    <n v="0"/>
    <n v="0"/>
    <n v="0"/>
    <n v="0"/>
    <n v="0"/>
    <n v="0"/>
  </r>
  <r>
    <x v="4"/>
    <s v="November"/>
    <x v="1"/>
    <n v="28.77403846153846"/>
    <n v="0.22450000000000001"/>
    <n v="35.233810096153839"/>
    <m/>
    <m/>
    <m/>
    <x v="0"/>
    <m/>
    <m/>
    <m/>
    <m/>
    <m/>
    <n v="160"/>
    <m/>
    <m/>
    <m/>
    <m/>
    <m/>
    <m/>
    <m/>
    <m/>
    <m/>
    <m/>
    <n v="160"/>
    <n v="160"/>
    <n v="0"/>
    <n v="0"/>
    <n v="0"/>
    <n v="0"/>
    <n v="0"/>
    <n v="0"/>
    <n v="0"/>
    <n v="0"/>
    <n v="0"/>
    <n v="0"/>
    <n v="160"/>
    <n v="0"/>
    <n v="0"/>
    <n v="0"/>
    <n v="0"/>
    <n v="0"/>
    <n v="0"/>
    <n v="0"/>
    <n v="0"/>
    <n v="0"/>
    <n v="0"/>
    <n v="160"/>
    <n v="0"/>
    <n v="0"/>
    <n v="0"/>
    <n v="0"/>
    <n v="0"/>
    <n v="0"/>
    <n v="0"/>
    <n v="0"/>
    <n v="0"/>
    <n v="5637.409615384614"/>
    <n v="0"/>
    <n v="0"/>
    <n v="0"/>
    <n v="0"/>
    <n v="0"/>
    <n v="0"/>
    <n v="0"/>
    <n v="0"/>
    <n v="0"/>
    <n v="0"/>
  </r>
  <r>
    <x v="4"/>
    <s v="December"/>
    <x v="1"/>
    <n v="28.77403846153846"/>
    <n v="0.22450000000000001"/>
    <n v="35.233810096153839"/>
    <m/>
    <m/>
    <m/>
    <x v="0"/>
    <m/>
    <m/>
    <m/>
    <m/>
    <m/>
    <n v="160"/>
    <m/>
    <m/>
    <m/>
    <m/>
    <m/>
    <m/>
    <m/>
    <m/>
    <m/>
    <m/>
    <n v="160"/>
    <n v="184"/>
    <n v="24"/>
    <n v="0"/>
    <n v="0"/>
    <n v="0"/>
    <n v="0"/>
    <n v="0"/>
    <n v="0"/>
    <n v="0"/>
    <n v="0"/>
    <n v="0"/>
    <n v="184"/>
    <n v="0"/>
    <n v="0"/>
    <n v="0"/>
    <n v="0"/>
    <n v="0"/>
    <n v="0"/>
    <n v="0"/>
    <n v="0"/>
    <n v="0"/>
    <n v="0"/>
    <n v="184"/>
    <n v="0"/>
    <n v="0"/>
    <n v="0"/>
    <n v="0"/>
    <n v="0"/>
    <n v="0"/>
    <n v="0"/>
    <n v="0"/>
    <n v="0"/>
    <n v="6483.0210576923064"/>
    <n v="0"/>
    <n v="0"/>
    <n v="0"/>
    <n v="0"/>
    <n v="0"/>
    <n v="0"/>
    <n v="0"/>
    <n v="0"/>
    <n v="0"/>
    <n v="0"/>
  </r>
  <r>
    <x v="5"/>
    <s v="February"/>
    <x v="1"/>
    <n v="43.93"/>
    <n v="0.22450000000000001"/>
    <n v="53.792285"/>
    <m/>
    <m/>
    <m/>
    <x v="0"/>
    <n v="58"/>
    <m/>
    <m/>
    <m/>
    <m/>
    <m/>
    <n v="28"/>
    <m/>
    <m/>
    <m/>
    <m/>
    <n v="74"/>
    <m/>
    <m/>
    <m/>
    <m/>
    <n v="160"/>
    <n v="160"/>
    <n v="0"/>
    <n v="0"/>
    <n v="0"/>
    <n v="0"/>
    <n v="0"/>
    <n v="58"/>
    <n v="0"/>
    <n v="0"/>
    <n v="0"/>
    <n v="0"/>
    <n v="0"/>
    <n v="28"/>
    <n v="0"/>
    <n v="0"/>
    <n v="0"/>
    <n v="0"/>
    <n v="74"/>
    <n v="0"/>
    <n v="0"/>
    <n v="0"/>
    <n v="0"/>
    <n v="160"/>
    <n v="0"/>
    <n v="0"/>
    <n v="0"/>
    <n v="0"/>
    <n v="3119.95253"/>
    <n v="0"/>
    <n v="0"/>
    <n v="0"/>
    <n v="0"/>
    <n v="0"/>
    <n v="1506.18398"/>
    <n v="0"/>
    <n v="0"/>
    <n v="0"/>
    <n v="0"/>
    <n v="3980.6290899999999"/>
    <n v="0"/>
    <n v="0"/>
    <n v="0"/>
    <n v="0"/>
  </r>
  <r>
    <x v="5"/>
    <s v="August"/>
    <x v="1"/>
    <n v="43.93"/>
    <n v="0.22450000000000001"/>
    <n v="53.792285"/>
    <m/>
    <m/>
    <m/>
    <x v="0"/>
    <m/>
    <m/>
    <m/>
    <m/>
    <m/>
    <m/>
    <n v="62"/>
    <m/>
    <m/>
    <m/>
    <m/>
    <n v="98"/>
    <m/>
    <m/>
    <m/>
    <m/>
    <n v="160"/>
    <n v="168"/>
    <n v="8"/>
    <n v="0"/>
    <n v="0"/>
    <n v="0"/>
    <n v="0"/>
    <n v="0"/>
    <n v="0"/>
    <n v="0"/>
    <n v="0"/>
    <n v="0"/>
    <n v="0"/>
    <n v="65.100000000000009"/>
    <n v="0"/>
    <n v="0"/>
    <n v="0"/>
    <n v="0"/>
    <n v="102.9"/>
    <n v="0"/>
    <n v="0"/>
    <n v="0"/>
    <n v="0"/>
    <n v="168"/>
    <n v="0"/>
    <n v="0"/>
    <n v="0"/>
    <n v="0"/>
    <n v="0"/>
    <n v="0"/>
    <n v="0"/>
    <n v="0"/>
    <n v="0"/>
    <n v="0"/>
    <n v="3501.8777535000004"/>
    <n v="0"/>
    <n v="0"/>
    <n v="0"/>
    <n v="0"/>
    <n v="5535.2261265000006"/>
    <n v="0"/>
    <n v="0"/>
    <n v="0"/>
    <n v="0"/>
  </r>
  <r>
    <x v="5"/>
    <s v="November"/>
    <x v="1"/>
    <n v="43.93"/>
    <n v="0.22450000000000001"/>
    <n v="53.792285"/>
    <m/>
    <m/>
    <m/>
    <x v="0"/>
    <m/>
    <m/>
    <m/>
    <m/>
    <m/>
    <m/>
    <n v="52"/>
    <m/>
    <m/>
    <m/>
    <m/>
    <n v="108"/>
    <m/>
    <m/>
    <m/>
    <m/>
    <n v="160"/>
    <n v="160"/>
    <n v="0"/>
    <n v="0"/>
    <n v="0"/>
    <n v="0"/>
    <n v="0"/>
    <n v="0"/>
    <n v="0"/>
    <n v="0"/>
    <n v="0"/>
    <n v="0"/>
    <n v="0"/>
    <n v="52"/>
    <n v="0"/>
    <n v="0"/>
    <n v="0"/>
    <n v="0"/>
    <n v="108"/>
    <n v="0"/>
    <n v="0"/>
    <n v="0"/>
    <n v="0"/>
    <n v="160"/>
    <n v="0"/>
    <n v="0"/>
    <n v="0"/>
    <n v="0"/>
    <n v="0"/>
    <n v="0"/>
    <n v="0"/>
    <n v="0"/>
    <n v="0"/>
    <n v="0"/>
    <n v="2797.1988200000001"/>
    <n v="0"/>
    <n v="0"/>
    <n v="0"/>
    <n v="0"/>
    <n v="5809.5667800000001"/>
    <n v="0"/>
    <n v="0"/>
    <n v="0"/>
    <n v="0"/>
  </r>
  <r>
    <x v="5"/>
    <s v="March"/>
    <x v="1"/>
    <n v="43.93"/>
    <n v="0.22450000000000001"/>
    <n v="53.792285"/>
    <m/>
    <m/>
    <m/>
    <x v="0"/>
    <n v="43"/>
    <m/>
    <m/>
    <m/>
    <m/>
    <m/>
    <n v="43"/>
    <m/>
    <m/>
    <m/>
    <m/>
    <n v="82"/>
    <m/>
    <m/>
    <m/>
    <m/>
    <n v="168"/>
    <n v="168"/>
    <n v="0"/>
    <n v="0"/>
    <n v="0"/>
    <n v="0"/>
    <n v="0"/>
    <n v="43"/>
    <n v="0"/>
    <n v="0"/>
    <n v="0"/>
    <n v="0"/>
    <n v="0"/>
    <n v="43"/>
    <n v="0"/>
    <n v="0"/>
    <n v="0"/>
    <n v="0"/>
    <n v="82"/>
    <n v="0"/>
    <n v="0"/>
    <n v="0"/>
    <n v="0"/>
    <n v="168"/>
    <n v="0"/>
    <n v="0"/>
    <n v="0"/>
    <n v="0"/>
    <n v="2313.0682550000001"/>
    <n v="0"/>
    <n v="0"/>
    <n v="0"/>
    <n v="0"/>
    <n v="0"/>
    <n v="2313.0682550000001"/>
    <n v="0"/>
    <n v="0"/>
    <n v="0"/>
    <n v="0"/>
    <n v="4410.9673700000003"/>
    <n v="0"/>
    <n v="0"/>
    <n v="0"/>
    <n v="0"/>
  </r>
  <r>
    <x v="5"/>
    <s v="June"/>
    <x v="1"/>
    <n v="43.93"/>
    <n v="0.22450000000000001"/>
    <n v="53.792285"/>
    <m/>
    <m/>
    <m/>
    <x v="0"/>
    <n v="41"/>
    <m/>
    <m/>
    <m/>
    <m/>
    <m/>
    <n v="47"/>
    <m/>
    <m/>
    <m/>
    <m/>
    <n v="80"/>
    <m/>
    <m/>
    <m/>
    <m/>
    <n v="168"/>
    <n v="168"/>
    <n v="0"/>
    <n v="0"/>
    <n v="0"/>
    <n v="0"/>
    <n v="0"/>
    <n v="41"/>
    <n v="0"/>
    <n v="0"/>
    <n v="0"/>
    <n v="0"/>
    <n v="0"/>
    <n v="47"/>
    <n v="0"/>
    <n v="0"/>
    <n v="0"/>
    <n v="0"/>
    <n v="80"/>
    <n v="0"/>
    <n v="0"/>
    <n v="0"/>
    <n v="0"/>
    <n v="168"/>
    <n v="0"/>
    <n v="0"/>
    <n v="0"/>
    <n v="0"/>
    <n v="2205.4836850000002"/>
    <n v="0"/>
    <n v="0"/>
    <n v="0"/>
    <n v="0"/>
    <n v="0"/>
    <n v="2528.2373950000001"/>
    <n v="0"/>
    <n v="0"/>
    <n v="0"/>
    <n v="0"/>
    <n v="4303.3828000000003"/>
    <n v="0"/>
    <n v="0"/>
    <n v="0"/>
    <n v="0"/>
  </r>
  <r>
    <x v="5"/>
    <s v="April"/>
    <x v="1"/>
    <n v="43.93"/>
    <n v="0.22450000000000001"/>
    <n v="53.792285"/>
    <m/>
    <m/>
    <m/>
    <x v="0"/>
    <n v="61"/>
    <m/>
    <m/>
    <m/>
    <m/>
    <m/>
    <n v="34"/>
    <m/>
    <m/>
    <m/>
    <m/>
    <n v="80"/>
    <m/>
    <m/>
    <m/>
    <m/>
    <n v="175"/>
    <n v="176"/>
    <n v="1"/>
    <n v="0"/>
    <n v="0"/>
    <n v="0"/>
    <n v="0"/>
    <n v="61.348571428571432"/>
    <n v="0"/>
    <n v="0"/>
    <n v="0"/>
    <n v="0"/>
    <n v="0"/>
    <n v="34.194285714285712"/>
    <n v="0"/>
    <n v="0"/>
    <n v="0"/>
    <n v="0"/>
    <n v="80.457142857142856"/>
    <n v="0"/>
    <n v="0"/>
    <n v="0"/>
    <n v="0"/>
    <n v="176"/>
    <n v="0"/>
    <n v="0"/>
    <n v="0"/>
    <n v="0"/>
    <n v="3300.0798386285715"/>
    <n v="0"/>
    <n v="0"/>
    <n v="0"/>
    <n v="0"/>
    <n v="0"/>
    <n v="1839.3887625142856"/>
    <n v="0"/>
    <n v="0"/>
    <n v="0"/>
    <n v="0"/>
    <n v="4327.973558857143"/>
    <n v="0"/>
    <n v="0"/>
    <n v="0"/>
    <n v="0"/>
  </r>
  <r>
    <x v="5"/>
    <s v="September"/>
    <x v="1"/>
    <n v="43.93"/>
    <n v="0.22450000000000001"/>
    <n v="53.792285"/>
    <m/>
    <m/>
    <m/>
    <x v="0"/>
    <m/>
    <m/>
    <m/>
    <m/>
    <m/>
    <m/>
    <n v="88"/>
    <m/>
    <m/>
    <m/>
    <m/>
    <n v="88"/>
    <m/>
    <m/>
    <m/>
    <m/>
    <n v="176"/>
    <n v="176"/>
    <n v="0"/>
    <n v="0"/>
    <n v="0"/>
    <n v="0"/>
    <n v="0"/>
    <n v="0"/>
    <n v="0"/>
    <n v="0"/>
    <n v="0"/>
    <n v="0"/>
    <n v="0"/>
    <n v="88"/>
    <n v="0"/>
    <n v="0"/>
    <n v="0"/>
    <n v="0"/>
    <n v="88"/>
    <n v="0"/>
    <n v="0"/>
    <n v="0"/>
    <n v="0"/>
    <n v="176"/>
    <n v="0"/>
    <n v="0"/>
    <n v="0"/>
    <n v="0"/>
    <n v="0"/>
    <n v="0"/>
    <n v="0"/>
    <n v="0"/>
    <n v="0"/>
    <n v="0"/>
    <n v="4733.7210800000003"/>
    <n v="0"/>
    <n v="0"/>
    <n v="0"/>
    <n v="0"/>
    <n v="4733.7210800000003"/>
    <n v="0"/>
    <n v="0"/>
    <n v="0"/>
    <n v="0"/>
  </r>
  <r>
    <x v="5"/>
    <s v="May"/>
    <x v="1"/>
    <n v="43.93"/>
    <n v="0.22450000000000001"/>
    <n v="53.792285"/>
    <m/>
    <m/>
    <m/>
    <x v="0"/>
    <n v="49"/>
    <m/>
    <m/>
    <m/>
    <m/>
    <m/>
    <n v="45"/>
    <m/>
    <m/>
    <m/>
    <m/>
    <n v="86"/>
    <m/>
    <m/>
    <m/>
    <m/>
    <n v="180"/>
    <n v="176"/>
    <n v="-4"/>
    <n v="0"/>
    <n v="0"/>
    <n v="0"/>
    <n v="0"/>
    <n v="47.911111111111104"/>
    <n v="0"/>
    <n v="0"/>
    <n v="0"/>
    <n v="0"/>
    <n v="0"/>
    <n v="44"/>
    <n v="0"/>
    <n v="0"/>
    <n v="0"/>
    <n v="0"/>
    <n v="84.088888888888889"/>
    <n v="0"/>
    <n v="0"/>
    <n v="0"/>
    <n v="0"/>
    <n v="176"/>
    <n v="0"/>
    <n v="0"/>
    <n v="0"/>
    <n v="0"/>
    <n v="2577.2481435555551"/>
    <n v="0"/>
    <n v="0"/>
    <n v="0"/>
    <n v="0"/>
    <n v="0"/>
    <n v="2366.8605400000001"/>
    <n v="0"/>
    <n v="0"/>
    <n v="0"/>
    <n v="0"/>
    <n v="4523.3334764444444"/>
    <n v="0"/>
    <n v="0"/>
    <n v="0"/>
    <n v="0"/>
  </r>
  <r>
    <x v="5"/>
    <s v="January"/>
    <x v="1"/>
    <n v="43.93"/>
    <n v="0.22450000000000001"/>
    <n v="53.792285"/>
    <m/>
    <m/>
    <m/>
    <x v="0"/>
    <n v="56"/>
    <m/>
    <m/>
    <m/>
    <m/>
    <m/>
    <n v="63"/>
    <m/>
    <m/>
    <m/>
    <m/>
    <n v="65"/>
    <m/>
    <m/>
    <m/>
    <m/>
    <n v="184"/>
    <n v="184"/>
    <n v="0"/>
    <n v="0"/>
    <n v="0"/>
    <n v="0"/>
    <n v="0"/>
    <n v="56"/>
    <n v="0"/>
    <n v="0"/>
    <n v="0"/>
    <n v="0"/>
    <n v="0"/>
    <n v="63.000000000000007"/>
    <n v="0"/>
    <n v="0"/>
    <n v="0"/>
    <n v="0"/>
    <n v="65"/>
    <n v="0"/>
    <n v="0"/>
    <n v="0"/>
    <n v="0"/>
    <n v="184"/>
    <n v="0"/>
    <n v="0"/>
    <n v="0"/>
    <n v="0"/>
    <n v="3012.36796"/>
    <n v="0"/>
    <n v="0"/>
    <n v="0"/>
    <n v="0"/>
    <n v="0"/>
    <n v="3388.9139550000004"/>
    <n v="0"/>
    <n v="0"/>
    <n v="0"/>
    <n v="0"/>
    <n v="3496.498525"/>
    <n v="0"/>
    <n v="0"/>
    <n v="0"/>
    <n v="0"/>
  </r>
  <r>
    <x v="5"/>
    <s v="October"/>
    <x v="1"/>
    <n v="43.93"/>
    <n v="0.22450000000000001"/>
    <n v="53.792285"/>
    <m/>
    <m/>
    <m/>
    <x v="0"/>
    <m/>
    <m/>
    <m/>
    <m/>
    <m/>
    <m/>
    <n v="31"/>
    <m/>
    <m/>
    <m/>
    <m/>
    <n v="153"/>
    <m/>
    <m/>
    <m/>
    <m/>
    <n v="184"/>
    <n v="184"/>
    <n v="0"/>
    <n v="0"/>
    <n v="0"/>
    <n v="0"/>
    <n v="0"/>
    <n v="0"/>
    <n v="0"/>
    <n v="0"/>
    <n v="0"/>
    <n v="0"/>
    <n v="0"/>
    <n v="31"/>
    <n v="0"/>
    <n v="0"/>
    <n v="0"/>
    <n v="0"/>
    <n v="153"/>
    <n v="0"/>
    <n v="0"/>
    <n v="0"/>
    <n v="0"/>
    <n v="184"/>
    <n v="0"/>
    <n v="0"/>
    <n v="0"/>
    <n v="0"/>
    <n v="0"/>
    <n v="0"/>
    <n v="0"/>
    <n v="0"/>
    <n v="0"/>
    <n v="0"/>
    <n v="1667.560835"/>
    <n v="0"/>
    <n v="0"/>
    <n v="0"/>
    <n v="0"/>
    <n v="8230.2196050000002"/>
    <n v="0"/>
    <n v="0"/>
    <n v="0"/>
    <n v="0"/>
  </r>
  <r>
    <x v="5"/>
    <s v="December"/>
    <x v="1"/>
    <n v="43.93"/>
    <n v="0.22450000000000001"/>
    <n v="53.792285"/>
    <m/>
    <m/>
    <m/>
    <x v="0"/>
    <m/>
    <m/>
    <m/>
    <m/>
    <m/>
    <m/>
    <n v="93"/>
    <m/>
    <m/>
    <m/>
    <m/>
    <n v="91"/>
    <m/>
    <m/>
    <m/>
    <m/>
    <n v="184"/>
    <n v="184"/>
    <n v="0"/>
    <n v="0"/>
    <n v="0"/>
    <n v="0"/>
    <n v="0"/>
    <n v="0"/>
    <n v="0"/>
    <n v="0"/>
    <n v="0"/>
    <n v="0"/>
    <n v="0"/>
    <n v="93"/>
    <n v="0"/>
    <n v="0"/>
    <n v="0"/>
    <n v="0"/>
    <n v="91"/>
    <n v="0"/>
    <n v="0"/>
    <n v="0"/>
    <n v="0"/>
    <n v="184"/>
    <n v="0"/>
    <n v="0"/>
    <n v="0"/>
    <n v="0"/>
    <n v="0"/>
    <n v="0"/>
    <n v="0"/>
    <n v="0"/>
    <n v="0"/>
    <n v="0"/>
    <n v="5002.6825049999998"/>
    <n v="0"/>
    <n v="0"/>
    <n v="0"/>
    <n v="0"/>
    <n v="4895.0979349999998"/>
    <n v="0"/>
    <n v="0"/>
    <n v="0"/>
    <n v="0"/>
  </r>
  <r>
    <x v="5"/>
    <s v="July"/>
    <x v="1"/>
    <n v="43.93"/>
    <n v="0.22450000000000001"/>
    <n v="53.792285"/>
    <m/>
    <m/>
    <m/>
    <x v="0"/>
    <n v="8"/>
    <m/>
    <m/>
    <m/>
    <m/>
    <m/>
    <n v="68"/>
    <m/>
    <m/>
    <m/>
    <m/>
    <n v="110"/>
    <m/>
    <m/>
    <m/>
    <m/>
    <n v="186"/>
    <n v="184"/>
    <n v="-2"/>
    <n v="0"/>
    <n v="0"/>
    <n v="0"/>
    <n v="0"/>
    <n v="7.9139784946236569"/>
    <n v="0"/>
    <n v="0"/>
    <n v="0"/>
    <n v="0"/>
    <n v="0"/>
    <n v="67.268817204301072"/>
    <n v="0"/>
    <n v="0"/>
    <n v="0"/>
    <n v="0"/>
    <n v="108.81720430107528"/>
    <n v="0"/>
    <n v="0"/>
    <n v="0"/>
    <n v="0"/>
    <n v="184"/>
    <n v="0"/>
    <n v="0"/>
    <n v="0"/>
    <n v="0"/>
    <n v="425.71098666666671"/>
    <n v="0"/>
    <n v="0"/>
    <n v="0"/>
    <n v="0"/>
    <n v="0"/>
    <n v="3618.5433866666663"/>
    <n v="0"/>
    <n v="0"/>
    <n v="0"/>
    <n v="0"/>
    <n v="5853.5260666666672"/>
    <n v="0"/>
    <n v="0"/>
    <n v="0"/>
    <n v="0"/>
  </r>
  <r>
    <x v="5"/>
    <s v="February"/>
    <x v="2"/>
    <n v="46.153846153846153"/>
    <n v="0.23630000000000001"/>
    <n v="57.059999999999995"/>
    <m/>
    <m/>
    <m/>
    <x v="0"/>
    <m/>
    <m/>
    <m/>
    <m/>
    <m/>
    <m/>
    <n v="43"/>
    <m/>
    <m/>
    <m/>
    <m/>
    <n v="117"/>
    <m/>
    <m/>
    <m/>
    <m/>
    <n v="160"/>
    <n v="160"/>
    <n v="0"/>
    <n v="0"/>
    <n v="0"/>
    <n v="0"/>
    <n v="0"/>
    <n v="0"/>
    <n v="0"/>
    <n v="0"/>
    <n v="0"/>
    <n v="0"/>
    <n v="0"/>
    <n v="43"/>
    <n v="0"/>
    <n v="0"/>
    <n v="0"/>
    <n v="0"/>
    <n v="117"/>
    <n v="0"/>
    <n v="0"/>
    <n v="0"/>
    <n v="0"/>
    <n v="160"/>
    <n v="0"/>
    <n v="0"/>
    <n v="0"/>
    <n v="0"/>
    <n v="0"/>
    <n v="0"/>
    <n v="0"/>
    <n v="0"/>
    <n v="0"/>
    <n v="0"/>
    <n v="2453.58"/>
    <n v="0"/>
    <n v="0"/>
    <n v="0"/>
    <n v="0"/>
    <n v="6676.0199999999995"/>
    <n v="0"/>
    <n v="0"/>
    <n v="0"/>
    <n v="0"/>
  </r>
  <r>
    <x v="5"/>
    <s v="May"/>
    <x v="2"/>
    <n v="46.153846153846153"/>
    <n v="0.23630000000000001"/>
    <n v="57.059999999999995"/>
    <m/>
    <m/>
    <m/>
    <x v="0"/>
    <m/>
    <m/>
    <m/>
    <m/>
    <m/>
    <m/>
    <n v="56"/>
    <m/>
    <m/>
    <m/>
    <m/>
    <n v="112"/>
    <m/>
    <m/>
    <m/>
    <m/>
    <n v="168"/>
    <n v="168"/>
    <n v="0"/>
    <n v="0"/>
    <n v="0"/>
    <n v="0"/>
    <n v="0"/>
    <n v="0"/>
    <n v="0"/>
    <n v="0"/>
    <n v="0"/>
    <n v="0"/>
    <n v="0"/>
    <n v="56"/>
    <n v="0"/>
    <n v="0"/>
    <n v="0"/>
    <n v="0"/>
    <n v="112"/>
    <n v="0"/>
    <n v="0"/>
    <n v="0"/>
    <n v="0"/>
    <n v="168"/>
    <n v="0"/>
    <n v="0"/>
    <n v="0"/>
    <n v="0"/>
    <n v="0"/>
    <n v="0"/>
    <n v="0"/>
    <n v="0"/>
    <n v="0"/>
    <n v="0"/>
    <n v="3195.3599999999997"/>
    <n v="0"/>
    <n v="0"/>
    <n v="0"/>
    <n v="0"/>
    <n v="6390.7199999999993"/>
    <n v="0"/>
    <n v="0"/>
    <n v="0"/>
    <n v="0"/>
  </r>
  <r>
    <x v="5"/>
    <s v="January"/>
    <x v="2"/>
    <n v="46.153846153846153"/>
    <n v="0.23630000000000001"/>
    <n v="57.059999999999995"/>
    <m/>
    <m/>
    <m/>
    <x v="0"/>
    <m/>
    <m/>
    <m/>
    <m/>
    <m/>
    <m/>
    <n v="70"/>
    <m/>
    <m/>
    <m/>
    <m/>
    <n v="106"/>
    <m/>
    <m/>
    <m/>
    <m/>
    <n v="176"/>
    <n v="176"/>
    <n v="0"/>
    <n v="0"/>
    <n v="0"/>
    <n v="0"/>
    <n v="0"/>
    <n v="0"/>
    <n v="0"/>
    <n v="0"/>
    <n v="0"/>
    <n v="0"/>
    <n v="0"/>
    <n v="70"/>
    <n v="0"/>
    <n v="0"/>
    <n v="0"/>
    <n v="0"/>
    <n v="106"/>
    <n v="0"/>
    <n v="0"/>
    <n v="0"/>
    <n v="0"/>
    <n v="176"/>
    <n v="0"/>
    <n v="0"/>
    <n v="0"/>
    <n v="0"/>
    <n v="0"/>
    <n v="0"/>
    <n v="0"/>
    <n v="0"/>
    <n v="0"/>
    <n v="0"/>
    <n v="3994.2"/>
    <n v="0"/>
    <n v="0"/>
    <n v="0"/>
    <n v="0"/>
    <n v="6048.36"/>
    <n v="0"/>
    <n v="0"/>
    <n v="0"/>
    <n v="0"/>
  </r>
  <r>
    <x v="5"/>
    <s v="March"/>
    <x v="2"/>
    <n v="46.153846153846153"/>
    <n v="0.23630000000000001"/>
    <n v="57.059999999999995"/>
    <m/>
    <m/>
    <m/>
    <x v="0"/>
    <m/>
    <m/>
    <m/>
    <m/>
    <m/>
    <m/>
    <n v="45"/>
    <m/>
    <m/>
    <m/>
    <m/>
    <n v="131"/>
    <m/>
    <m/>
    <m/>
    <m/>
    <n v="176"/>
    <n v="176"/>
    <n v="0"/>
    <n v="0"/>
    <n v="0"/>
    <n v="0"/>
    <n v="0"/>
    <n v="0"/>
    <n v="0"/>
    <n v="0"/>
    <n v="0"/>
    <n v="0"/>
    <n v="0"/>
    <n v="45"/>
    <n v="0"/>
    <n v="0"/>
    <n v="0"/>
    <n v="0"/>
    <n v="131"/>
    <n v="0"/>
    <n v="0"/>
    <n v="0"/>
    <n v="0"/>
    <n v="176"/>
    <n v="0"/>
    <n v="0"/>
    <n v="0"/>
    <n v="0"/>
    <n v="0"/>
    <n v="0"/>
    <n v="0"/>
    <n v="0"/>
    <n v="0"/>
    <n v="0"/>
    <n v="2567.6999999999998"/>
    <n v="0"/>
    <n v="0"/>
    <n v="0"/>
    <n v="0"/>
    <n v="7474.86"/>
    <n v="0"/>
    <n v="0"/>
    <n v="0"/>
    <n v="0"/>
  </r>
  <r>
    <x v="5"/>
    <s v="April"/>
    <x v="2"/>
    <n v="46.153846153846153"/>
    <n v="0.23630000000000001"/>
    <n v="57.059999999999995"/>
    <m/>
    <m/>
    <m/>
    <x v="0"/>
    <m/>
    <m/>
    <m/>
    <m/>
    <m/>
    <m/>
    <n v="47"/>
    <m/>
    <m/>
    <m/>
    <m/>
    <n v="129"/>
    <m/>
    <m/>
    <m/>
    <m/>
    <n v="176"/>
    <n v="176"/>
    <n v="0"/>
    <n v="0"/>
    <n v="0"/>
    <n v="0"/>
    <n v="0"/>
    <n v="0"/>
    <n v="0"/>
    <n v="0"/>
    <n v="0"/>
    <n v="0"/>
    <n v="0"/>
    <n v="47"/>
    <n v="0"/>
    <n v="0"/>
    <n v="0"/>
    <n v="0"/>
    <n v="129"/>
    <n v="0"/>
    <n v="0"/>
    <n v="0"/>
    <n v="0"/>
    <n v="176"/>
    <n v="0"/>
    <n v="0"/>
    <n v="0"/>
    <n v="0"/>
    <n v="0"/>
    <n v="0"/>
    <n v="0"/>
    <n v="0"/>
    <n v="0"/>
    <n v="0"/>
    <n v="2681.8199999999997"/>
    <n v="0"/>
    <n v="0"/>
    <n v="0"/>
    <n v="0"/>
    <n v="7360.74"/>
    <n v="0"/>
    <n v="0"/>
    <n v="0"/>
    <n v="0"/>
  </r>
  <r>
    <x v="5"/>
    <s v="June"/>
    <x v="2"/>
    <n v="46.153846153846153"/>
    <n v="0.23630000000000001"/>
    <n v="57.059999999999995"/>
    <m/>
    <m/>
    <m/>
    <x v="0"/>
    <m/>
    <m/>
    <m/>
    <m/>
    <m/>
    <m/>
    <n v="93"/>
    <m/>
    <m/>
    <m/>
    <m/>
    <n v="83"/>
    <m/>
    <m/>
    <m/>
    <m/>
    <n v="176"/>
    <n v="176"/>
    <n v="0"/>
    <n v="0"/>
    <n v="0"/>
    <n v="0"/>
    <n v="0"/>
    <n v="0"/>
    <n v="0"/>
    <n v="0"/>
    <n v="0"/>
    <n v="0"/>
    <n v="0"/>
    <n v="93"/>
    <n v="0"/>
    <n v="0"/>
    <n v="0"/>
    <n v="0"/>
    <n v="83"/>
    <n v="0"/>
    <n v="0"/>
    <n v="0"/>
    <n v="0"/>
    <n v="176"/>
    <n v="0"/>
    <n v="0"/>
    <n v="0"/>
    <n v="0"/>
    <n v="0"/>
    <n v="0"/>
    <n v="0"/>
    <n v="0"/>
    <n v="0"/>
    <n v="0"/>
    <n v="5306.58"/>
    <n v="0"/>
    <n v="0"/>
    <n v="0"/>
    <n v="0"/>
    <n v="4735.9799999999996"/>
    <n v="0"/>
    <n v="0"/>
    <n v="0"/>
    <n v="0"/>
  </r>
  <r>
    <x v="5"/>
    <s v="July"/>
    <x v="2"/>
    <n v="46.153846153846153"/>
    <n v="0.23630000000000001"/>
    <n v="57.059999999999995"/>
    <m/>
    <m/>
    <m/>
    <x v="0"/>
    <m/>
    <m/>
    <m/>
    <m/>
    <m/>
    <m/>
    <m/>
    <m/>
    <m/>
    <m/>
    <m/>
    <n v="184"/>
    <m/>
    <m/>
    <m/>
    <m/>
    <n v="184"/>
    <n v="184"/>
    <n v="0"/>
    <n v="0"/>
    <n v="0"/>
    <n v="0"/>
    <n v="0"/>
    <n v="0"/>
    <n v="0"/>
    <n v="0"/>
    <n v="0"/>
    <n v="0"/>
    <n v="0"/>
    <n v="0"/>
    <n v="0"/>
    <n v="0"/>
    <n v="0"/>
    <n v="0"/>
    <n v="184"/>
    <n v="0"/>
    <n v="0"/>
    <n v="0"/>
    <n v="0"/>
    <n v="184"/>
    <n v="0"/>
    <n v="0"/>
    <n v="0"/>
    <n v="0"/>
    <n v="0"/>
    <n v="0"/>
    <n v="0"/>
    <n v="0"/>
    <n v="0"/>
    <n v="0"/>
    <n v="0"/>
    <n v="0"/>
    <n v="0"/>
    <n v="0"/>
    <n v="0"/>
    <n v="10499.039999999999"/>
    <n v="0"/>
    <n v="0"/>
    <n v="0"/>
    <n v="0"/>
  </r>
  <r>
    <x v="5"/>
    <s v="August"/>
    <x v="2"/>
    <n v="46.153846153846153"/>
    <n v="0.23630000000000001"/>
    <n v="57.059999999999995"/>
    <m/>
    <m/>
    <m/>
    <x v="0"/>
    <m/>
    <m/>
    <m/>
    <m/>
    <m/>
    <m/>
    <m/>
    <m/>
    <m/>
    <m/>
    <m/>
    <n v="168"/>
    <m/>
    <m/>
    <m/>
    <m/>
    <n v="168"/>
    <n v="176"/>
    <n v="8"/>
    <n v="0"/>
    <n v="0"/>
    <n v="0"/>
    <n v="0"/>
    <n v="0"/>
    <n v="0"/>
    <n v="0"/>
    <n v="0"/>
    <n v="0"/>
    <n v="0"/>
    <n v="0"/>
    <n v="0"/>
    <n v="0"/>
    <n v="0"/>
    <n v="0"/>
    <n v="176"/>
    <n v="0"/>
    <n v="0"/>
    <n v="0"/>
    <n v="0"/>
    <n v="176"/>
    <n v="0"/>
    <n v="0"/>
    <n v="0"/>
    <n v="0"/>
    <n v="0"/>
    <n v="0"/>
    <n v="0"/>
    <n v="0"/>
    <n v="0"/>
    <n v="0"/>
    <n v="0"/>
    <n v="0"/>
    <n v="0"/>
    <n v="0"/>
    <n v="0"/>
    <n v="10042.56"/>
    <n v="0"/>
    <n v="0"/>
    <n v="0"/>
    <n v="0"/>
  </r>
  <r>
    <x v="6"/>
    <s v="October"/>
    <x v="3"/>
    <n v="31.73076923076923"/>
    <n v="0"/>
    <n v="31.73076923076923"/>
    <m/>
    <m/>
    <m/>
    <x v="0"/>
    <m/>
    <m/>
    <m/>
    <m/>
    <m/>
    <m/>
    <n v="10"/>
    <m/>
    <m/>
    <m/>
    <m/>
    <m/>
    <m/>
    <m/>
    <m/>
    <m/>
    <n v="10"/>
    <n v="1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317.30769230769232"/>
    <n v="0"/>
    <n v="0"/>
    <n v="0"/>
    <n v="0"/>
    <n v="0"/>
    <n v="0"/>
    <n v="0"/>
    <n v="0"/>
    <n v="0"/>
  </r>
  <r>
    <x v="6"/>
    <s v="November"/>
    <x v="3"/>
    <n v="31.73076923076923"/>
    <n v="0"/>
    <n v="31.73076923076923"/>
    <m/>
    <m/>
    <m/>
    <x v="0"/>
    <m/>
    <m/>
    <m/>
    <m/>
    <m/>
    <m/>
    <n v="10"/>
    <m/>
    <m/>
    <m/>
    <m/>
    <m/>
    <m/>
    <m/>
    <m/>
    <m/>
    <n v="10"/>
    <n v="1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317.30769230769232"/>
    <n v="0"/>
    <n v="0"/>
    <n v="0"/>
    <n v="0"/>
    <n v="0"/>
    <n v="0"/>
    <n v="0"/>
    <n v="0"/>
    <n v="0"/>
  </r>
  <r>
    <x v="6"/>
    <s v="December"/>
    <x v="3"/>
    <n v="31.73076923076923"/>
    <n v="0"/>
    <n v="31.73076923076923"/>
    <m/>
    <m/>
    <m/>
    <x v="0"/>
    <m/>
    <m/>
    <m/>
    <m/>
    <m/>
    <m/>
    <n v="10"/>
    <m/>
    <m/>
    <m/>
    <m/>
    <m/>
    <m/>
    <m/>
    <m/>
    <m/>
    <n v="10"/>
    <n v="1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317.30769230769232"/>
    <n v="0"/>
    <n v="0"/>
    <n v="0"/>
    <n v="0"/>
    <n v="0"/>
    <n v="0"/>
    <n v="0"/>
    <n v="0"/>
    <n v="0"/>
  </r>
  <r>
    <x v="6"/>
    <s v="January"/>
    <x v="0"/>
    <n v="31.73076923076923"/>
    <n v="0"/>
    <n v="31.73076923076923"/>
    <m/>
    <m/>
    <m/>
    <x v="0"/>
    <m/>
    <m/>
    <m/>
    <m/>
    <m/>
    <m/>
    <n v="10"/>
    <m/>
    <m/>
    <m/>
    <m/>
    <m/>
    <m/>
    <m/>
    <m/>
    <m/>
    <n v="10"/>
    <n v="1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317.30769230769232"/>
    <n v="0"/>
    <n v="0"/>
    <n v="0"/>
    <n v="0"/>
    <n v="0"/>
    <n v="0"/>
    <n v="0"/>
    <n v="0"/>
    <n v="0"/>
  </r>
  <r>
    <x v="6"/>
    <s v="February"/>
    <x v="0"/>
    <n v="31.73076923076923"/>
    <n v="0"/>
    <n v="31.73076923076923"/>
    <m/>
    <m/>
    <m/>
    <x v="0"/>
    <m/>
    <m/>
    <m/>
    <m/>
    <m/>
    <m/>
    <n v="10"/>
    <m/>
    <m/>
    <m/>
    <m/>
    <m/>
    <m/>
    <m/>
    <m/>
    <m/>
    <n v="10"/>
    <n v="1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317.30769230769232"/>
    <n v="0"/>
    <n v="0"/>
    <n v="0"/>
    <n v="0"/>
    <n v="0"/>
    <n v="0"/>
    <n v="0"/>
    <n v="0"/>
    <n v="0"/>
  </r>
  <r>
    <x v="6"/>
    <s v="March"/>
    <x v="0"/>
    <n v="31.73076923076923"/>
    <n v="0"/>
    <n v="31.73076923076923"/>
    <m/>
    <m/>
    <m/>
    <x v="0"/>
    <m/>
    <m/>
    <m/>
    <m/>
    <m/>
    <m/>
    <n v="10"/>
    <m/>
    <m/>
    <m/>
    <m/>
    <m/>
    <m/>
    <m/>
    <m/>
    <m/>
    <n v="10"/>
    <n v="1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317.30769230769232"/>
    <n v="0"/>
    <n v="0"/>
    <n v="0"/>
    <n v="0"/>
    <n v="0"/>
    <n v="0"/>
    <n v="0"/>
    <n v="0"/>
    <n v="0"/>
  </r>
  <r>
    <x v="6"/>
    <s v="April"/>
    <x v="0"/>
    <n v="31.73076923076923"/>
    <n v="0"/>
    <n v="31.73076923076923"/>
    <m/>
    <m/>
    <m/>
    <x v="0"/>
    <m/>
    <m/>
    <m/>
    <m/>
    <m/>
    <m/>
    <n v="10"/>
    <m/>
    <m/>
    <m/>
    <m/>
    <m/>
    <m/>
    <m/>
    <m/>
    <m/>
    <n v="10"/>
    <n v="1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317.30769230769232"/>
    <n v="0"/>
    <n v="0"/>
    <n v="0"/>
    <n v="0"/>
    <n v="0"/>
    <n v="0"/>
    <n v="0"/>
    <n v="0"/>
    <n v="0"/>
  </r>
  <r>
    <x v="6"/>
    <s v="May"/>
    <x v="0"/>
    <n v="31.73076923076923"/>
    <n v="0"/>
    <n v="31.73076923076923"/>
    <m/>
    <m/>
    <m/>
    <x v="0"/>
    <m/>
    <m/>
    <m/>
    <m/>
    <m/>
    <m/>
    <n v="10"/>
    <m/>
    <m/>
    <m/>
    <m/>
    <m/>
    <m/>
    <m/>
    <m/>
    <m/>
    <n v="10"/>
    <n v="1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317.30769230769232"/>
    <n v="0"/>
    <n v="0"/>
    <n v="0"/>
    <n v="0"/>
    <n v="0"/>
    <n v="0"/>
    <n v="0"/>
    <n v="0"/>
    <n v="0"/>
  </r>
  <r>
    <x v="6"/>
    <s v="June"/>
    <x v="0"/>
    <n v="31.73076923076923"/>
    <n v="0"/>
    <n v="31.73076923076923"/>
    <m/>
    <m/>
    <m/>
    <x v="0"/>
    <m/>
    <m/>
    <m/>
    <m/>
    <m/>
    <m/>
    <n v="10"/>
    <m/>
    <m/>
    <m/>
    <m/>
    <m/>
    <m/>
    <m/>
    <m/>
    <m/>
    <n v="10"/>
    <n v="1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317.30769230769232"/>
    <n v="0"/>
    <n v="0"/>
    <n v="0"/>
    <n v="0"/>
    <n v="0"/>
    <n v="0"/>
    <n v="0"/>
    <n v="0"/>
    <n v="0"/>
  </r>
  <r>
    <x v="6"/>
    <s v="July"/>
    <x v="0"/>
    <n v="31.73076923076923"/>
    <n v="0"/>
    <n v="31.73076923076923"/>
    <m/>
    <m/>
    <m/>
    <x v="0"/>
    <m/>
    <m/>
    <m/>
    <m/>
    <m/>
    <m/>
    <n v="10"/>
    <m/>
    <m/>
    <m/>
    <m/>
    <m/>
    <m/>
    <m/>
    <m/>
    <m/>
    <n v="10"/>
    <n v="1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317.30769230769232"/>
    <n v="0"/>
    <n v="0"/>
    <n v="0"/>
    <n v="0"/>
    <n v="0"/>
    <n v="0"/>
    <n v="0"/>
    <n v="0"/>
    <n v="0"/>
  </r>
  <r>
    <x v="6"/>
    <s v="August"/>
    <x v="0"/>
    <n v="31.73076923076923"/>
    <n v="0"/>
    <n v="31.73076923076923"/>
    <m/>
    <m/>
    <m/>
    <x v="0"/>
    <m/>
    <m/>
    <m/>
    <m/>
    <m/>
    <m/>
    <n v="10"/>
    <m/>
    <m/>
    <m/>
    <m/>
    <m/>
    <m/>
    <m/>
    <m/>
    <m/>
    <n v="10"/>
    <n v="1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317.30769230769232"/>
    <n v="0"/>
    <n v="0"/>
    <n v="0"/>
    <n v="0"/>
    <n v="0"/>
    <n v="0"/>
    <n v="0"/>
    <n v="0"/>
    <n v="0"/>
  </r>
  <r>
    <x v="6"/>
    <s v="September"/>
    <x v="0"/>
    <n v="31.73076923076923"/>
    <n v="0"/>
    <n v="31.73076923076923"/>
    <m/>
    <m/>
    <m/>
    <x v="0"/>
    <m/>
    <m/>
    <m/>
    <m/>
    <m/>
    <m/>
    <n v="10"/>
    <m/>
    <m/>
    <m/>
    <m/>
    <m/>
    <m/>
    <m/>
    <m/>
    <m/>
    <n v="10"/>
    <n v="1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317.30769230769232"/>
    <n v="0"/>
    <n v="0"/>
    <n v="0"/>
    <n v="0"/>
    <n v="0"/>
    <n v="0"/>
    <n v="0"/>
    <n v="0"/>
    <n v="0"/>
  </r>
  <r>
    <x v="6"/>
    <s v="October"/>
    <x v="0"/>
    <n v="31.73076923076923"/>
    <n v="0"/>
    <n v="31.73076923076923"/>
    <m/>
    <m/>
    <m/>
    <x v="0"/>
    <m/>
    <m/>
    <m/>
    <m/>
    <m/>
    <m/>
    <n v="10"/>
    <m/>
    <m/>
    <m/>
    <m/>
    <n v="10"/>
    <m/>
    <m/>
    <m/>
    <m/>
    <n v="20"/>
    <n v="20"/>
    <n v="0"/>
    <n v="0"/>
    <n v="0"/>
    <n v="0"/>
    <n v="0"/>
    <n v="0"/>
    <n v="0"/>
    <n v="0"/>
    <n v="0"/>
    <n v="0"/>
    <n v="0"/>
    <n v="10"/>
    <n v="0"/>
    <n v="0"/>
    <n v="0"/>
    <n v="0"/>
    <n v="10"/>
    <n v="0"/>
    <n v="0"/>
    <n v="0"/>
    <n v="0"/>
    <n v="20"/>
    <n v="0"/>
    <n v="0"/>
    <n v="0"/>
    <n v="0"/>
    <n v="0"/>
    <n v="0"/>
    <n v="0"/>
    <n v="0"/>
    <n v="0"/>
    <n v="0"/>
    <n v="317.30769230769232"/>
    <n v="0"/>
    <n v="0"/>
    <n v="0"/>
    <n v="0"/>
    <n v="317.30769230769232"/>
    <n v="0"/>
    <n v="0"/>
    <n v="0"/>
    <n v="0"/>
  </r>
  <r>
    <x v="6"/>
    <s v="November"/>
    <x v="0"/>
    <n v="31.73076923076923"/>
    <n v="0"/>
    <n v="31.73076923076923"/>
    <m/>
    <m/>
    <m/>
    <x v="0"/>
    <m/>
    <m/>
    <m/>
    <m/>
    <m/>
    <m/>
    <n v="10"/>
    <m/>
    <m/>
    <m/>
    <m/>
    <n v="10"/>
    <m/>
    <m/>
    <m/>
    <m/>
    <n v="20"/>
    <n v="20"/>
    <n v="0"/>
    <n v="0"/>
    <n v="0"/>
    <n v="0"/>
    <n v="0"/>
    <n v="0"/>
    <n v="0"/>
    <n v="0"/>
    <n v="0"/>
    <n v="0"/>
    <n v="0"/>
    <n v="10"/>
    <n v="0"/>
    <n v="0"/>
    <n v="0"/>
    <n v="0"/>
    <n v="10"/>
    <n v="0"/>
    <n v="0"/>
    <n v="0"/>
    <n v="0"/>
    <n v="20"/>
    <n v="0"/>
    <n v="0"/>
    <n v="0"/>
    <n v="0"/>
    <n v="0"/>
    <n v="0"/>
    <n v="0"/>
    <n v="0"/>
    <n v="0"/>
    <n v="0"/>
    <n v="317.30769230769232"/>
    <n v="0"/>
    <n v="0"/>
    <n v="0"/>
    <n v="0"/>
    <n v="317.30769230769232"/>
    <n v="0"/>
    <n v="0"/>
    <n v="0"/>
    <n v="0"/>
  </r>
  <r>
    <x v="6"/>
    <s v="December"/>
    <x v="0"/>
    <n v="31.73076923076923"/>
    <n v="0"/>
    <n v="31.73076923076923"/>
    <m/>
    <m/>
    <m/>
    <x v="0"/>
    <m/>
    <m/>
    <m/>
    <m/>
    <m/>
    <m/>
    <n v="10"/>
    <m/>
    <m/>
    <m/>
    <m/>
    <n v="10"/>
    <m/>
    <m/>
    <m/>
    <m/>
    <n v="20"/>
    <n v="20"/>
    <n v="0"/>
    <n v="0"/>
    <n v="0"/>
    <n v="0"/>
    <n v="0"/>
    <n v="0"/>
    <n v="0"/>
    <n v="0"/>
    <n v="0"/>
    <n v="0"/>
    <n v="0"/>
    <n v="10"/>
    <n v="0"/>
    <n v="0"/>
    <n v="0"/>
    <n v="0"/>
    <n v="10"/>
    <n v="0"/>
    <n v="0"/>
    <n v="0"/>
    <n v="0"/>
    <n v="20"/>
    <n v="0"/>
    <n v="0"/>
    <n v="0"/>
    <n v="0"/>
    <n v="0"/>
    <n v="0"/>
    <n v="0"/>
    <n v="0"/>
    <n v="0"/>
    <n v="0"/>
    <n v="317.30769230769232"/>
    <n v="0"/>
    <n v="0"/>
    <n v="0"/>
    <n v="0"/>
    <n v="317.30769230769232"/>
    <n v="0"/>
    <n v="0"/>
    <n v="0"/>
    <n v="0"/>
  </r>
  <r>
    <x v="6"/>
    <s v="January"/>
    <x v="1"/>
    <n v="34.79567307692308"/>
    <n v="0"/>
    <n v="34.79567307692308"/>
    <m/>
    <m/>
    <m/>
    <x v="0"/>
    <m/>
    <m/>
    <m/>
    <n v="3.08"/>
    <m/>
    <m/>
    <n v="10"/>
    <m/>
    <m/>
    <m/>
    <m/>
    <n v="10"/>
    <m/>
    <m/>
    <m/>
    <n v="42"/>
    <n v="65.08"/>
    <n v="65.08"/>
    <n v="0"/>
    <n v="0"/>
    <n v="0"/>
    <n v="0"/>
    <n v="0"/>
    <n v="0"/>
    <n v="0"/>
    <n v="0"/>
    <n v="3.08"/>
    <n v="0"/>
    <n v="0"/>
    <n v="10"/>
    <n v="0"/>
    <n v="0"/>
    <n v="0"/>
    <n v="0"/>
    <n v="10"/>
    <n v="0"/>
    <n v="0"/>
    <n v="0"/>
    <n v="42"/>
    <n v="65.08"/>
    <n v="0"/>
    <n v="0"/>
    <n v="0"/>
    <n v="0"/>
    <n v="0"/>
    <n v="0"/>
    <n v="0"/>
    <n v="107.17067307692309"/>
    <n v="0"/>
    <n v="0"/>
    <n v="347.95673076923083"/>
    <n v="0"/>
    <n v="0"/>
    <n v="0"/>
    <n v="0"/>
    <n v="347.95673076923083"/>
    <n v="0"/>
    <n v="0"/>
    <n v="0"/>
    <n v="1461.4182692307693"/>
  </r>
  <r>
    <x v="6"/>
    <s v="February"/>
    <x v="1"/>
    <n v="34.79567307692308"/>
    <n v="0"/>
    <n v="34.79567307692308"/>
    <m/>
    <m/>
    <m/>
    <x v="0"/>
    <m/>
    <m/>
    <m/>
    <n v="3.08"/>
    <m/>
    <m/>
    <n v="10"/>
    <m/>
    <m/>
    <m/>
    <m/>
    <n v="10"/>
    <m/>
    <m/>
    <m/>
    <n v="42"/>
    <n v="65.08"/>
    <n v="65.08"/>
    <n v="0"/>
    <n v="0"/>
    <n v="0"/>
    <n v="0"/>
    <n v="0"/>
    <n v="0"/>
    <n v="0"/>
    <n v="0"/>
    <n v="3.08"/>
    <n v="0"/>
    <n v="0"/>
    <n v="10"/>
    <n v="0"/>
    <n v="0"/>
    <n v="0"/>
    <n v="0"/>
    <n v="10"/>
    <n v="0"/>
    <n v="0"/>
    <n v="0"/>
    <n v="42"/>
    <n v="65.08"/>
    <n v="0"/>
    <n v="0"/>
    <n v="0"/>
    <n v="0"/>
    <n v="0"/>
    <n v="0"/>
    <n v="0"/>
    <n v="107.17067307692309"/>
    <n v="0"/>
    <n v="0"/>
    <n v="347.95673076923083"/>
    <n v="0"/>
    <n v="0"/>
    <n v="0"/>
    <n v="0"/>
    <n v="347.95673076923083"/>
    <n v="0"/>
    <n v="0"/>
    <n v="0"/>
    <n v="1461.4182692307693"/>
  </r>
  <r>
    <x v="6"/>
    <s v="March"/>
    <x v="1"/>
    <n v="34.79567307692308"/>
    <n v="0"/>
    <n v="34.79567307692308"/>
    <m/>
    <m/>
    <m/>
    <x v="0"/>
    <m/>
    <m/>
    <m/>
    <n v="3.08"/>
    <m/>
    <m/>
    <n v="10"/>
    <m/>
    <m/>
    <m/>
    <m/>
    <n v="10"/>
    <m/>
    <m/>
    <m/>
    <n v="42"/>
    <n v="65.08"/>
    <n v="65.08"/>
    <n v="0"/>
    <n v="0"/>
    <n v="0"/>
    <n v="0"/>
    <n v="0"/>
    <n v="0"/>
    <n v="0"/>
    <n v="0"/>
    <n v="3.08"/>
    <n v="0"/>
    <n v="0"/>
    <n v="10"/>
    <n v="0"/>
    <n v="0"/>
    <n v="0"/>
    <n v="0"/>
    <n v="10"/>
    <n v="0"/>
    <n v="0"/>
    <n v="0"/>
    <n v="42"/>
    <n v="65.08"/>
    <n v="0"/>
    <n v="0"/>
    <n v="0"/>
    <n v="0"/>
    <n v="0"/>
    <n v="0"/>
    <n v="0"/>
    <n v="107.17067307692309"/>
    <n v="0"/>
    <n v="0"/>
    <n v="347.95673076923083"/>
    <n v="0"/>
    <n v="0"/>
    <n v="0"/>
    <n v="0"/>
    <n v="347.95673076923083"/>
    <n v="0"/>
    <n v="0"/>
    <n v="0"/>
    <n v="1461.4182692307693"/>
  </r>
  <r>
    <x v="6"/>
    <s v="April"/>
    <x v="1"/>
    <n v="34.79567307692308"/>
    <n v="0"/>
    <n v="34.79567307692308"/>
    <m/>
    <m/>
    <m/>
    <x v="0"/>
    <m/>
    <m/>
    <m/>
    <n v="3.08"/>
    <m/>
    <m/>
    <n v="10"/>
    <m/>
    <m/>
    <m/>
    <m/>
    <n v="10"/>
    <m/>
    <m/>
    <m/>
    <n v="42"/>
    <n v="65.08"/>
    <n v="65.08"/>
    <n v="0"/>
    <n v="0"/>
    <n v="0"/>
    <n v="0"/>
    <n v="0"/>
    <n v="0"/>
    <n v="0"/>
    <n v="0"/>
    <n v="3.08"/>
    <n v="0"/>
    <n v="0"/>
    <n v="10"/>
    <n v="0"/>
    <n v="0"/>
    <n v="0"/>
    <n v="0"/>
    <n v="10"/>
    <n v="0"/>
    <n v="0"/>
    <n v="0"/>
    <n v="42"/>
    <n v="65.08"/>
    <n v="0"/>
    <n v="0"/>
    <n v="0"/>
    <n v="0"/>
    <n v="0"/>
    <n v="0"/>
    <n v="0"/>
    <n v="107.17067307692309"/>
    <n v="0"/>
    <n v="0"/>
    <n v="347.95673076923083"/>
    <n v="0"/>
    <n v="0"/>
    <n v="0"/>
    <n v="0"/>
    <n v="347.95673076923083"/>
    <n v="0"/>
    <n v="0"/>
    <n v="0"/>
    <n v="1461.4182692307693"/>
  </r>
  <r>
    <x v="6"/>
    <s v="May"/>
    <x v="1"/>
    <n v="34.79567307692308"/>
    <n v="0"/>
    <n v="34.79567307692308"/>
    <m/>
    <m/>
    <m/>
    <x v="0"/>
    <m/>
    <m/>
    <m/>
    <n v="3.08"/>
    <m/>
    <m/>
    <n v="10"/>
    <m/>
    <m/>
    <m/>
    <m/>
    <n v="10"/>
    <m/>
    <m/>
    <m/>
    <n v="42"/>
    <n v="65.08"/>
    <n v="65.08"/>
    <n v="0"/>
    <n v="0"/>
    <n v="0"/>
    <n v="0"/>
    <n v="0"/>
    <n v="0"/>
    <n v="0"/>
    <n v="0"/>
    <n v="3.08"/>
    <n v="0"/>
    <n v="0"/>
    <n v="10"/>
    <n v="0"/>
    <n v="0"/>
    <n v="0"/>
    <n v="0"/>
    <n v="10"/>
    <n v="0"/>
    <n v="0"/>
    <n v="0"/>
    <n v="42"/>
    <n v="65.08"/>
    <n v="0"/>
    <n v="0"/>
    <n v="0"/>
    <n v="0"/>
    <n v="0"/>
    <n v="0"/>
    <n v="0"/>
    <n v="107.17067307692309"/>
    <n v="0"/>
    <n v="0"/>
    <n v="347.95673076923083"/>
    <n v="0"/>
    <n v="0"/>
    <n v="0"/>
    <n v="0"/>
    <n v="347.95673076923083"/>
    <n v="0"/>
    <n v="0"/>
    <n v="0"/>
    <n v="1461.4182692307693"/>
  </r>
  <r>
    <x v="6"/>
    <s v="June"/>
    <x v="1"/>
    <n v="34.79567307692308"/>
    <n v="0"/>
    <n v="34.79567307692308"/>
    <m/>
    <m/>
    <m/>
    <x v="0"/>
    <m/>
    <m/>
    <m/>
    <n v="3.08"/>
    <m/>
    <m/>
    <n v="10"/>
    <m/>
    <m/>
    <m/>
    <m/>
    <n v="10"/>
    <m/>
    <m/>
    <m/>
    <n v="42"/>
    <n v="65.08"/>
    <n v="65.08"/>
    <n v="0"/>
    <n v="0"/>
    <n v="0"/>
    <n v="0"/>
    <n v="0"/>
    <n v="0"/>
    <n v="0"/>
    <n v="0"/>
    <n v="3.08"/>
    <n v="0"/>
    <n v="0"/>
    <n v="10"/>
    <n v="0"/>
    <n v="0"/>
    <n v="0"/>
    <n v="0"/>
    <n v="10"/>
    <n v="0"/>
    <n v="0"/>
    <n v="0"/>
    <n v="42"/>
    <n v="65.08"/>
    <n v="0"/>
    <n v="0"/>
    <n v="0"/>
    <n v="0"/>
    <n v="0"/>
    <n v="0"/>
    <n v="0"/>
    <n v="107.17067307692309"/>
    <n v="0"/>
    <n v="0"/>
    <n v="347.95673076923083"/>
    <n v="0"/>
    <n v="0"/>
    <n v="0"/>
    <n v="0"/>
    <n v="347.95673076923083"/>
    <n v="0"/>
    <n v="0"/>
    <n v="0"/>
    <n v="1461.4182692307693"/>
  </r>
  <r>
    <x v="6"/>
    <s v="July"/>
    <x v="1"/>
    <n v="34.79567307692308"/>
    <n v="0"/>
    <n v="34.79567307692308"/>
    <m/>
    <m/>
    <m/>
    <x v="0"/>
    <m/>
    <m/>
    <m/>
    <n v="3.08"/>
    <m/>
    <m/>
    <n v="10"/>
    <m/>
    <m/>
    <m/>
    <m/>
    <n v="10"/>
    <m/>
    <m/>
    <m/>
    <n v="42"/>
    <n v="65.08"/>
    <n v="65.08"/>
    <n v="0"/>
    <n v="0"/>
    <n v="0"/>
    <n v="0"/>
    <n v="0"/>
    <n v="0"/>
    <n v="0"/>
    <n v="0"/>
    <n v="3.08"/>
    <n v="0"/>
    <n v="0"/>
    <n v="10"/>
    <n v="0"/>
    <n v="0"/>
    <n v="0"/>
    <n v="0"/>
    <n v="10"/>
    <n v="0"/>
    <n v="0"/>
    <n v="0"/>
    <n v="42"/>
    <n v="65.08"/>
    <n v="0"/>
    <n v="0"/>
    <n v="0"/>
    <n v="0"/>
    <n v="0"/>
    <n v="0"/>
    <n v="0"/>
    <n v="107.17067307692309"/>
    <n v="0"/>
    <n v="0"/>
    <n v="347.95673076923083"/>
    <n v="0"/>
    <n v="0"/>
    <n v="0"/>
    <n v="0"/>
    <n v="347.95673076923083"/>
    <n v="0"/>
    <n v="0"/>
    <n v="0"/>
    <n v="1461.4182692307693"/>
  </r>
  <r>
    <x v="6"/>
    <s v="August"/>
    <x v="1"/>
    <n v="34.79567307692308"/>
    <n v="0"/>
    <n v="34.79567307692308"/>
    <m/>
    <m/>
    <m/>
    <x v="0"/>
    <m/>
    <m/>
    <m/>
    <n v="3.08"/>
    <m/>
    <m/>
    <n v="10"/>
    <m/>
    <m/>
    <m/>
    <m/>
    <n v="10"/>
    <m/>
    <m/>
    <m/>
    <n v="42"/>
    <n v="65.08"/>
    <n v="65.08"/>
    <n v="0"/>
    <n v="0"/>
    <n v="0"/>
    <n v="0"/>
    <n v="0"/>
    <n v="0"/>
    <n v="0"/>
    <n v="0"/>
    <n v="3.08"/>
    <n v="0"/>
    <n v="0"/>
    <n v="10"/>
    <n v="0"/>
    <n v="0"/>
    <n v="0"/>
    <n v="0"/>
    <n v="10"/>
    <n v="0"/>
    <n v="0"/>
    <n v="0"/>
    <n v="42"/>
    <n v="65.08"/>
    <n v="0"/>
    <n v="0"/>
    <n v="0"/>
    <n v="0"/>
    <n v="0"/>
    <n v="0"/>
    <n v="0"/>
    <n v="107.17067307692309"/>
    <n v="0"/>
    <n v="0"/>
    <n v="347.95673076923083"/>
    <n v="0"/>
    <n v="0"/>
    <n v="0"/>
    <n v="0"/>
    <n v="347.95673076923083"/>
    <n v="0"/>
    <n v="0"/>
    <n v="0"/>
    <n v="1461.4182692307693"/>
  </r>
  <r>
    <x v="6"/>
    <s v="September"/>
    <x v="1"/>
    <n v="34.79567307692308"/>
    <n v="0"/>
    <n v="34.79567307692308"/>
    <m/>
    <m/>
    <m/>
    <x v="0"/>
    <m/>
    <m/>
    <m/>
    <n v="3.08"/>
    <m/>
    <m/>
    <n v="10"/>
    <m/>
    <m/>
    <m/>
    <m/>
    <n v="10"/>
    <m/>
    <m/>
    <m/>
    <n v="42"/>
    <n v="65.08"/>
    <n v="65.08"/>
    <n v="0"/>
    <n v="0"/>
    <n v="0"/>
    <n v="0"/>
    <n v="0"/>
    <n v="0"/>
    <n v="0"/>
    <n v="0"/>
    <n v="3.08"/>
    <n v="0"/>
    <n v="0"/>
    <n v="10"/>
    <n v="0"/>
    <n v="0"/>
    <n v="0"/>
    <n v="0"/>
    <n v="10"/>
    <n v="0"/>
    <n v="0"/>
    <n v="0"/>
    <n v="42"/>
    <n v="65.08"/>
    <n v="0"/>
    <n v="0"/>
    <n v="0"/>
    <n v="0"/>
    <n v="0"/>
    <n v="0"/>
    <n v="0"/>
    <n v="107.17067307692309"/>
    <n v="0"/>
    <n v="0"/>
    <n v="347.95673076923083"/>
    <n v="0"/>
    <n v="0"/>
    <n v="0"/>
    <n v="0"/>
    <n v="347.95673076923083"/>
    <n v="0"/>
    <n v="0"/>
    <n v="0"/>
    <n v="1461.4182692307693"/>
  </r>
  <r>
    <x v="6"/>
    <s v="October"/>
    <x v="1"/>
    <n v="34.79567307692308"/>
    <n v="0"/>
    <n v="34.79567307692308"/>
    <m/>
    <m/>
    <m/>
    <x v="0"/>
    <m/>
    <m/>
    <m/>
    <n v="3.08"/>
    <m/>
    <m/>
    <n v="10"/>
    <m/>
    <m/>
    <m/>
    <m/>
    <n v="10"/>
    <m/>
    <m/>
    <m/>
    <n v="42"/>
    <n v="65.08"/>
    <n v="65.08"/>
    <n v="0"/>
    <n v="0"/>
    <n v="0"/>
    <n v="0"/>
    <n v="0"/>
    <n v="0"/>
    <n v="0"/>
    <n v="0"/>
    <n v="3.08"/>
    <n v="0"/>
    <n v="0"/>
    <n v="10"/>
    <n v="0"/>
    <n v="0"/>
    <n v="0"/>
    <n v="0"/>
    <n v="10"/>
    <n v="0"/>
    <n v="0"/>
    <n v="0"/>
    <n v="42"/>
    <n v="65.08"/>
    <n v="0"/>
    <n v="0"/>
    <n v="0"/>
    <n v="0"/>
    <n v="0"/>
    <n v="0"/>
    <n v="0"/>
    <n v="107.17067307692309"/>
    <n v="0"/>
    <n v="0"/>
    <n v="347.95673076923083"/>
    <n v="0"/>
    <n v="0"/>
    <n v="0"/>
    <n v="0"/>
    <n v="347.95673076923083"/>
    <n v="0"/>
    <n v="0"/>
    <n v="0"/>
    <n v="1461.4182692307693"/>
  </r>
  <r>
    <x v="6"/>
    <s v="November"/>
    <x v="1"/>
    <n v="34.79567307692308"/>
    <n v="0"/>
    <n v="34.79567307692308"/>
    <m/>
    <m/>
    <m/>
    <x v="0"/>
    <m/>
    <m/>
    <m/>
    <n v="3.08"/>
    <m/>
    <m/>
    <n v="10"/>
    <m/>
    <m/>
    <m/>
    <m/>
    <n v="10"/>
    <m/>
    <m/>
    <m/>
    <n v="42"/>
    <n v="65.08"/>
    <n v="65.08"/>
    <n v="0"/>
    <n v="0"/>
    <n v="0"/>
    <n v="0"/>
    <n v="0"/>
    <n v="0"/>
    <n v="0"/>
    <n v="0"/>
    <n v="3.08"/>
    <n v="0"/>
    <n v="0"/>
    <n v="10"/>
    <n v="0"/>
    <n v="0"/>
    <n v="0"/>
    <n v="0"/>
    <n v="10"/>
    <n v="0"/>
    <n v="0"/>
    <n v="0"/>
    <n v="42"/>
    <n v="65.08"/>
    <n v="0"/>
    <n v="0"/>
    <n v="0"/>
    <n v="0"/>
    <n v="0"/>
    <n v="0"/>
    <n v="0"/>
    <n v="107.17067307692309"/>
    <n v="0"/>
    <n v="0"/>
    <n v="347.95673076923083"/>
    <n v="0"/>
    <n v="0"/>
    <n v="0"/>
    <n v="0"/>
    <n v="347.95673076923083"/>
    <n v="0"/>
    <n v="0"/>
    <n v="0"/>
    <n v="1461.4182692307693"/>
  </r>
  <r>
    <x v="6"/>
    <s v="December"/>
    <x v="1"/>
    <n v="34.79567307692308"/>
    <n v="0"/>
    <n v="34.79567307692308"/>
    <m/>
    <m/>
    <m/>
    <x v="0"/>
    <m/>
    <m/>
    <m/>
    <n v="3.12"/>
    <m/>
    <m/>
    <n v="10"/>
    <m/>
    <m/>
    <m/>
    <m/>
    <n v="10"/>
    <m/>
    <m/>
    <m/>
    <n v="42"/>
    <n v="65.12"/>
    <n v="65.12"/>
    <n v="0"/>
    <n v="0"/>
    <n v="0"/>
    <n v="0"/>
    <n v="0"/>
    <n v="0"/>
    <n v="0"/>
    <n v="0"/>
    <n v="3.12"/>
    <n v="0"/>
    <n v="0"/>
    <n v="10"/>
    <n v="0"/>
    <n v="0"/>
    <n v="0"/>
    <n v="0"/>
    <n v="10"/>
    <n v="0"/>
    <n v="0"/>
    <n v="0"/>
    <n v="42"/>
    <n v="65.12"/>
    <n v="0"/>
    <n v="0"/>
    <n v="0"/>
    <n v="0"/>
    <n v="0"/>
    <n v="0"/>
    <n v="0"/>
    <n v="108.56250000000001"/>
    <n v="0"/>
    <n v="0"/>
    <n v="347.95673076923083"/>
    <n v="0"/>
    <n v="0"/>
    <n v="0"/>
    <n v="0"/>
    <n v="347.95673076923083"/>
    <n v="0"/>
    <n v="0"/>
    <n v="0"/>
    <n v="1461.4182692307693"/>
  </r>
  <r>
    <x v="6"/>
    <s v="January"/>
    <x v="2"/>
    <n v="38.942307692307693"/>
    <n v="0"/>
    <n v="38.942307692307693"/>
    <m/>
    <m/>
    <m/>
    <x v="0"/>
    <m/>
    <m/>
    <m/>
    <m/>
    <m/>
    <m/>
    <n v="10"/>
    <m/>
    <m/>
    <m/>
    <m/>
    <n v="10"/>
    <m/>
    <m/>
    <m/>
    <m/>
    <n v="20"/>
    <n v="20"/>
    <n v="0"/>
    <n v="0"/>
    <n v="0"/>
    <n v="0"/>
    <n v="0"/>
    <n v="0"/>
    <n v="0"/>
    <n v="0"/>
    <n v="0"/>
    <n v="0"/>
    <n v="0"/>
    <n v="10"/>
    <n v="0"/>
    <n v="0"/>
    <n v="0"/>
    <n v="0"/>
    <n v="10"/>
    <n v="0"/>
    <n v="0"/>
    <n v="0"/>
    <n v="0"/>
    <n v="20"/>
    <n v="0"/>
    <n v="0"/>
    <n v="0"/>
    <n v="0"/>
    <n v="0"/>
    <n v="0"/>
    <n v="0"/>
    <n v="0"/>
    <n v="0"/>
    <n v="0"/>
    <n v="389.42307692307691"/>
    <n v="0"/>
    <n v="0"/>
    <n v="0"/>
    <n v="0"/>
    <n v="389.42307692307691"/>
    <n v="0"/>
    <n v="0"/>
    <n v="0"/>
    <n v="0"/>
  </r>
  <r>
    <x v="6"/>
    <s v="February"/>
    <x v="2"/>
    <n v="38.942307692307693"/>
    <n v="0"/>
    <n v="38.942307692307693"/>
    <m/>
    <m/>
    <m/>
    <x v="0"/>
    <m/>
    <m/>
    <m/>
    <m/>
    <m/>
    <m/>
    <n v="10"/>
    <m/>
    <m/>
    <m/>
    <m/>
    <n v="10"/>
    <m/>
    <m/>
    <m/>
    <m/>
    <n v="20"/>
    <n v="20"/>
    <n v="0"/>
    <n v="0"/>
    <n v="0"/>
    <n v="0"/>
    <n v="0"/>
    <n v="0"/>
    <n v="0"/>
    <n v="0"/>
    <n v="0"/>
    <n v="0"/>
    <n v="0"/>
    <n v="10"/>
    <n v="0"/>
    <n v="0"/>
    <n v="0"/>
    <n v="0"/>
    <n v="10"/>
    <n v="0"/>
    <n v="0"/>
    <n v="0"/>
    <n v="0"/>
    <n v="20"/>
    <n v="0"/>
    <n v="0"/>
    <n v="0"/>
    <n v="0"/>
    <n v="0"/>
    <n v="0"/>
    <n v="0"/>
    <n v="0"/>
    <n v="0"/>
    <n v="0"/>
    <n v="389.42307692307691"/>
    <n v="0"/>
    <n v="0"/>
    <n v="0"/>
    <n v="0"/>
    <n v="389.42307692307691"/>
    <n v="0"/>
    <n v="0"/>
    <n v="0"/>
    <n v="0"/>
  </r>
  <r>
    <x v="6"/>
    <s v="March"/>
    <x v="2"/>
    <n v="38.942307692307693"/>
    <n v="0"/>
    <n v="38.942307692307693"/>
    <m/>
    <m/>
    <m/>
    <x v="0"/>
    <m/>
    <m/>
    <m/>
    <m/>
    <m/>
    <m/>
    <n v="10"/>
    <m/>
    <m/>
    <m/>
    <m/>
    <n v="10"/>
    <m/>
    <m/>
    <m/>
    <m/>
    <n v="20"/>
    <n v="20"/>
    <n v="0"/>
    <n v="0"/>
    <n v="0"/>
    <n v="0"/>
    <n v="0"/>
    <n v="0"/>
    <n v="0"/>
    <n v="0"/>
    <n v="0"/>
    <n v="0"/>
    <n v="0"/>
    <n v="10"/>
    <n v="0"/>
    <n v="0"/>
    <n v="0"/>
    <n v="0"/>
    <n v="10"/>
    <n v="0"/>
    <n v="0"/>
    <n v="0"/>
    <n v="0"/>
    <n v="20"/>
    <n v="0"/>
    <n v="0"/>
    <n v="0"/>
    <n v="0"/>
    <n v="0"/>
    <n v="0"/>
    <n v="0"/>
    <n v="0"/>
    <n v="0"/>
    <n v="0"/>
    <n v="389.42307692307691"/>
    <n v="0"/>
    <n v="0"/>
    <n v="0"/>
    <n v="0"/>
    <n v="389.42307692307691"/>
    <n v="0"/>
    <n v="0"/>
    <n v="0"/>
    <n v="0"/>
  </r>
  <r>
    <x v="6"/>
    <s v="April"/>
    <x v="2"/>
    <n v="38.942307692307693"/>
    <n v="0"/>
    <n v="38.942307692307693"/>
    <m/>
    <m/>
    <m/>
    <x v="0"/>
    <m/>
    <m/>
    <m/>
    <m/>
    <m/>
    <m/>
    <n v="10"/>
    <m/>
    <m/>
    <m/>
    <m/>
    <n v="10"/>
    <m/>
    <m/>
    <m/>
    <m/>
    <n v="20"/>
    <n v="20"/>
    <n v="0"/>
    <n v="0"/>
    <n v="0"/>
    <n v="0"/>
    <n v="0"/>
    <n v="0"/>
    <n v="0"/>
    <n v="0"/>
    <n v="0"/>
    <n v="0"/>
    <n v="0"/>
    <n v="10"/>
    <n v="0"/>
    <n v="0"/>
    <n v="0"/>
    <n v="0"/>
    <n v="10"/>
    <n v="0"/>
    <n v="0"/>
    <n v="0"/>
    <n v="0"/>
    <n v="20"/>
    <n v="0"/>
    <n v="0"/>
    <n v="0"/>
    <n v="0"/>
    <n v="0"/>
    <n v="0"/>
    <n v="0"/>
    <n v="0"/>
    <n v="0"/>
    <n v="0"/>
    <n v="389.42307692307691"/>
    <n v="0"/>
    <n v="0"/>
    <n v="0"/>
    <n v="0"/>
    <n v="389.42307692307691"/>
    <n v="0"/>
    <n v="0"/>
    <n v="0"/>
    <n v="0"/>
  </r>
  <r>
    <x v="6"/>
    <s v="May"/>
    <x v="2"/>
    <n v="38.942307692307693"/>
    <n v="0"/>
    <n v="38.942307692307693"/>
    <m/>
    <m/>
    <m/>
    <x v="0"/>
    <m/>
    <m/>
    <m/>
    <m/>
    <m/>
    <m/>
    <n v="10"/>
    <m/>
    <m/>
    <m/>
    <m/>
    <n v="10"/>
    <m/>
    <m/>
    <m/>
    <m/>
    <n v="20"/>
    <n v="20"/>
    <n v="0"/>
    <n v="0"/>
    <n v="0"/>
    <n v="0"/>
    <n v="0"/>
    <n v="0"/>
    <n v="0"/>
    <n v="0"/>
    <n v="0"/>
    <n v="0"/>
    <n v="0"/>
    <n v="10"/>
    <n v="0"/>
    <n v="0"/>
    <n v="0"/>
    <n v="0"/>
    <n v="10"/>
    <n v="0"/>
    <n v="0"/>
    <n v="0"/>
    <n v="0"/>
    <n v="20"/>
    <n v="0"/>
    <n v="0"/>
    <n v="0"/>
    <n v="0"/>
    <n v="0"/>
    <n v="0"/>
    <n v="0"/>
    <n v="0"/>
    <n v="0"/>
    <n v="0"/>
    <n v="389.42307692307691"/>
    <n v="0"/>
    <n v="0"/>
    <n v="0"/>
    <n v="0"/>
    <n v="389.42307692307691"/>
    <n v="0"/>
    <n v="0"/>
    <n v="0"/>
    <n v="0"/>
  </r>
  <r>
    <x v="6"/>
    <s v="June"/>
    <x v="2"/>
    <n v="38.942307692307693"/>
    <n v="0"/>
    <n v="38.942307692307693"/>
    <m/>
    <m/>
    <m/>
    <x v="0"/>
    <m/>
    <m/>
    <m/>
    <m/>
    <m/>
    <m/>
    <n v="10"/>
    <m/>
    <m/>
    <m/>
    <m/>
    <m/>
    <m/>
    <m/>
    <m/>
    <m/>
    <n v="10"/>
    <n v="10"/>
    <n v="0"/>
    <n v="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10"/>
    <n v="0"/>
    <n v="0"/>
    <n v="0"/>
    <n v="0"/>
    <n v="0"/>
    <n v="0"/>
    <n v="0"/>
    <n v="0"/>
    <n v="0"/>
    <n v="0"/>
    <n v="389.42307692307691"/>
    <n v="0"/>
    <n v="0"/>
    <n v="0"/>
    <n v="0"/>
    <n v="0"/>
    <n v="0"/>
    <n v="0"/>
    <n v="0"/>
    <n v="0"/>
  </r>
  <r>
    <x v="7"/>
    <s v="February"/>
    <x v="0"/>
    <n v="32.904956730769229"/>
    <n v="0.1913"/>
    <n v="39.199674953365381"/>
    <m/>
    <m/>
    <m/>
    <x v="0"/>
    <m/>
    <m/>
    <m/>
    <m/>
    <m/>
    <m/>
    <m/>
    <m/>
    <m/>
    <m/>
    <m/>
    <n v="63"/>
    <m/>
    <m/>
    <m/>
    <m/>
    <n v="63"/>
    <n v="168"/>
    <n v="105"/>
    <n v="0"/>
    <n v="0"/>
    <n v="0"/>
    <n v="0"/>
    <n v="0"/>
    <n v="0"/>
    <n v="0"/>
    <n v="0"/>
    <n v="0"/>
    <n v="0"/>
    <n v="0"/>
    <n v="0"/>
    <n v="0"/>
    <n v="0"/>
    <n v="0"/>
    <n v="168"/>
    <n v="0"/>
    <n v="0"/>
    <n v="0"/>
    <n v="0"/>
    <n v="168"/>
    <n v="0"/>
    <n v="0"/>
    <n v="0"/>
    <n v="0"/>
    <n v="0"/>
    <n v="0"/>
    <n v="0"/>
    <n v="0"/>
    <n v="0"/>
    <n v="0"/>
    <n v="0"/>
    <n v="0"/>
    <n v="0"/>
    <n v="0"/>
    <n v="0"/>
    <n v="6585.5453921653843"/>
    <n v="0"/>
    <n v="0"/>
    <n v="0"/>
    <n v="0"/>
  </r>
  <r>
    <x v="7"/>
    <s v="January"/>
    <x v="0"/>
    <n v="32.904956730769229"/>
    <n v="0.1913"/>
    <n v="39.199674953365381"/>
    <m/>
    <m/>
    <m/>
    <x v="0"/>
    <m/>
    <m/>
    <m/>
    <m/>
    <m/>
    <m/>
    <m/>
    <m/>
    <m/>
    <m/>
    <m/>
    <n v="69"/>
    <m/>
    <m/>
    <m/>
    <m/>
    <n v="69"/>
    <n v="184"/>
    <n v="115"/>
    <n v="0"/>
    <n v="0"/>
    <n v="0"/>
    <n v="0"/>
    <n v="0"/>
    <n v="0"/>
    <n v="0"/>
    <n v="0"/>
    <n v="0"/>
    <n v="0"/>
    <n v="0"/>
    <n v="0"/>
    <n v="0"/>
    <n v="0"/>
    <n v="0"/>
    <n v="184"/>
    <n v="0"/>
    <n v="0"/>
    <n v="0"/>
    <n v="0"/>
    <n v="184"/>
    <n v="0"/>
    <n v="0"/>
    <n v="0"/>
    <n v="0"/>
    <n v="0"/>
    <n v="0"/>
    <n v="0"/>
    <n v="0"/>
    <n v="0"/>
    <n v="0"/>
    <n v="0"/>
    <n v="0"/>
    <n v="0"/>
    <n v="0"/>
    <n v="0"/>
    <n v="7212.7401914192305"/>
    <n v="0"/>
    <n v="0"/>
    <n v="0"/>
    <n v="0"/>
  </r>
  <r>
    <x v="7"/>
    <s v="March"/>
    <x v="0"/>
    <n v="32.904956730769229"/>
    <n v="0.1913"/>
    <n v="39.199674953365381"/>
    <m/>
    <m/>
    <m/>
    <x v="0"/>
    <m/>
    <m/>
    <n v="80"/>
    <m/>
    <m/>
    <m/>
    <m/>
    <m/>
    <m/>
    <m/>
    <m/>
    <n v="63"/>
    <m/>
    <m/>
    <m/>
    <m/>
    <n v="143"/>
    <n v="168"/>
    <n v="25"/>
    <n v="0"/>
    <n v="0"/>
    <n v="0"/>
    <n v="0"/>
    <n v="0"/>
    <n v="0"/>
    <n v="93.986013986013987"/>
    <n v="0"/>
    <n v="0"/>
    <n v="0"/>
    <n v="0"/>
    <n v="0"/>
    <n v="0"/>
    <n v="0"/>
    <n v="0"/>
    <n v="74.013986013986013"/>
    <n v="0"/>
    <n v="0"/>
    <n v="0"/>
    <n v="0"/>
    <n v="168"/>
    <n v="0"/>
    <n v="0"/>
    <n v="0"/>
    <n v="0"/>
    <n v="0"/>
    <n v="0"/>
    <n v="3684.2211984142009"/>
    <n v="0"/>
    <n v="0"/>
    <n v="0"/>
    <n v="0"/>
    <n v="0"/>
    <n v="0"/>
    <n v="0"/>
    <n v="0"/>
    <n v="2901.324193751183"/>
    <n v="0"/>
    <n v="0"/>
    <n v="0"/>
    <n v="0"/>
  </r>
  <r>
    <x v="7"/>
    <s v="June"/>
    <x v="0"/>
    <n v="32.904956730769229"/>
    <n v="0.1913"/>
    <n v="39.199674953365381"/>
    <m/>
    <m/>
    <m/>
    <x v="0"/>
    <m/>
    <m/>
    <n v="88"/>
    <m/>
    <m/>
    <m/>
    <m/>
    <m/>
    <m/>
    <m/>
    <m/>
    <n v="60"/>
    <m/>
    <m/>
    <m/>
    <m/>
    <n v="148"/>
    <n v="160"/>
    <n v="12"/>
    <n v="0"/>
    <n v="0"/>
    <n v="0"/>
    <n v="0"/>
    <n v="0"/>
    <n v="0"/>
    <n v="95.135135135135144"/>
    <n v="0"/>
    <n v="0"/>
    <n v="0"/>
    <n v="0"/>
    <n v="0"/>
    <n v="0"/>
    <n v="0"/>
    <n v="0"/>
    <n v="64.86486486486487"/>
    <n v="0"/>
    <n v="0"/>
    <n v="0"/>
    <n v="0"/>
    <n v="160"/>
    <n v="0"/>
    <n v="0"/>
    <n v="0"/>
    <n v="0"/>
    <n v="0"/>
    <n v="0"/>
    <n v="3729.2663739417881"/>
    <n v="0"/>
    <n v="0"/>
    <n v="0"/>
    <n v="0"/>
    <n v="0"/>
    <n v="0"/>
    <n v="0"/>
    <n v="0"/>
    <n v="2542.6816185966736"/>
    <n v="0"/>
    <n v="0"/>
    <n v="0"/>
    <n v="0"/>
  </r>
  <r>
    <x v="7"/>
    <s v="September"/>
    <x v="0"/>
    <n v="32.904956730769229"/>
    <n v="0.1913"/>
    <n v="39.199674953365381"/>
    <m/>
    <m/>
    <m/>
    <x v="0"/>
    <m/>
    <m/>
    <n v="88"/>
    <m/>
    <m/>
    <m/>
    <m/>
    <m/>
    <m/>
    <m/>
    <m/>
    <n v="63"/>
    <m/>
    <m/>
    <m/>
    <m/>
    <n v="151"/>
    <n v="168"/>
    <n v="17"/>
    <n v="0"/>
    <n v="0"/>
    <n v="0"/>
    <n v="0"/>
    <n v="0"/>
    <n v="0"/>
    <n v="97.907284768211923"/>
    <n v="0"/>
    <n v="0"/>
    <n v="0"/>
    <n v="0"/>
    <n v="0"/>
    <n v="0"/>
    <n v="0"/>
    <n v="0"/>
    <n v="70.092715231788077"/>
    <n v="0"/>
    <n v="0"/>
    <n v="0"/>
    <n v="0"/>
    <n v="168"/>
    <n v="0"/>
    <n v="0"/>
    <n v="0"/>
    <n v="0"/>
    <n v="0"/>
    <n v="0"/>
    <n v="3837.933738480489"/>
    <n v="0"/>
    <n v="0"/>
    <n v="0"/>
    <n v="0"/>
    <n v="0"/>
    <n v="0"/>
    <n v="0"/>
    <n v="0"/>
    <n v="2747.6116536848954"/>
    <n v="0"/>
    <n v="0"/>
    <n v="0"/>
    <n v="0"/>
  </r>
  <r>
    <x v="7"/>
    <s v="April"/>
    <x v="0"/>
    <n v="32.904956730769229"/>
    <n v="0.1913"/>
    <n v="39.199674953365381"/>
    <m/>
    <m/>
    <m/>
    <x v="0"/>
    <m/>
    <m/>
    <n v="88"/>
    <m/>
    <m/>
    <m/>
    <m/>
    <m/>
    <m/>
    <m/>
    <m/>
    <n v="66"/>
    <m/>
    <m/>
    <m/>
    <m/>
    <n v="154"/>
    <n v="176"/>
    <n v="22"/>
    <n v="0"/>
    <n v="0"/>
    <n v="0"/>
    <n v="0"/>
    <n v="0"/>
    <n v="0"/>
    <n v="100.57142857142857"/>
    <n v="0"/>
    <n v="0"/>
    <n v="0"/>
    <n v="0"/>
    <n v="0"/>
    <n v="0"/>
    <n v="0"/>
    <n v="0"/>
    <n v="75.428571428571431"/>
    <n v="0"/>
    <n v="0"/>
    <n v="0"/>
    <n v="0"/>
    <n v="176"/>
    <n v="0"/>
    <n v="0"/>
    <n v="0"/>
    <n v="0"/>
    <n v="0"/>
    <n v="0"/>
    <n v="3942.3673095956042"/>
    <n v="0"/>
    <n v="0"/>
    <n v="0"/>
    <n v="0"/>
    <n v="0"/>
    <n v="0"/>
    <n v="0"/>
    <n v="0"/>
    <n v="2956.7754821967033"/>
    <n v="0"/>
    <n v="0"/>
    <n v="0"/>
    <n v="0"/>
  </r>
  <r>
    <x v="7"/>
    <s v="August"/>
    <x v="0"/>
    <n v="32.904956730769229"/>
    <n v="0.1913"/>
    <n v="39.199674953365381"/>
    <m/>
    <m/>
    <m/>
    <x v="0"/>
    <m/>
    <m/>
    <n v="88"/>
    <m/>
    <m/>
    <m/>
    <m/>
    <m/>
    <m/>
    <m/>
    <m/>
    <n v="66"/>
    <m/>
    <m/>
    <m/>
    <m/>
    <n v="154"/>
    <n v="176"/>
    <n v="22"/>
    <n v="0"/>
    <n v="0"/>
    <n v="0"/>
    <n v="0"/>
    <n v="0"/>
    <n v="0"/>
    <n v="100.57142857142857"/>
    <n v="0"/>
    <n v="0"/>
    <n v="0"/>
    <n v="0"/>
    <n v="0"/>
    <n v="0"/>
    <n v="0"/>
    <n v="0"/>
    <n v="75.428571428571431"/>
    <n v="0"/>
    <n v="0"/>
    <n v="0"/>
    <n v="0"/>
    <n v="176"/>
    <n v="0"/>
    <n v="0"/>
    <n v="0"/>
    <n v="0"/>
    <n v="0"/>
    <n v="0"/>
    <n v="3942.3673095956042"/>
    <n v="0"/>
    <n v="0"/>
    <n v="0"/>
    <n v="0"/>
    <n v="0"/>
    <n v="0"/>
    <n v="0"/>
    <n v="0"/>
    <n v="2956.7754821967033"/>
    <n v="0"/>
    <n v="0"/>
    <n v="0"/>
    <n v="0"/>
  </r>
  <r>
    <x v="7"/>
    <s v="May"/>
    <x v="0"/>
    <n v="32.904956730769229"/>
    <n v="0.1913"/>
    <n v="39.199674953365381"/>
    <m/>
    <m/>
    <m/>
    <x v="0"/>
    <m/>
    <m/>
    <n v="88"/>
    <m/>
    <m/>
    <m/>
    <m/>
    <m/>
    <m/>
    <m/>
    <m/>
    <n v="69"/>
    <m/>
    <m/>
    <m/>
    <m/>
    <n v="157"/>
    <n v="184"/>
    <n v="27"/>
    <n v="0"/>
    <n v="0"/>
    <n v="0"/>
    <n v="0"/>
    <n v="0"/>
    <n v="0"/>
    <n v="103.13375796178343"/>
    <n v="0"/>
    <n v="0"/>
    <n v="0"/>
    <n v="0"/>
    <n v="0"/>
    <n v="0"/>
    <n v="0"/>
    <n v="0"/>
    <n v="80.866242038216569"/>
    <n v="0"/>
    <n v="0"/>
    <n v="0"/>
    <n v="0"/>
    <n v="184"/>
    <n v="0"/>
    <n v="0"/>
    <n v="0"/>
    <n v="0"/>
    <n v="0"/>
    <n v="0"/>
    <n v="4042.8097888209695"/>
    <n v="0"/>
    <n v="0"/>
    <n v="0"/>
    <n v="0"/>
    <n v="0"/>
    <n v="0"/>
    <n v="0"/>
    <n v="0"/>
    <n v="3169.9304025982606"/>
    <n v="0"/>
    <n v="0"/>
    <n v="0"/>
    <n v="0"/>
  </r>
  <r>
    <x v="7"/>
    <s v="July"/>
    <x v="0"/>
    <n v="32.904956730769229"/>
    <n v="0.1913"/>
    <n v="39.199674953365381"/>
    <m/>
    <m/>
    <m/>
    <x v="0"/>
    <m/>
    <m/>
    <n v="88"/>
    <m/>
    <m/>
    <m/>
    <m/>
    <m/>
    <m/>
    <m/>
    <m/>
    <n v="69"/>
    <m/>
    <m/>
    <m/>
    <m/>
    <n v="157"/>
    <n v="184"/>
    <n v="27"/>
    <n v="0"/>
    <n v="0"/>
    <n v="0"/>
    <n v="0"/>
    <n v="0"/>
    <n v="0"/>
    <n v="103.13375796178343"/>
    <n v="0"/>
    <n v="0"/>
    <n v="0"/>
    <n v="0"/>
    <n v="0"/>
    <n v="0"/>
    <n v="0"/>
    <n v="0"/>
    <n v="80.866242038216569"/>
    <n v="0"/>
    <n v="0"/>
    <n v="0"/>
    <n v="0"/>
    <n v="184"/>
    <n v="0"/>
    <n v="0"/>
    <n v="0"/>
    <n v="0"/>
    <n v="0"/>
    <n v="0"/>
    <n v="4042.8097888209695"/>
    <n v="0"/>
    <n v="0"/>
    <n v="0"/>
    <n v="0"/>
    <n v="0"/>
    <n v="0"/>
    <n v="0"/>
    <n v="0"/>
    <n v="3169.9304025982606"/>
    <n v="0"/>
    <n v="0"/>
    <n v="0"/>
    <n v="0"/>
  </r>
  <r>
    <x v="7"/>
    <s v="November"/>
    <x v="0"/>
    <n v="32.904956730769229"/>
    <n v="0.1913"/>
    <n v="39.199674953365381"/>
    <m/>
    <m/>
    <m/>
    <x v="0"/>
    <m/>
    <m/>
    <n v="88"/>
    <m/>
    <m/>
    <m/>
    <m/>
    <m/>
    <m/>
    <m/>
    <m/>
    <n v="14"/>
    <m/>
    <n v="66"/>
    <m/>
    <m/>
    <n v="168"/>
    <n v="168"/>
    <n v="0"/>
    <n v="0"/>
    <n v="0"/>
    <n v="0"/>
    <n v="0"/>
    <n v="0"/>
    <n v="0"/>
    <n v="88"/>
    <n v="0"/>
    <n v="0"/>
    <n v="0"/>
    <n v="0"/>
    <n v="0"/>
    <n v="0"/>
    <n v="0"/>
    <n v="0"/>
    <n v="14"/>
    <n v="0"/>
    <n v="66"/>
    <n v="0"/>
    <n v="0"/>
    <n v="168"/>
    <n v="0"/>
    <n v="0"/>
    <n v="0"/>
    <n v="0"/>
    <n v="0"/>
    <n v="0"/>
    <n v="3449.5713958961537"/>
    <n v="0"/>
    <n v="0"/>
    <n v="0"/>
    <n v="0"/>
    <n v="0"/>
    <n v="0"/>
    <n v="0"/>
    <n v="0"/>
    <n v="548.79544934711532"/>
    <n v="0"/>
    <n v="2587.1785469221149"/>
    <n v="0"/>
    <n v="0"/>
  </r>
  <r>
    <x v="7"/>
    <s v="December"/>
    <x v="0"/>
    <n v="32.904956730769229"/>
    <n v="0.1913"/>
    <n v="39.199674953365381"/>
    <m/>
    <m/>
    <m/>
    <x v="0"/>
    <m/>
    <m/>
    <n v="88"/>
    <m/>
    <m/>
    <m/>
    <m/>
    <m/>
    <m/>
    <m/>
    <m/>
    <n v="12"/>
    <m/>
    <n v="76"/>
    <m/>
    <m/>
    <n v="176"/>
    <n v="176"/>
    <n v="0"/>
    <n v="0"/>
    <n v="0"/>
    <n v="0"/>
    <n v="0"/>
    <n v="0"/>
    <n v="0"/>
    <n v="88"/>
    <n v="0"/>
    <n v="0"/>
    <n v="0"/>
    <n v="0"/>
    <n v="0"/>
    <n v="0"/>
    <n v="0"/>
    <n v="0"/>
    <n v="12"/>
    <n v="0"/>
    <n v="76"/>
    <n v="0"/>
    <n v="0"/>
    <n v="176"/>
    <n v="0"/>
    <n v="0"/>
    <n v="0"/>
    <n v="0"/>
    <n v="0"/>
    <n v="0"/>
    <n v="3449.5713958961537"/>
    <n v="0"/>
    <n v="0"/>
    <n v="0"/>
    <n v="0"/>
    <n v="0"/>
    <n v="0"/>
    <n v="0"/>
    <n v="0"/>
    <n v="470.39609944038455"/>
    <n v="0"/>
    <n v="2979.1752964557691"/>
    <n v="0"/>
    <n v="0"/>
  </r>
  <r>
    <x v="7"/>
    <s v="October"/>
    <x v="0"/>
    <n v="32.904956730769229"/>
    <n v="0.1913"/>
    <n v="39.199674953365381"/>
    <m/>
    <m/>
    <m/>
    <x v="0"/>
    <m/>
    <m/>
    <n v="88"/>
    <m/>
    <m/>
    <m/>
    <m/>
    <m/>
    <m/>
    <m/>
    <m/>
    <n v="8"/>
    <m/>
    <n v="88"/>
    <m/>
    <m/>
    <n v="184"/>
    <n v="184"/>
    <n v="0"/>
    <n v="0"/>
    <n v="0"/>
    <n v="0"/>
    <n v="0"/>
    <n v="0"/>
    <n v="0"/>
    <n v="88"/>
    <n v="0"/>
    <n v="0"/>
    <n v="0"/>
    <n v="0"/>
    <n v="0"/>
    <n v="0"/>
    <n v="0"/>
    <n v="0"/>
    <n v="8"/>
    <n v="0"/>
    <n v="88"/>
    <n v="0"/>
    <n v="0"/>
    <n v="184"/>
    <n v="0"/>
    <n v="0"/>
    <n v="0"/>
    <n v="0"/>
    <n v="0"/>
    <n v="0"/>
    <n v="3449.5713958961537"/>
    <n v="0"/>
    <n v="0"/>
    <n v="0"/>
    <n v="0"/>
    <n v="0"/>
    <n v="0"/>
    <n v="0"/>
    <n v="0"/>
    <n v="313.59739962692305"/>
    <n v="0"/>
    <n v="3449.5713958961537"/>
    <n v="0"/>
    <n v="0"/>
  </r>
  <r>
    <x v="7"/>
    <s v="February"/>
    <x v="1"/>
    <n v="36.688504807692304"/>
    <n v="0.22450000000000001"/>
    <n v="44.925074137019223"/>
    <m/>
    <m/>
    <m/>
    <x v="0"/>
    <m/>
    <m/>
    <n v="80"/>
    <m/>
    <m/>
    <m/>
    <m/>
    <m/>
    <m/>
    <m/>
    <m/>
    <n v="42"/>
    <m/>
    <n v="38"/>
    <m/>
    <m/>
    <n v="160"/>
    <n v="160"/>
    <n v="0"/>
    <n v="0"/>
    <n v="0"/>
    <n v="0"/>
    <n v="0"/>
    <n v="0"/>
    <n v="0"/>
    <n v="80"/>
    <n v="0"/>
    <n v="0"/>
    <n v="0"/>
    <n v="0"/>
    <n v="0"/>
    <n v="0"/>
    <n v="0"/>
    <n v="0"/>
    <n v="42"/>
    <n v="0"/>
    <n v="38"/>
    <n v="0"/>
    <n v="0"/>
    <n v="160"/>
    <n v="0"/>
    <n v="0"/>
    <n v="0"/>
    <n v="0"/>
    <n v="0"/>
    <n v="0"/>
    <n v="3594.0059309615381"/>
    <n v="0"/>
    <n v="0"/>
    <n v="0"/>
    <n v="0"/>
    <n v="0"/>
    <n v="0"/>
    <n v="0"/>
    <n v="0"/>
    <n v="1886.8531137548073"/>
    <n v="0"/>
    <n v="1707.1528172067306"/>
    <n v="0"/>
    <n v="0"/>
  </r>
  <r>
    <x v="7"/>
    <s v="November"/>
    <x v="1"/>
    <n v="36.688504807692304"/>
    <n v="0.22450000000000001"/>
    <n v="44.925074137019223"/>
    <m/>
    <m/>
    <m/>
    <x v="0"/>
    <m/>
    <m/>
    <n v="80"/>
    <m/>
    <m/>
    <m/>
    <m/>
    <m/>
    <m/>
    <m/>
    <m/>
    <n v="80"/>
    <m/>
    <m/>
    <m/>
    <m/>
    <n v="160"/>
    <n v="160"/>
    <n v="0"/>
    <n v="0"/>
    <n v="0"/>
    <n v="0"/>
    <n v="0"/>
    <n v="0"/>
    <n v="0"/>
    <n v="80"/>
    <n v="0"/>
    <n v="0"/>
    <n v="0"/>
    <n v="0"/>
    <n v="0"/>
    <n v="0"/>
    <n v="0"/>
    <n v="0"/>
    <n v="80"/>
    <n v="0"/>
    <n v="0"/>
    <n v="0"/>
    <n v="0"/>
    <n v="160"/>
    <n v="0"/>
    <n v="0"/>
    <n v="0"/>
    <n v="0"/>
    <n v="0"/>
    <n v="0"/>
    <n v="3594.0059309615381"/>
    <n v="0"/>
    <n v="0"/>
    <n v="0"/>
    <n v="0"/>
    <n v="0"/>
    <n v="0"/>
    <n v="0"/>
    <n v="0"/>
    <n v="3594.0059309615381"/>
    <n v="0"/>
    <n v="0"/>
    <n v="0"/>
    <n v="0"/>
  </r>
  <r>
    <x v="7"/>
    <s v="March"/>
    <x v="1"/>
    <n v="36.688504807692304"/>
    <n v="0.22450000000000001"/>
    <n v="44.925074137019223"/>
    <m/>
    <m/>
    <m/>
    <x v="0"/>
    <m/>
    <m/>
    <n v="80"/>
    <m/>
    <m/>
    <m/>
    <m/>
    <m/>
    <m/>
    <m/>
    <m/>
    <n v="42"/>
    <m/>
    <n v="46"/>
    <m/>
    <m/>
    <n v="168"/>
    <n v="168"/>
    <n v="0"/>
    <n v="0"/>
    <n v="0"/>
    <n v="0"/>
    <n v="0"/>
    <n v="0"/>
    <n v="0"/>
    <n v="80"/>
    <n v="0"/>
    <n v="0"/>
    <n v="0"/>
    <n v="0"/>
    <n v="0"/>
    <n v="0"/>
    <n v="0"/>
    <n v="0"/>
    <n v="42"/>
    <n v="0"/>
    <n v="46.000000000000007"/>
    <n v="0"/>
    <n v="0"/>
    <n v="168"/>
    <n v="0"/>
    <n v="0"/>
    <n v="0"/>
    <n v="0"/>
    <n v="0"/>
    <n v="0"/>
    <n v="3594.0059309615381"/>
    <n v="0"/>
    <n v="0"/>
    <n v="0"/>
    <n v="0"/>
    <n v="0"/>
    <n v="0"/>
    <n v="0"/>
    <n v="0"/>
    <n v="1886.8531137548073"/>
    <n v="0"/>
    <n v="2066.5534103028845"/>
    <n v="0"/>
    <n v="0"/>
  </r>
  <r>
    <x v="7"/>
    <s v="August"/>
    <x v="1"/>
    <n v="36.688504807692304"/>
    <n v="0.22450000000000001"/>
    <n v="44.925074137019223"/>
    <m/>
    <m/>
    <m/>
    <x v="0"/>
    <m/>
    <m/>
    <n v="80"/>
    <m/>
    <m/>
    <m/>
    <m/>
    <m/>
    <m/>
    <m/>
    <m/>
    <n v="46"/>
    <m/>
    <n v="42"/>
    <m/>
    <m/>
    <n v="168"/>
    <n v="168"/>
    <n v="0"/>
    <n v="0"/>
    <n v="0"/>
    <n v="0"/>
    <n v="0"/>
    <n v="0"/>
    <n v="0"/>
    <n v="80"/>
    <n v="0"/>
    <n v="0"/>
    <n v="0"/>
    <n v="0"/>
    <n v="0"/>
    <n v="0"/>
    <n v="0"/>
    <n v="0"/>
    <n v="46.000000000000007"/>
    <n v="0"/>
    <n v="42"/>
    <n v="0"/>
    <n v="0"/>
    <n v="168"/>
    <n v="0"/>
    <n v="0"/>
    <n v="0"/>
    <n v="0"/>
    <n v="0"/>
    <n v="0"/>
    <n v="3594.0059309615381"/>
    <n v="0"/>
    <n v="0"/>
    <n v="0"/>
    <n v="0"/>
    <n v="0"/>
    <n v="0"/>
    <n v="0"/>
    <n v="0"/>
    <n v="2066.5534103028845"/>
    <n v="0"/>
    <n v="1886.8531137548073"/>
    <n v="0"/>
    <n v="0"/>
  </r>
  <r>
    <x v="7"/>
    <s v="April"/>
    <x v="1"/>
    <n v="36.688504807692304"/>
    <n v="0.22450000000000001"/>
    <n v="44.925074137019223"/>
    <m/>
    <m/>
    <m/>
    <x v="0"/>
    <m/>
    <m/>
    <n v="80"/>
    <m/>
    <m/>
    <m/>
    <m/>
    <m/>
    <m/>
    <m/>
    <m/>
    <n v="41"/>
    <m/>
    <n v="49"/>
    <m/>
    <m/>
    <n v="170"/>
    <n v="176"/>
    <n v="6"/>
    <n v="0"/>
    <n v="0"/>
    <n v="0"/>
    <n v="0"/>
    <n v="0"/>
    <n v="0"/>
    <n v="82.82352941176471"/>
    <n v="0"/>
    <n v="0"/>
    <n v="0"/>
    <n v="0"/>
    <n v="0"/>
    <n v="0"/>
    <n v="0"/>
    <n v="0"/>
    <n v="42.44705882352941"/>
    <n v="0"/>
    <n v="50.72941176470588"/>
    <n v="0"/>
    <n v="0"/>
    <n v="176"/>
    <n v="0"/>
    <n v="0"/>
    <n v="0"/>
    <n v="0"/>
    <n v="0"/>
    <n v="0"/>
    <n v="3720.8531991131217"/>
    <n v="0"/>
    <n v="0"/>
    <n v="0"/>
    <n v="0"/>
    <n v="0"/>
    <n v="0"/>
    <n v="0"/>
    <n v="0"/>
    <n v="1906.9372645454748"/>
    <n v="0"/>
    <n v="2279.0225844567867"/>
    <n v="0"/>
    <n v="0"/>
  </r>
  <r>
    <x v="7"/>
    <s v="January"/>
    <x v="1"/>
    <n v="36.688504807692304"/>
    <n v="0.22450000000000001"/>
    <n v="44.925074137019223"/>
    <m/>
    <m/>
    <m/>
    <x v="0"/>
    <m/>
    <m/>
    <n v="88"/>
    <m/>
    <m/>
    <m/>
    <m/>
    <m/>
    <m/>
    <m/>
    <m/>
    <n v="20"/>
    <m/>
    <n v="68"/>
    <m/>
    <m/>
    <n v="176"/>
    <n v="184"/>
    <n v="8"/>
    <n v="0"/>
    <n v="0"/>
    <n v="0"/>
    <n v="0"/>
    <n v="0"/>
    <n v="0"/>
    <n v="92"/>
    <n v="0"/>
    <n v="0"/>
    <n v="0"/>
    <n v="0"/>
    <n v="0"/>
    <n v="0"/>
    <n v="0"/>
    <n v="0"/>
    <n v="20.90909090909091"/>
    <n v="0"/>
    <n v="71.090909090909093"/>
    <n v="0"/>
    <n v="0"/>
    <n v="184"/>
    <n v="0"/>
    <n v="0"/>
    <n v="0"/>
    <n v="0"/>
    <n v="0"/>
    <n v="0"/>
    <n v="4133.1068206057689"/>
    <n v="0"/>
    <n v="0"/>
    <n v="0"/>
    <n v="0"/>
    <n v="0"/>
    <n v="0"/>
    <n v="0"/>
    <n v="0"/>
    <n v="939.34245922858383"/>
    <n v="0"/>
    <n v="3193.7643613771847"/>
    <n v="0"/>
    <n v="0"/>
  </r>
  <r>
    <x v="7"/>
    <s v="May"/>
    <x v="1"/>
    <n v="36.688504807692304"/>
    <n v="0.22450000000000001"/>
    <n v="44.925074137019223"/>
    <m/>
    <m/>
    <m/>
    <x v="0"/>
    <m/>
    <m/>
    <n v="80"/>
    <m/>
    <m/>
    <m/>
    <m/>
    <m/>
    <m/>
    <m/>
    <m/>
    <n v="68"/>
    <m/>
    <n v="28"/>
    <m/>
    <m/>
    <n v="176"/>
    <n v="176"/>
    <n v="0"/>
    <n v="0"/>
    <n v="0"/>
    <n v="0"/>
    <n v="0"/>
    <n v="0"/>
    <n v="0"/>
    <n v="80"/>
    <n v="0"/>
    <n v="0"/>
    <n v="0"/>
    <n v="0"/>
    <n v="0"/>
    <n v="0"/>
    <n v="0"/>
    <n v="0"/>
    <n v="68"/>
    <n v="0"/>
    <n v="28"/>
    <n v="0"/>
    <n v="0"/>
    <n v="176"/>
    <n v="0"/>
    <n v="0"/>
    <n v="0"/>
    <n v="0"/>
    <n v="0"/>
    <n v="0"/>
    <n v="3594.0059309615381"/>
    <n v="0"/>
    <n v="0"/>
    <n v="0"/>
    <n v="0"/>
    <n v="0"/>
    <n v="0"/>
    <n v="0"/>
    <n v="0"/>
    <n v="3054.9050413173072"/>
    <n v="0"/>
    <n v="1257.9020758365382"/>
    <n v="0"/>
    <n v="0"/>
  </r>
  <r>
    <x v="7"/>
    <s v="September"/>
    <x v="1"/>
    <n v="36.688504807692304"/>
    <n v="0.22450000000000001"/>
    <n v="44.925074137019223"/>
    <m/>
    <m/>
    <m/>
    <x v="0"/>
    <m/>
    <m/>
    <n v="81"/>
    <m/>
    <m/>
    <m/>
    <m/>
    <m/>
    <m/>
    <m/>
    <m/>
    <n v="74"/>
    <m/>
    <n v="21"/>
    <m/>
    <m/>
    <n v="176"/>
    <n v="176"/>
    <n v="0"/>
    <n v="0"/>
    <n v="0"/>
    <n v="0"/>
    <n v="0"/>
    <n v="0"/>
    <n v="0"/>
    <n v="81"/>
    <n v="0"/>
    <n v="0"/>
    <n v="0"/>
    <n v="0"/>
    <n v="0"/>
    <n v="0"/>
    <n v="0"/>
    <n v="0"/>
    <n v="74"/>
    <n v="0"/>
    <n v="21"/>
    <n v="0"/>
    <n v="0"/>
    <n v="176"/>
    <n v="0"/>
    <n v="0"/>
    <n v="0"/>
    <n v="0"/>
    <n v="0"/>
    <n v="0"/>
    <n v="3638.9310050985569"/>
    <n v="0"/>
    <n v="0"/>
    <n v="0"/>
    <n v="0"/>
    <n v="0"/>
    <n v="0"/>
    <n v="0"/>
    <n v="0"/>
    <n v="3324.4554861394226"/>
    <n v="0"/>
    <n v="943.42655687740364"/>
    <n v="0"/>
    <n v="0"/>
  </r>
  <r>
    <x v="7"/>
    <s v="June"/>
    <x v="1"/>
    <n v="36.688504807692304"/>
    <n v="0.22450000000000001"/>
    <n v="44.925074137019223"/>
    <m/>
    <m/>
    <m/>
    <x v="0"/>
    <m/>
    <m/>
    <n v="80"/>
    <m/>
    <m/>
    <m/>
    <m/>
    <m/>
    <m/>
    <m/>
    <m/>
    <n v="36"/>
    <m/>
    <n v="68"/>
    <m/>
    <m/>
    <n v="184"/>
    <n v="168"/>
    <n v="-16"/>
    <n v="0"/>
    <n v="0"/>
    <n v="0"/>
    <n v="0"/>
    <n v="0"/>
    <n v="0"/>
    <n v="73.043478260869563"/>
    <n v="0"/>
    <n v="0"/>
    <n v="0"/>
    <n v="0"/>
    <n v="0"/>
    <n v="0"/>
    <n v="0"/>
    <n v="0"/>
    <n v="32.869565217391305"/>
    <n v="0"/>
    <n v="62.086956521739125"/>
    <n v="0"/>
    <n v="0"/>
    <n v="168"/>
    <n v="0"/>
    <n v="0"/>
    <n v="0"/>
    <n v="0"/>
    <n v="0"/>
    <n v="0"/>
    <n v="3281.4836760953172"/>
    <n v="0"/>
    <n v="0"/>
    <n v="0"/>
    <n v="0"/>
    <n v="0"/>
    <n v="0"/>
    <n v="0"/>
    <n v="0"/>
    <n v="1476.6676542428927"/>
    <n v="0"/>
    <n v="2789.2611246810193"/>
    <n v="0"/>
    <n v="0"/>
  </r>
  <r>
    <x v="7"/>
    <s v="October"/>
    <x v="1"/>
    <n v="36.688504807692304"/>
    <n v="0.22450000000000001"/>
    <n v="44.925074137019223"/>
    <m/>
    <m/>
    <m/>
    <x v="0"/>
    <m/>
    <m/>
    <n v="84"/>
    <m/>
    <m/>
    <m/>
    <m/>
    <m/>
    <m/>
    <m/>
    <m/>
    <n v="76"/>
    <m/>
    <n v="24"/>
    <m/>
    <m/>
    <n v="184"/>
    <n v="184"/>
    <n v="0"/>
    <n v="0"/>
    <n v="0"/>
    <n v="0"/>
    <n v="0"/>
    <n v="0"/>
    <n v="0"/>
    <n v="84"/>
    <n v="0"/>
    <n v="0"/>
    <n v="0"/>
    <n v="0"/>
    <n v="0"/>
    <n v="0"/>
    <n v="0"/>
    <n v="0"/>
    <n v="76"/>
    <n v="0"/>
    <n v="24"/>
    <n v="0"/>
    <n v="0"/>
    <n v="184"/>
    <n v="0"/>
    <n v="0"/>
    <n v="0"/>
    <n v="0"/>
    <n v="0"/>
    <n v="0"/>
    <n v="3773.7062275096146"/>
    <n v="0"/>
    <n v="0"/>
    <n v="0"/>
    <n v="0"/>
    <n v="0"/>
    <n v="0"/>
    <n v="0"/>
    <n v="0"/>
    <n v="3414.3056344134611"/>
    <n v="0"/>
    <n v="1078.2017792884612"/>
    <n v="0"/>
    <n v="0"/>
  </r>
  <r>
    <x v="7"/>
    <s v="December"/>
    <x v="1"/>
    <n v="36.688504807692304"/>
    <n v="0.22450000000000001"/>
    <n v="44.925074137019223"/>
    <m/>
    <m/>
    <m/>
    <x v="0"/>
    <m/>
    <m/>
    <n v="80"/>
    <m/>
    <m/>
    <m/>
    <m/>
    <m/>
    <m/>
    <m/>
    <m/>
    <n v="75"/>
    <m/>
    <n v="29"/>
    <m/>
    <m/>
    <n v="184"/>
    <n v="184"/>
    <n v="0"/>
    <n v="0"/>
    <n v="0"/>
    <n v="0"/>
    <n v="0"/>
    <n v="0"/>
    <n v="0"/>
    <n v="80"/>
    <n v="0"/>
    <n v="0"/>
    <n v="0"/>
    <n v="0"/>
    <n v="0"/>
    <n v="0"/>
    <n v="0"/>
    <n v="0"/>
    <n v="75"/>
    <n v="0"/>
    <n v="29"/>
    <n v="0"/>
    <n v="0"/>
    <n v="184"/>
    <n v="0"/>
    <n v="0"/>
    <n v="0"/>
    <n v="0"/>
    <n v="0"/>
    <n v="0"/>
    <n v="3594.0059309615381"/>
    <n v="0"/>
    <n v="0"/>
    <n v="0"/>
    <n v="0"/>
    <n v="0"/>
    <n v="0"/>
    <n v="0"/>
    <n v="0"/>
    <n v="3369.3805602764419"/>
    <n v="0"/>
    <n v="1302.8271499735574"/>
    <n v="0"/>
    <n v="0"/>
  </r>
  <r>
    <x v="7"/>
    <s v="July"/>
    <x v="1"/>
    <n v="36.688504807692304"/>
    <n v="0.22450000000000001"/>
    <n v="44.925074137019223"/>
    <m/>
    <m/>
    <m/>
    <x v="0"/>
    <m/>
    <m/>
    <n v="80"/>
    <m/>
    <m/>
    <m/>
    <m/>
    <m/>
    <m/>
    <m/>
    <m/>
    <n v="64"/>
    <m/>
    <n v="56"/>
    <m/>
    <m/>
    <n v="200"/>
    <n v="184"/>
    <n v="-16"/>
    <n v="0"/>
    <n v="0"/>
    <n v="0"/>
    <n v="0"/>
    <n v="0"/>
    <n v="0"/>
    <n v="73.600000000000009"/>
    <n v="0"/>
    <n v="0"/>
    <n v="0"/>
    <n v="0"/>
    <n v="0"/>
    <n v="0"/>
    <n v="0"/>
    <n v="0"/>
    <n v="58.88"/>
    <n v="0"/>
    <n v="51.52"/>
    <n v="0"/>
    <n v="0"/>
    <n v="184.00000000000003"/>
    <n v="0"/>
    <n v="0"/>
    <n v="0"/>
    <n v="0"/>
    <n v="0"/>
    <n v="0"/>
    <n v="3306.485456484615"/>
    <n v="0"/>
    <n v="0"/>
    <n v="0"/>
    <n v="0"/>
    <n v="0"/>
    <n v="0"/>
    <n v="0"/>
    <n v="0"/>
    <n v="2645.1883651876919"/>
    <n v="0"/>
    <n v="2314.5398195392304"/>
    <n v="0"/>
    <n v="0"/>
  </r>
  <r>
    <x v="7"/>
    <s v="February"/>
    <x v="2"/>
    <n v="38.46153846153846"/>
    <n v="0.23630000000000001"/>
    <n v="47.55"/>
    <m/>
    <m/>
    <m/>
    <x v="0"/>
    <m/>
    <m/>
    <n v="100"/>
    <m/>
    <m/>
    <m/>
    <m/>
    <m/>
    <n v="43"/>
    <m/>
    <m/>
    <n v="20"/>
    <m/>
    <n v="14"/>
    <m/>
    <m/>
    <n v="177"/>
    <n v="160"/>
    <n v="-17"/>
    <n v="0"/>
    <n v="0"/>
    <n v="0"/>
    <n v="0"/>
    <n v="0"/>
    <n v="0"/>
    <n v="90.395480225988706"/>
    <n v="0"/>
    <n v="0"/>
    <n v="0"/>
    <n v="0"/>
    <n v="0"/>
    <n v="38.870056497175142"/>
    <n v="0"/>
    <n v="0"/>
    <n v="18.07909604519774"/>
    <n v="0"/>
    <n v="12.655367231638419"/>
    <n v="0"/>
    <n v="0"/>
    <n v="160"/>
    <n v="0"/>
    <n v="0"/>
    <n v="0"/>
    <n v="0"/>
    <n v="0"/>
    <n v="0"/>
    <n v="4298.3050847457625"/>
    <n v="0"/>
    <n v="0"/>
    <n v="0"/>
    <n v="0"/>
    <n v="0"/>
    <n v="1848.2711864406779"/>
    <n v="0"/>
    <n v="0"/>
    <n v="859.66101694915255"/>
    <n v="0"/>
    <n v="601.76271186440681"/>
    <n v="0"/>
    <n v="0"/>
  </r>
  <r>
    <x v="7"/>
    <s v="May"/>
    <x v="2"/>
    <n v="38.46153846153846"/>
    <n v="0.23630000000000001"/>
    <n v="47.55"/>
    <m/>
    <m/>
    <m/>
    <x v="0"/>
    <m/>
    <m/>
    <n v="102"/>
    <m/>
    <m/>
    <m/>
    <m/>
    <m/>
    <n v="41"/>
    <m/>
    <m/>
    <n v="20"/>
    <m/>
    <n v="21"/>
    <m/>
    <m/>
    <n v="184"/>
    <n v="168"/>
    <n v="-16"/>
    <n v="0"/>
    <n v="0"/>
    <n v="0"/>
    <n v="0"/>
    <n v="0"/>
    <n v="0"/>
    <n v="93.130434782608702"/>
    <n v="0"/>
    <n v="0"/>
    <n v="0"/>
    <n v="0"/>
    <n v="0"/>
    <n v="37.434782608695649"/>
    <n v="0"/>
    <n v="0"/>
    <n v="18.260869565217391"/>
    <n v="0"/>
    <n v="19.173913043478258"/>
    <n v="0"/>
    <n v="0"/>
    <n v="168"/>
    <n v="0"/>
    <n v="0"/>
    <n v="0"/>
    <n v="0"/>
    <n v="0"/>
    <n v="0"/>
    <n v="4428.3521739130438"/>
    <n v="0"/>
    <n v="0"/>
    <n v="0"/>
    <n v="0"/>
    <n v="0"/>
    <n v="1780.0239130434779"/>
    <n v="0"/>
    <n v="0"/>
    <n v="868.30434782608688"/>
    <n v="0"/>
    <n v="911.71956521739116"/>
    <n v="0"/>
    <n v="0"/>
  </r>
  <r>
    <x v="7"/>
    <s v="April"/>
    <x v="2"/>
    <n v="38.46153846153846"/>
    <n v="0.23630000000000001"/>
    <n v="47.55"/>
    <m/>
    <m/>
    <m/>
    <x v="0"/>
    <m/>
    <m/>
    <n v="102"/>
    <m/>
    <m/>
    <m/>
    <m/>
    <m/>
    <n v="41"/>
    <m/>
    <m/>
    <n v="21"/>
    <m/>
    <n v="21"/>
    <m/>
    <m/>
    <n v="185"/>
    <n v="176"/>
    <n v="-9"/>
    <n v="0"/>
    <n v="0"/>
    <n v="0"/>
    <n v="0"/>
    <n v="0"/>
    <n v="0"/>
    <n v="97.037837837837841"/>
    <n v="0"/>
    <n v="0"/>
    <n v="0"/>
    <n v="0"/>
    <n v="0"/>
    <n v="39.005405405405405"/>
    <n v="0"/>
    <n v="0"/>
    <n v="19.97837837837838"/>
    <n v="0"/>
    <n v="19.97837837837838"/>
    <n v="0"/>
    <n v="0"/>
    <n v="176"/>
    <n v="0"/>
    <n v="0"/>
    <n v="0"/>
    <n v="0"/>
    <n v="0"/>
    <n v="0"/>
    <n v="4614.1491891891892"/>
    <n v="0"/>
    <n v="0"/>
    <n v="0"/>
    <n v="0"/>
    <n v="0"/>
    <n v="1854.7070270270269"/>
    <n v="0"/>
    <n v="0"/>
    <n v="949.97189189189191"/>
    <n v="0"/>
    <n v="949.97189189189191"/>
    <n v="0"/>
    <n v="0"/>
  </r>
  <r>
    <x v="7"/>
    <s v="June"/>
    <x v="2"/>
    <n v="38.46153846153846"/>
    <n v="0.23630000000000001"/>
    <n v="47.55"/>
    <m/>
    <m/>
    <m/>
    <x v="0"/>
    <m/>
    <m/>
    <n v="102"/>
    <m/>
    <m/>
    <m/>
    <m/>
    <m/>
    <n v="41"/>
    <m/>
    <m/>
    <n v="21"/>
    <m/>
    <n v="21"/>
    <m/>
    <m/>
    <n v="185"/>
    <n v="176"/>
    <n v="-9"/>
    <n v="0"/>
    <n v="0"/>
    <n v="0"/>
    <n v="0"/>
    <n v="0"/>
    <n v="0"/>
    <n v="97.037837837837841"/>
    <n v="0"/>
    <n v="0"/>
    <n v="0"/>
    <n v="0"/>
    <n v="0"/>
    <n v="39.005405405405405"/>
    <n v="0"/>
    <n v="0"/>
    <n v="19.97837837837838"/>
    <n v="0"/>
    <n v="19.97837837837838"/>
    <n v="0"/>
    <n v="0"/>
    <n v="176"/>
    <n v="0"/>
    <n v="0"/>
    <n v="0"/>
    <n v="0"/>
    <n v="0"/>
    <n v="0"/>
    <n v="4614.1491891891892"/>
    <n v="0"/>
    <n v="0"/>
    <n v="0"/>
    <n v="0"/>
    <n v="0"/>
    <n v="1854.7070270270269"/>
    <n v="0"/>
    <n v="0"/>
    <n v="949.97189189189191"/>
    <n v="0"/>
    <n v="949.97189189189191"/>
    <n v="0"/>
    <n v="0"/>
  </r>
  <r>
    <x v="7"/>
    <s v="January"/>
    <x v="2"/>
    <n v="38.46153846153846"/>
    <n v="0.23630000000000001"/>
    <n v="47.55"/>
    <m/>
    <m/>
    <m/>
    <x v="0"/>
    <m/>
    <m/>
    <n v="101"/>
    <m/>
    <m/>
    <m/>
    <m/>
    <m/>
    <n v="41"/>
    <m/>
    <m/>
    <n v="22"/>
    <m/>
    <n v="22"/>
    <m/>
    <m/>
    <n v="186"/>
    <n v="176"/>
    <n v="-10"/>
    <n v="0"/>
    <n v="0"/>
    <n v="0"/>
    <n v="0"/>
    <n v="0"/>
    <n v="0"/>
    <n v="95.569892473118273"/>
    <n v="0"/>
    <n v="0"/>
    <n v="0"/>
    <n v="0"/>
    <n v="0"/>
    <n v="38.795698924731184"/>
    <n v="0"/>
    <n v="0"/>
    <n v="20.817204301075272"/>
    <n v="0"/>
    <n v="20.817204301075272"/>
    <n v="0"/>
    <n v="0"/>
    <n v="176"/>
    <n v="0"/>
    <n v="0"/>
    <n v="0"/>
    <n v="0"/>
    <n v="0"/>
    <n v="0"/>
    <n v="4544.3483870967739"/>
    <n v="0"/>
    <n v="0"/>
    <n v="0"/>
    <n v="0"/>
    <n v="0"/>
    <n v="1844.7354838709678"/>
    <n v="0"/>
    <n v="0"/>
    <n v="989.85806451612916"/>
    <n v="0"/>
    <n v="989.85806451612916"/>
    <n v="0"/>
    <n v="0"/>
  </r>
  <r>
    <x v="7"/>
    <s v="July"/>
    <x v="2"/>
    <n v="38.46153846153846"/>
    <n v="0.23630000000000001"/>
    <n v="47.55"/>
    <m/>
    <m/>
    <m/>
    <x v="0"/>
    <m/>
    <m/>
    <n v="104"/>
    <m/>
    <m/>
    <m/>
    <m/>
    <m/>
    <n v="42"/>
    <m/>
    <m/>
    <n v="21"/>
    <m/>
    <n v="21"/>
    <m/>
    <m/>
    <n v="188"/>
    <n v="184"/>
    <n v="-4"/>
    <n v="0"/>
    <n v="0"/>
    <n v="0"/>
    <n v="0"/>
    <n v="0"/>
    <n v="0"/>
    <n v="101.78723404255319"/>
    <n v="0"/>
    <n v="0"/>
    <n v="0"/>
    <n v="0"/>
    <n v="0"/>
    <n v="41.106382978723403"/>
    <n v="0"/>
    <n v="0"/>
    <n v="20.553191489361701"/>
    <n v="0"/>
    <n v="20.553191489361701"/>
    <n v="0"/>
    <n v="0"/>
    <n v="184"/>
    <n v="0"/>
    <n v="0"/>
    <n v="0"/>
    <n v="0"/>
    <n v="0"/>
    <n v="0"/>
    <n v="4839.9829787234039"/>
    <n v="0"/>
    <n v="0"/>
    <n v="0"/>
    <n v="0"/>
    <n v="0"/>
    <n v="1954.6085106382977"/>
    <n v="0"/>
    <n v="0"/>
    <n v="977.30425531914887"/>
    <n v="0"/>
    <n v="977.30425531914887"/>
    <n v="0"/>
    <n v="0"/>
  </r>
  <r>
    <x v="7"/>
    <s v="August"/>
    <x v="2"/>
    <n v="38.46153846153846"/>
    <n v="0.23630000000000001"/>
    <n v="47.55"/>
    <m/>
    <m/>
    <m/>
    <x v="0"/>
    <m/>
    <m/>
    <m/>
    <m/>
    <m/>
    <m/>
    <m/>
    <m/>
    <n v="63"/>
    <m/>
    <m/>
    <n v="84"/>
    <m/>
    <n v="21"/>
    <m/>
    <m/>
    <n v="168"/>
    <n v="176"/>
    <n v="8"/>
    <n v="0"/>
    <n v="0"/>
    <n v="0"/>
    <n v="0"/>
    <n v="0"/>
    <n v="0"/>
    <n v="0"/>
    <n v="0"/>
    <n v="0"/>
    <n v="0"/>
    <n v="0"/>
    <n v="0"/>
    <n v="66"/>
    <n v="0"/>
    <n v="0"/>
    <n v="88"/>
    <n v="0"/>
    <n v="22"/>
    <n v="0"/>
    <n v="0"/>
    <n v="176"/>
    <n v="0"/>
    <n v="0"/>
    <n v="0"/>
    <n v="0"/>
    <n v="0"/>
    <n v="0"/>
    <n v="0"/>
    <n v="0"/>
    <n v="0"/>
    <n v="0"/>
    <n v="0"/>
    <n v="0"/>
    <n v="3138.2999999999997"/>
    <n v="0"/>
    <n v="0"/>
    <n v="4184.3999999999996"/>
    <n v="0"/>
    <n v="1046.0999999999999"/>
    <n v="0"/>
    <n v="0"/>
  </r>
  <r>
    <x v="7"/>
    <s v="March"/>
    <x v="2"/>
    <n v="38.46153846153846"/>
    <n v="0.23630000000000001"/>
    <n v="47.55"/>
    <m/>
    <m/>
    <m/>
    <x v="0"/>
    <m/>
    <m/>
    <n v="109"/>
    <m/>
    <m/>
    <m/>
    <m/>
    <m/>
    <n v="44"/>
    <m/>
    <m/>
    <n v="22"/>
    <m/>
    <n v="18"/>
    <m/>
    <m/>
    <n v="193"/>
    <n v="176"/>
    <n v="-17"/>
    <n v="0"/>
    <n v="0"/>
    <n v="0"/>
    <n v="0"/>
    <n v="0"/>
    <n v="0"/>
    <n v="99.398963730569946"/>
    <n v="0"/>
    <n v="0"/>
    <n v="0"/>
    <n v="0"/>
    <n v="0"/>
    <n v="40.124352331606218"/>
    <n v="0"/>
    <n v="0"/>
    <n v="20.062176165803109"/>
    <n v="0"/>
    <n v="16.414507772020727"/>
    <n v="0"/>
    <n v="0"/>
    <n v="176"/>
    <n v="0"/>
    <n v="0"/>
    <n v="0"/>
    <n v="0"/>
    <n v="0"/>
    <n v="0"/>
    <n v="4726.4207253886007"/>
    <n v="0"/>
    <n v="0"/>
    <n v="0"/>
    <n v="0"/>
    <n v="0"/>
    <n v="1907.9129533678756"/>
    <n v="0"/>
    <n v="0"/>
    <n v="953.95647668393781"/>
    <n v="0"/>
    <n v="780.50984455958553"/>
    <n v="0"/>
    <n v="0"/>
  </r>
  <r>
    <x v="8"/>
    <s v="December"/>
    <x v="0"/>
    <n v="34.301024038461541"/>
    <n v="0.1913"/>
    <n v="40.862809937019236"/>
    <m/>
    <m/>
    <m/>
    <x v="0"/>
    <m/>
    <m/>
    <n v="0"/>
    <m/>
    <m/>
    <m/>
    <m/>
    <m/>
    <n v="2.5"/>
    <m/>
    <m/>
    <n v="11.99"/>
    <m/>
    <m/>
    <m/>
    <m/>
    <n v="14.49"/>
    <n v="14.49"/>
    <n v="0"/>
    <n v="0"/>
    <n v="0"/>
    <n v="0"/>
    <n v="0"/>
    <n v="0"/>
    <n v="0"/>
    <n v="0"/>
    <n v="0"/>
    <n v="0"/>
    <n v="0"/>
    <n v="0"/>
    <n v="0"/>
    <n v="2.5"/>
    <n v="0"/>
    <n v="0"/>
    <n v="11.99"/>
    <n v="0"/>
    <n v="0"/>
    <n v="0"/>
    <n v="0"/>
    <n v="14.49"/>
    <n v="0"/>
    <n v="0"/>
    <n v="0"/>
    <n v="0"/>
    <n v="0"/>
    <n v="0"/>
    <n v="0"/>
    <n v="0"/>
    <n v="0"/>
    <n v="0"/>
    <n v="0"/>
    <n v="0"/>
    <n v="102.15702484254808"/>
    <n v="0"/>
    <n v="0"/>
    <n v="489.94509114486067"/>
    <n v="0"/>
    <n v="0"/>
    <n v="0"/>
    <n v="0"/>
  </r>
  <r>
    <x v="8"/>
    <s v="October"/>
    <x v="0"/>
    <n v="34.301024038461541"/>
    <n v="0.1913"/>
    <n v="40.862809937019236"/>
    <m/>
    <m/>
    <m/>
    <x v="0"/>
    <m/>
    <m/>
    <n v="0"/>
    <m/>
    <m/>
    <m/>
    <m/>
    <m/>
    <n v="3"/>
    <m/>
    <m/>
    <n v="4.3499999999999996"/>
    <m/>
    <m/>
    <m/>
    <m/>
    <n v="7.35"/>
    <n v="7.35"/>
    <n v="0"/>
    <n v="0"/>
    <n v="0"/>
    <n v="0"/>
    <n v="0"/>
    <n v="0"/>
    <n v="0"/>
    <n v="0"/>
    <n v="0"/>
    <n v="0"/>
    <n v="0"/>
    <n v="0"/>
    <n v="0"/>
    <n v="3"/>
    <n v="0"/>
    <n v="0"/>
    <n v="4.3499999999999996"/>
    <n v="0"/>
    <n v="0"/>
    <n v="0"/>
    <n v="0"/>
    <n v="7.35"/>
    <n v="0"/>
    <n v="0"/>
    <n v="0"/>
    <n v="0"/>
    <n v="0"/>
    <n v="0"/>
    <n v="0"/>
    <n v="0"/>
    <n v="0"/>
    <n v="0"/>
    <n v="0"/>
    <n v="0"/>
    <n v="122.58842981105771"/>
    <n v="0"/>
    <n v="0"/>
    <n v="177.75322322603367"/>
    <n v="0"/>
    <n v="0"/>
    <n v="0"/>
    <n v="0"/>
  </r>
  <r>
    <x v="8"/>
    <s v="November"/>
    <x v="0"/>
    <n v="34.301024038461541"/>
    <n v="0.1913"/>
    <n v="40.862809937019236"/>
    <m/>
    <m/>
    <m/>
    <x v="0"/>
    <m/>
    <m/>
    <m/>
    <m/>
    <m/>
    <m/>
    <m/>
    <m/>
    <m/>
    <m/>
    <m/>
    <n v="11.49"/>
    <m/>
    <m/>
    <m/>
    <m/>
    <n v="11.49"/>
    <n v="11.49"/>
    <n v="0"/>
    <n v="0"/>
    <n v="0"/>
    <n v="0"/>
    <n v="0"/>
    <n v="0"/>
    <n v="0"/>
    <n v="0"/>
    <n v="0"/>
    <n v="0"/>
    <n v="0"/>
    <n v="0"/>
    <n v="0"/>
    <n v="0"/>
    <n v="0"/>
    <n v="0"/>
    <n v="11.49"/>
    <n v="0"/>
    <n v="0"/>
    <n v="0"/>
    <n v="0"/>
    <n v="11.49"/>
    <n v="0"/>
    <n v="0"/>
    <n v="0"/>
    <n v="0"/>
    <n v="0"/>
    <n v="0"/>
    <n v="0"/>
    <n v="0"/>
    <n v="0"/>
    <n v="0"/>
    <n v="0"/>
    <n v="0"/>
    <n v="0"/>
    <n v="0"/>
    <n v="0"/>
    <n v="469.51368617635103"/>
    <n v="0"/>
    <n v="0"/>
    <n v="0"/>
    <n v="0"/>
  </r>
  <r>
    <x v="8"/>
    <s v="February"/>
    <x v="0"/>
    <n v="34.301024038461541"/>
    <n v="0.1913"/>
    <n v="40.862809937019236"/>
    <m/>
    <m/>
    <m/>
    <x v="0"/>
    <m/>
    <m/>
    <n v="1.5"/>
    <m/>
    <m/>
    <m/>
    <m/>
    <m/>
    <m/>
    <m/>
    <m/>
    <m/>
    <m/>
    <m/>
    <m/>
    <m/>
    <n v="1.5"/>
    <n v="1.5"/>
    <n v="0"/>
    <n v="0"/>
    <n v="0"/>
    <n v="0"/>
    <n v="0"/>
    <n v="0"/>
    <n v="0"/>
    <n v="1.5"/>
    <n v="0"/>
    <n v="0"/>
    <n v="0"/>
    <n v="0"/>
    <n v="0"/>
    <n v="0"/>
    <n v="0"/>
    <n v="0"/>
    <n v="0"/>
    <n v="0"/>
    <n v="0"/>
    <n v="0"/>
    <n v="0"/>
    <n v="1.5"/>
    <n v="0"/>
    <n v="0"/>
    <n v="0"/>
    <n v="0"/>
    <n v="0"/>
    <n v="0"/>
    <n v="61.294214905528854"/>
    <n v="0"/>
    <n v="0"/>
    <n v="0"/>
    <n v="0"/>
    <n v="0"/>
    <n v="0"/>
    <n v="0"/>
    <n v="0"/>
    <n v="0"/>
    <n v="0"/>
    <n v="0"/>
    <n v="0"/>
    <n v="0"/>
  </r>
  <r>
    <x v="8"/>
    <s v="March"/>
    <x v="0"/>
    <n v="34.301024038461541"/>
    <n v="0.1913"/>
    <n v="40.862809937019236"/>
    <m/>
    <m/>
    <m/>
    <x v="0"/>
    <m/>
    <m/>
    <n v="3"/>
    <m/>
    <m/>
    <m/>
    <m/>
    <m/>
    <m/>
    <m/>
    <m/>
    <m/>
    <m/>
    <m/>
    <m/>
    <m/>
    <n v="3"/>
    <n v="3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122.58842981105771"/>
    <n v="0"/>
    <n v="0"/>
    <n v="0"/>
    <n v="0"/>
    <n v="0"/>
    <n v="0"/>
    <n v="0"/>
    <n v="0"/>
    <n v="0"/>
    <n v="0"/>
    <n v="0"/>
    <n v="0"/>
    <n v="0"/>
  </r>
  <r>
    <x v="8"/>
    <s v="April"/>
    <x v="0"/>
    <n v="34.301024038461541"/>
    <n v="0.1913"/>
    <n v="40.862809937019236"/>
    <m/>
    <m/>
    <m/>
    <x v="0"/>
    <m/>
    <m/>
    <n v="2.5"/>
    <m/>
    <m/>
    <m/>
    <m/>
    <m/>
    <m/>
    <m/>
    <m/>
    <m/>
    <m/>
    <m/>
    <m/>
    <m/>
    <n v="2.5"/>
    <n v="2.5"/>
    <n v="0"/>
    <n v="0"/>
    <n v="0"/>
    <n v="0"/>
    <n v="0"/>
    <n v="0"/>
    <n v="0"/>
    <n v="2.5"/>
    <n v="0"/>
    <n v="0"/>
    <n v="0"/>
    <n v="0"/>
    <n v="0"/>
    <n v="0"/>
    <n v="0"/>
    <n v="0"/>
    <n v="0"/>
    <n v="0"/>
    <n v="0"/>
    <n v="0"/>
    <n v="0"/>
    <n v="2.5"/>
    <n v="0"/>
    <n v="0"/>
    <n v="0"/>
    <n v="0"/>
    <n v="0"/>
    <n v="0"/>
    <n v="102.15702484254808"/>
    <n v="0"/>
    <n v="0"/>
    <n v="0"/>
    <n v="0"/>
    <n v="0"/>
    <n v="0"/>
    <n v="0"/>
    <n v="0"/>
    <n v="0"/>
    <n v="0"/>
    <n v="0"/>
    <n v="0"/>
    <n v="0"/>
  </r>
  <r>
    <x v="8"/>
    <s v="May"/>
    <x v="0"/>
    <n v="34.301024038461541"/>
    <n v="0.1913"/>
    <n v="40.862809937019236"/>
    <m/>
    <m/>
    <m/>
    <x v="0"/>
    <m/>
    <m/>
    <n v="12"/>
    <m/>
    <m/>
    <m/>
    <m/>
    <m/>
    <m/>
    <m/>
    <m/>
    <m/>
    <m/>
    <m/>
    <m/>
    <m/>
    <n v="12"/>
    <n v="12"/>
    <n v="0"/>
    <n v="0"/>
    <n v="0"/>
    <n v="0"/>
    <n v="0"/>
    <n v="0"/>
    <n v="0"/>
    <n v="12"/>
    <n v="0"/>
    <n v="0"/>
    <n v="0"/>
    <n v="0"/>
    <n v="0"/>
    <n v="0"/>
    <n v="0"/>
    <n v="0"/>
    <n v="0"/>
    <n v="0"/>
    <n v="0"/>
    <n v="0"/>
    <n v="0"/>
    <n v="12"/>
    <n v="0"/>
    <n v="0"/>
    <n v="0"/>
    <n v="0"/>
    <n v="0"/>
    <n v="0"/>
    <n v="490.35371924423083"/>
    <n v="0"/>
    <n v="0"/>
    <n v="0"/>
    <n v="0"/>
    <n v="0"/>
    <n v="0"/>
    <n v="0"/>
    <n v="0"/>
    <n v="0"/>
    <n v="0"/>
    <n v="0"/>
    <n v="0"/>
    <n v="0"/>
  </r>
  <r>
    <x v="8"/>
    <s v="June"/>
    <x v="0"/>
    <n v="34.301024038461541"/>
    <n v="0.1913"/>
    <n v="40.862809937019236"/>
    <m/>
    <m/>
    <m/>
    <x v="0"/>
    <m/>
    <m/>
    <n v="0.5"/>
    <m/>
    <m/>
    <m/>
    <m/>
    <m/>
    <m/>
    <m/>
    <m/>
    <m/>
    <m/>
    <m/>
    <m/>
    <m/>
    <n v="0.5"/>
    <n v="0.5"/>
    <n v="0"/>
    <n v="0"/>
    <n v="0"/>
    <n v="0"/>
    <n v="0"/>
    <n v="0"/>
    <n v="0"/>
    <n v="0.5"/>
    <n v="0"/>
    <n v="0"/>
    <n v="0"/>
    <n v="0"/>
    <n v="0"/>
    <n v="0"/>
    <n v="0"/>
    <n v="0"/>
    <n v="0"/>
    <n v="0"/>
    <n v="0"/>
    <n v="0"/>
    <n v="0"/>
    <n v="0.5"/>
    <n v="0"/>
    <n v="0"/>
    <n v="0"/>
    <n v="0"/>
    <n v="0"/>
    <n v="0"/>
    <n v="20.431404968509618"/>
    <n v="0"/>
    <n v="0"/>
    <n v="0"/>
    <n v="0"/>
    <n v="0"/>
    <n v="0"/>
    <n v="0"/>
    <n v="0"/>
    <n v="0"/>
    <n v="0"/>
    <n v="0"/>
    <n v="0"/>
    <n v="0"/>
  </r>
  <r>
    <x v="8"/>
    <s v="July"/>
    <x v="0"/>
    <n v="34.301024038461541"/>
    <n v="0.1913"/>
    <n v="40.862809937019236"/>
    <m/>
    <m/>
    <m/>
    <x v="0"/>
    <m/>
    <m/>
    <n v="12.5"/>
    <m/>
    <m/>
    <m/>
    <m/>
    <m/>
    <m/>
    <m/>
    <m/>
    <m/>
    <m/>
    <m/>
    <m/>
    <m/>
    <n v="12.5"/>
    <n v="12.5"/>
    <n v="0"/>
    <n v="0"/>
    <n v="0"/>
    <n v="0"/>
    <n v="0"/>
    <n v="0"/>
    <n v="0"/>
    <n v="12.5"/>
    <n v="0"/>
    <n v="0"/>
    <n v="0"/>
    <n v="0"/>
    <n v="0"/>
    <n v="0"/>
    <n v="0"/>
    <n v="0"/>
    <n v="0"/>
    <n v="0"/>
    <n v="0"/>
    <n v="0"/>
    <n v="0"/>
    <n v="12.5"/>
    <n v="0"/>
    <n v="0"/>
    <n v="0"/>
    <n v="0"/>
    <n v="0"/>
    <n v="0"/>
    <n v="510.78512421274047"/>
    <n v="0"/>
    <n v="0"/>
    <n v="0"/>
    <n v="0"/>
    <n v="0"/>
    <n v="0"/>
    <n v="0"/>
    <n v="0"/>
    <n v="0"/>
    <n v="0"/>
    <n v="0"/>
    <n v="0"/>
    <n v="0"/>
  </r>
  <r>
    <x v="8"/>
    <s v="August"/>
    <x v="0"/>
    <n v="34.301024038461541"/>
    <n v="0.1913"/>
    <n v="40.862809937019236"/>
    <m/>
    <m/>
    <m/>
    <x v="0"/>
    <m/>
    <m/>
    <n v="2"/>
    <m/>
    <m/>
    <m/>
    <m/>
    <m/>
    <m/>
    <m/>
    <m/>
    <m/>
    <m/>
    <m/>
    <m/>
    <m/>
    <n v="2"/>
    <n v="2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81.725619874038472"/>
    <n v="0"/>
    <n v="0"/>
    <n v="0"/>
    <n v="0"/>
    <n v="0"/>
    <n v="0"/>
    <n v="0"/>
    <n v="0"/>
    <n v="0"/>
    <n v="0"/>
    <n v="0"/>
    <n v="0"/>
    <n v="0"/>
  </r>
  <r>
    <x v="8"/>
    <s v="March"/>
    <x v="1"/>
    <n v="34.287096153846157"/>
    <n v="0.22450000000000001"/>
    <n v="41.984549240384617"/>
    <m/>
    <n v="11.8"/>
    <m/>
    <x v="0"/>
    <m/>
    <m/>
    <n v="1"/>
    <n v="74.75"/>
    <n v="17.420000000000002"/>
    <n v="40"/>
    <m/>
    <m/>
    <n v="1"/>
    <n v="3.56"/>
    <m/>
    <n v="19"/>
    <m/>
    <m/>
    <m/>
    <n v="12.7"/>
    <n v="181.23"/>
    <n v="168"/>
    <n v="-13.22999999999999"/>
    <n v="0"/>
    <n v="10.938586326767092"/>
    <n v="0"/>
    <n v="0"/>
    <n v="0"/>
    <n v="0"/>
    <n v="0.92699884125144849"/>
    <n v="69.293163383545775"/>
    <n v="16.148319814600235"/>
    <n v="37.079953650057938"/>
    <n v="0"/>
    <n v="0"/>
    <n v="0.92699884125144849"/>
    <n v="3.3001158748551567"/>
    <n v="0"/>
    <n v="17.612977983777519"/>
    <n v="0"/>
    <n v="0"/>
    <n v="0"/>
    <n v="11.772885283893395"/>
    <n v="157.06141367323292"/>
    <n v="0"/>
    <n v="459.25161625635087"/>
    <n v="0"/>
    <n v="0"/>
    <n v="0"/>
    <n v="0"/>
    <n v="38.919628496300923"/>
    <n v="2909.242230098494"/>
    <n v="677.97992840556219"/>
    <n v="1556.7851398520368"/>
    <n v="0"/>
    <n v="0"/>
    <n v="38.919628496300923"/>
    <n v="138.55387744683128"/>
    <n v="0"/>
    <n v="739.47294142971737"/>
    <n v="0"/>
    <n v="0"/>
    <n v="0"/>
    <n v="494.27928190302163"/>
  </r>
  <r>
    <x v="8"/>
    <s v="April"/>
    <x v="1"/>
    <n v="34.287096153846157"/>
    <n v="0.22450000000000001"/>
    <n v="41.984549240384617"/>
    <m/>
    <n v="11.8"/>
    <m/>
    <x v="0"/>
    <m/>
    <m/>
    <n v="3"/>
    <n v="74.75"/>
    <n v="17.420000000000002"/>
    <n v="40"/>
    <m/>
    <m/>
    <n v="1"/>
    <n v="3.56"/>
    <m/>
    <n v="27"/>
    <m/>
    <m/>
    <m/>
    <n v="12.74"/>
    <n v="191.27"/>
    <n v="176"/>
    <n v="-15.27000000000001"/>
    <n v="0"/>
    <n v="10.857949495477598"/>
    <n v="0"/>
    <n v="0"/>
    <n v="0"/>
    <n v="0"/>
    <n v="2.760495634443457"/>
    <n v="68.78234955821614"/>
    <n v="16.029277984001673"/>
    <n v="36.806608459246092"/>
    <n v="0"/>
    <n v="0"/>
    <n v="0.92016521148115227"/>
    <n v="3.2757881528729018"/>
    <n v="0"/>
    <n v="24.844460709991111"/>
    <n v="0"/>
    <n v="0"/>
    <n v="0"/>
    <n v="11.72290479426988"/>
    <n v="165.14205050452239"/>
    <n v="0"/>
    <n v="455.86611524248855"/>
    <n v="0"/>
    <n v="0"/>
    <n v="0"/>
    <n v="0"/>
    <n v="115.89816489215809"/>
    <n v="2887.7959418962728"/>
    <n v="672.98201080713136"/>
    <n v="1545.3088652287745"/>
    <n v="0"/>
    <n v="0"/>
    <n v="38.632721630719359"/>
    <n v="137.53248900536093"/>
    <n v="0"/>
    <n v="1043.0834840294228"/>
    <n v="0"/>
    <n v="0"/>
    <n v="0"/>
    <n v="492.18087357536467"/>
  </r>
  <r>
    <x v="8"/>
    <s v="August"/>
    <x v="1"/>
    <n v="34.287096153846157"/>
    <n v="0.22450000000000001"/>
    <n v="41.984549240384617"/>
    <m/>
    <n v="11.8"/>
    <m/>
    <x v="0"/>
    <m/>
    <m/>
    <n v="1"/>
    <n v="74.75"/>
    <n v="17.420000000000002"/>
    <n v="40"/>
    <m/>
    <m/>
    <n v="1"/>
    <n v="3.56"/>
    <m/>
    <n v="6.71"/>
    <m/>
    <m/>
    <m/>
    <n v="12.74"/>
    <n v="168.98000000000002"/>
    <n v="168"/>
    <n v="-0.98000000000001819"/>
    <n v="0"/>
    <n v="11.731565865782931"/>
    <n v="0"/>
    <n v="0"/>
    <n v="0"/>
    <n v="0"/>
    <n v="0.99420049710024838"/>
    <n v="74.316487158243575"/>
    <n v="17.318972659486331"/>
    <n v="39.768019884009938"/>
    <n v="0"/>
    <n v="0"/>
    <n v="0.99420049710024838"/>
    <n v="3.5393537696768842"/>
    <n v="0"/>
    <n v="6.6710853355426671"/>
    <n v="0"/>
    <n v="0"/>
    <n v="0"/>
    <n v="12.666114333057166"/>
    <n v="156.2684341342171"/>
    <n v="0"/>
    <n v="492.54450475877888"/>
    <n v="0"/>
    <n v="0"/>
    <n v="0"/>
    <n v="0"/>
    <n v="41.741059725320241"/>
    <n v="3120.1442144676885"/>
    <n v="727.12926041507876"/>
    <n v="1669.6423890128099"/>
    <n v="0"/>
    <n v="0"/>
    <n v="41.741059725320241"/>
    <n v="148.59817262214005"/>
    <n v="0"/>
    <n v="280.08251075689884"/>
    <n v="0"/>
    <n v="0"/>
    <n v="0"/>
    <n v="531.78110090057999"/>
  </r>
  <r>
    <x v="8"/>
    <s v="October"/>
    <x v="1"/>
    <n v="34.287096153846157"/>
    <n v="0.22450000000000001"/>
    <n v="41.984549240384617"/>
    <m/>
    <n v="11.8"/>
    <m/>
    <x v="0"/>
    <m/>
    <m/>
    <n v="3"/>
    <n v="74.75"/>
    <n v="17.420000000000002"/>
    <n v="40"/>
    <m/>
    <m/>
    <n v="1"/>
    <n v="3.56"/>
    <m/>
    <n v="8.7100000000000009"/>
    <m/>
    <m/>
    <m/>
    <n v="12.74"/>
    <n v="172.98000000000002"/>
    <n v="184"/>
    <n v="11.019999999999982"/>
    <n v="0"/>
    <n v="12.551740085559024"/>
    <n v="0"/>
    <n v="0"/>
    <n v="0"/>
    <n v="0"/>
    <n v="3.1911203607353449"/>
    <n v="79.512082321655683"/>
    <n v="18.529772228003235"/>
    <n v="42.548271476471264"/>
    <n v="0"/>
    <n v="0"/>
    <n v="1.0637067869117816"/>
    <n v="3.7867961614059427"/>
    <n v="0"/>
    <n v="9.2648861140016177"/>
    <n v="0"/>
    <n v="0"/>
    <n v="0"/>
    <n v="13.551624465256097"/>
    <n v="171.44825991444094"/>
    <n v="0"/>
    <n v="526.97914967466227"/>
    <n v="0"/>
    <n v="0"/>
    <n v="0"/>
    <n v="0"/>
    <n v="133.97774991728701"/>
    <n v="3338.2789354390684"/>
    <n v="777.96413451971318"/>
    <n v="1786.36999889716"/>
    <n v="0"/>
    <n v="0"/>
    <n v="44.659249972429002"/>
    <n v="158.98692990184725"/>
    <n v="0"/>
    <n v="388.98206725985659"/>
    <n v="0"/>
    <n v="0"/>
    <n v="0"/>
    <n v="568.95884464874541"/>
  </r>
  <r>
    <x v="8"/>
    <s v="November"/>
    <x v="1"/>
    <n v="34.287096153846157"/>
    <n v="0.22450000000000001"/>
    <n v="41.984549240384617"/>
    <m/>
    <n v="11.8"/>
    <m/>
    <x v="0"/>
    <m/>
    <m/>
    <n v="1"/>
    <n v="74.75"/>
    <n v="17.420000000000002"/>
    <n v="40"/>
    <m/>
    <m/>
    <n v="1"/>
    <n v="3.56"/>
    <m/>
    <n v="12.46"/>
    <m/>
    <m/>
    <m/>
    <n v="12.74"/>
    <n v="174.73000000000002"/>
    <n v="160"/>
    <n v="-14.730000000000018"/>
    <n v="0"/>
    <n v="10.805242373948376"/>
    <n v="0"/>
    <n v="0"/>
    <n v="0"/>
    <n v="0"/>
    <n v="0.9156985062668116"/>
    <n v="68.448463343444161"/>
    <n v="15.951467979167859"/>
    <n v="36.627940250672467"/>
    <n v="0"/>
    <n v="0"/>
    <n v="0.9156985062668116"/>
    <n v="3.2598866823098493"/>
    <n v="0"/>
    <n v="11.409603388084474"/>
    <n v="0"/>
    <n v="0"/>
    <n v="0"/>
    <n v="11.66599896983918"/>
    <n v="149.19475762605163"/>
    <n v="0"/>
    <n v="453.65323050332597"/>
    <n v="0"/>
    <n v="0"/>
    <n v="0"/>
    <n v="0"/>
    <n v="38.445189025705595"/>
    <n v="2873.7778796714929"/>
    <n v="669.7151928277915"/>
    <n v="1537.8075610282237"/>
    <n v="0"/>
    <n v="0"/>
    <n v="38.445189025705595"/>
    <n v="136.86487293151191"/>
    <n v="0"/>
    <n v="479.02705526029172"/>
    <n v="0"/>
    <n v="0"/>
    <n v="0"/>
    <n v="489.79170818748923"/>
  </r>
  <r>
    <x v="8"/>
    <s v="February"/>
    <x v="1"/>
    <n v="34.287096153846157"/>
    <n v="0.22450000000000001"/>
    <n v="41.984549240384617"/>
    <m/>
    <n v="11.8"/>
    <m/>
    <x v="0"/>
    <m/>
    <m/>
    <n v="0.5"/>
    <n v="74.75"/>
    <n v="17.420000000000002"/>
    <m/>
    <m/>
    <m/>
    <n v="11.5"/>
    <n v="3.56"/>
    <m/>
    <n v="10.85"/>
    <m/>
    <m/>
    <m/>
    <n v="12.74"/>
    <n v="143.12"/>
    <n v="160"/>
    <n v="16.879999999999995"/>
    <n v="0"/>
    <n v="13.191727221911682"/>
    <n v="0"/>
    <n v="0"/>
    <n v="0"/>
    <n v="0"/>
    <n v="0.55897149245388478"/>
    <n v="83.566238121855775"/>
    <n v="19.474566797093349"/>
    <n v="0"/>
    <n v="0"/>
    <n v="0"/>
    <n v="12.85634432643935"/>
    <n v="3.9798770262716596"/>
    <n v="0"/>
    <n v="12.129681386249301"/>
    <n v="0"/>
    <n v="0"/>
    <n v="0"/>
    <n v="14.242593627724986"/>
    <n v="146.80827277808828"/>
    <n v="0"/>
    <n v="553.84872111407321"/>
    <n v="0"/>
    <n v="0"/>
    <n v="0"/>
    <n v="0"/>
    <n v="23.468166148901403"/>
    <n v="3508.4908392607599"/>
    <n v="817.63090862772503"/>
    <n v="0"/>
    <n v="0"/>
    <n v="0"/>
    <n v="539.76782142473235"/>
    <n v="167.09334298017799"/>
    <n v="0"/>
    <n v="509.25920543116052"/>
    <n v="0"/>
    <n v="0"/>
    <n v="0"/>
    <n v="597.96887347400786"/>
  </r>
  <r>
    <x v="8"/>
    <s v="December"/>
    <x v="1"/>
    <n v="34.287096153846157"/>
    <n v="0.22450000000000001"/>
    <n v="41.984549240384617"/>
    <m/>
    <n v="11.8"/>
    <m/>
    <x v="0"/>
    <m/>
    <m/>
    <n v="2"/>
    <n v="74.75"/>
    <n v="17.420000000000002"/>
    <n v="40"/>
    <m/>
    <m/>
    <n v="2"/>
    <n v="3.56"/>
    <m/>
    <n v="9.4600000000000009"/>
    <m/>
    <m/>
    <m/>
    <n v="12.74"/>
    <n v="173.73000000000002"/>
    <n v="184"/>
    <n v="10.269999999999982"/>
    <n v="0"/>
    <n v="12.497553675243191"/>
    <n v="0"/>
    <n v="0"/>
    <n v="0"/>
    <n v="0"/>
    <n v="2.1182294364818968"/>
    <n v="79.168825188510894"/>
    <n v="18.449778391757324"/>
    <n v="42.364588729637937"/>
    <n v="0"/>
    <n v="0"/>
    <n v="2.1182294364818968"/>
    <n v="3.7704483969377764"/>
    <n v="0"/>
    <n v="10.019225234559375"/>
    <n v="0"/>
    <n v="0"/>
    <n v="0"/>
    <n v="13.493121510389683"/>
    <n v="171.50244632475676"/>
    <n v="0"/>
    <n v="524.70415766259748"/>
    <n v="0"/>
    <n v="0"/>
    <n v="0"/>
    <n v="0"/>
    <n v="88.932908078406356"/>
    <n v="3323.8674394304376"/>
    <n v="774.60562936291944"/>
    <n v="1778.6581615681271"/>
    <n v="0"/>
    <n v="0"/>
    <n v="88.932908078406356"/>
    <n v="158.30057637956332"/>
    <n v="0"/>
    <n v="420.65265521086218"/>
    <n v="0"/>
    <n v="0"/>
    <n v="0"/>
    <n v="566.5026244594485"/>
  </r>
  <r>
    <x v="8"/>
    <s v="January"/>
    <x v="1"/>
    <n v="34.287096153846157"/>
    <n v="0.22450000000000001"/>
    <n v="41.984549240384617"/>
    <m/>
    <n v="11.8"/>
    <m/>
    <x v="0"/>
    <m/>
    <m/>
    <n v="2.75"/>
    <n v="74.75"/>
    <n v="17.420000000000002"/>
    <m/>
    <m/>
    <m/>
    <n v="2.75"/>
    <n v="3.56"/>
    <m/>
    <n v="7"/>
    <m/>
    <m/>
    <m/>
    <n v="12.74"/>
    <n v="132.77000000000001"/>
    <n v="184"/>
    <n v="51.22999999999999"/>
    <n v="0"/>
    <n v="16.35309181290954"/>
    <n v="0"/>
    <n v="0"/>
    <n v="0"/>
    <n v="0"/>
    <n v="3.8111019055509527"/>
    <n v="103.5926790690668"/>
    <n v="24.141598252617307"/>
    <n v="0"/>
    <n v="0"/>
    <n v="0"/>
    <n v="3.8111019055509527"/>
    <n v="4.9336446486405059"/>
    <n v="0"/>
    <n v="9.7009866686751511"/>
    <n v="0"/>
    <n v="0"/>
    <n v="0"/>
    <n v="17.655795736988775"/>
    <n v="167.64690818709042"/>
    <n v="0"/>
    <n v="686.57718845163106"/>
    <n v="0"/>
    <n v="0"/>
    <n v="0"/>
    <n v="0"/>
    <n v="160.00739561372762"/>
    <n v="4349.2919353185962"/>
    <n v="1013.5741205785945"/>
    <n v="0"/>
    <n v="0"/>
    <n v="0"/>
    <n v="160.00739561372762"/>
    <n v="207.13684668540739"/>
    <n v="0"/>
    <n v="407.2915524713066"/>
    <n v="0"/>
    <n v="0"/>
    <n v="0"/>
    <n v="741.27062549777804"/>
  </r>
  <r>
    <x v="8"/>
    <s v="July"/>
    <x v="1"/>
    <n v="34.287096153846157"/>
    <n v="0.22450000000000001"/>
    <n v="41.984549240384617"/>
    <m/>
    <n v="11.8"/>
    <m/>
    <x v="0"/>
    <m/>
    <m/>
    <n v="2"/>
    <n v="74.75"/>
    <n v="17.420000000000002"/>
    <n v="40"/>
    <m/>
    <m/>
    <n v="3"/>
    <n v="3.56"/>
    <m/>
    <n v="6.21"/>
    <m/>
    <m/>
    <m/>
    <n v="12.74"/>
    <n v="171.48000000000002"/>
    <n v="184"/>
    <n v="12.519999999999982"/>
    <n v="0"/>
    <n v="12.661534872871471"/>
    <n v="0"/>
    <n v="0"/>
    <n v="0"/>
    <n v="0"/>
    <n v="2.1460228598087236"/>
    <n v="80.207604385351047"/>
    <n v="18.691859108933986"/>
    <n v="42.920457196174482"/>
    <n v="0"/>
    <n v="0"/>
    <n v="3.2190342897130857"/>
    <n v="3.8199206904595284"/>
    <n v="0"/>
    <n v="6.663400979706088"/>
    <n v="0"/>
    <n v="0"/>
    <n v="0"/>
    <n v="13.670165616981572"/>
    <n v="171.3384651271285"/>
    <n v="0"/>
    <n v="531.58883432891923"/>
    <n v="0"/>
    <n v="0"/>
    <n v="0"/>
    <n v="0"/>
    <n v="90.099802428630369"/>
    <n v="3367.4801157700604"/>
    <n v="784.76927915337069"/>
    <n v="1801.9960485726078"/>
    <n v="0"/>
    <n v="0"/>
    <n v="135.14970364294555"/>
    <n v="160.37764832296207"/>
    <n v="0"/>
    <n v="279.75988654089736"/>
    <n v="0"/>
    <n v="0"/>
    <n v="0"/>
    <n v="573.93574147037555"/>
  </r>
  <r>
    <x v="8"/>
    <s v="June"/>
    <x v="1"/>
    <n v="34.287096153846157"/>
    <n v="0.22450000000000001"/>
    <n v="41.984549240384617"/>
    <m/>
    <n v="11.8"/>
    <m/>
    <x v="0"/>
    <m/>
    <m/>
    <n v="8.5"/>
    <n v="74.75"/>
    <n v="17.420000000000002"/>
    <n v="40"/>
    <m/>
    <m/>
    <n v="9.5"/>
    <n v="3.56"/>
    <m/>
    <n v="11.21"/>
    <m/>
    <m/>
    <m/>
    <n v="12.74"/>
    <n v="189.48000000000002"/>
    <n v="168"/>
    <n v="-21.480000000000018"/>
    <n v="0"/>
    <n v="10.462317922735908"/>
    <n v="0"/>
    <n v="0"/>
    <n v="0"/>
    <n v="0"/>
    <n v="7.5364154528182388"/>
    <n v="66.276124129195694"/>
    <n v="15.44521849271691"/>
    <n v="35.465484483850538"/>
    <n v="0"/>
    <n v="0"/>
    <n v="8.4230525649145012"/>
    <n v="3.1564281190626979"/>
    <n v="0"/>
    <n v="9.9392020265991121"/>
    <n v="0"/>
    <n v="0"/>
    <n v="0"/>
    <n v="11.295756808106397"/>
    <n v="157.53768207726409"/>
    <n v="0"/>
    <n v="439.2557019956642"/>
    <n v="0"/>
    <n v="0"/>
    <n v="0"/>
    <n v="0"/>
    <n v="316.41300567484285"/>
    <n v="2782.5731969640597"/>
    <n v="648.46053633597217"/>
    <n v="1489.0023796463195"/>
    <n v="0"/>
    <n v="0"/>
    <n v="353.63806516600084"/>
    <n v="132.52121178852244"/>
    <n v="0"/>
    <n v="417.29291689588098"/>
    <n v="0"/>
    <n v="0"/>
    <n v="0"/>
    <n v="474.24725791735278"/>
  </r>
  <r>
    <x v="8"/>
    <s v="May"/>
    <x v="1"/>
    <n v="34.287096153846157"/>
    <n v="0.22450000000000001"/>
    <n v="41.984549240384617"/>
    <m/>
    <n v="11.8"/>
    <m/>
    <x v="0"/>
    <m/>
    <m/>
    <n v="7.5"/>
    <n v="74.75"/>
    <n v="17.420000000000002"/>
    <n v="40"/>
    <m/>
    <m/>
    <n v="7.5"/>
    <n v="3.56"/>
    <m/>
    <n v="28"/>
    <m/>
    <m/>
    <m/>
    <n v="12.74"/>
    <n v="203.27"/>
    <n v="176"/>
    <n v="-27.27000000000001"/>
    <n v="0"/>
    <n v="10.21695282137059"/>
    <n v="0"/>
    <n v="0"/>
    <n v="0"/>
    <n v="0"/>
    <n v="6.4938259457863925"/>
    <n v="64.721798593004365"/>
    <n v="15.082993063413195"/>
    <n v="34.633738377527422"/>
    <n v="0"/>
    <n v="0"/>
    <n v="6.4938259457863925"/>
    <n v="3.0824027155999407"/>
    <n v="0"/>
    <n v="24.2436168642692"/>
    <n v="0"/>
    <n v="0"/>
    <n v="0"/>
    <n v="11.030845673242485"/>
    <n v="165.7830471786294"/>
    <n v="0"/>
    <n v="428.95415881552009"/>
    <n v="0"/>
    <n v="0"/>
    <n v="0"/>
    <n v="0"/>
    <n v="272.64035517935599"/>
    <n v="2717.3155399542475"/>
    <n v="633.25266496325094"/>
    <n v="1454.0818942898984"/>
    <n v="0"/>
    <n v="0"/>
    <n v="272.64035517935599"/>
    <n v="129.41328859180098"/>
    <n v="0"/>
    <n v="1017.8573260029291"/>
    <n v="0"/>
    <n v="0"/>
    <n v="0"/>
    <n v="463.12508333133269"/>
  </r>
  <r>
    <x v="8"/>
    <s v="September"/>
    <x v="1"/>
    <n v="34.287096153846157"/>
    <n v="0.22450000000000001"/>
    <n v="41.984549240384617"/>
    <m/>
    <n v="11.8"/>
    <m/>
    <x v="0"/>
    <m/>
    <m/>
    <n v="1.5"/>
    <n v="74.75"/>
    <n v="17.41"/>
    <n v="40"/>
    <m/>
    <m/>
    <n v="6.5"/>
    <n v="3.55"/>
    <m/>
    <n v="8.7100000000000009"/>
    <m/>
    <m/>
    <m/>
    <n v="12.74"/>
    <n v="176.96"/>
    <n v="176"/>
    <n v="-0.96000000000000796"/>
    <n v="0"/>
    <n v="11.735985533453889"/>
    <n v="0"/>
    <n v="0"/>
    <n v="0"/>
    <n v="0"/>
    <n v="1.4918625678119348"/>
    <n v="74.344484629294755"/>
    <n v="17.315551537070522"/>
    <n v="39.783001808318261"/>
    <n v="0"/>
    <n v="0"/>
    <n v="6.4647377938517181"/>
    <n v="3.5307414104882455"/>
    <n v="0"/>
    <n v="8.6627486437613026"/>
    <n v="0"/>
    <n v="0"/>
    <n v="0"/>
    <n v="12.670886075949365"/>
    <n v="164.26401446654612"/>
    <n v="0"/>
    <n v="492.7300625137363"/>
    <n v="0"/>
    <n v="0"/>
    <n v="0"/>
    <n v="0"/>
    <n v="62.635177438186808"/>
    <n v="3121.3196756696429"/>
    <n v="726.9856261325549"/>
    <n v="1670.2713983516483"/>
    <n v="0"/>
    <n v="0"/>
    <n v="271.41910223214285"/>
    <n v="148.23658660370879"/>
    <n v="0"/>
    <n v="363.70159699107148"/>
    <n v="0"/>
    <n v="0"/>
    <n v="0"/>
    <n v="531.98144037499992"/>
  </r>
  <r>
    <x v="8"/>
    <s v="January"/>
    <x v="2"/>
    <n v="37.019230769230766"/>
    <n v="0.23630000000000001"/>
    <n v="45.766874999999992"/>
    <m/>
    <m/>
    <m/>
    <x v="0"/>
    <m/>
    <m/>
    <n v="0.5"/>
    <m/>
    <m/>
    <m/>
    <m/>
    <m/>
    <n v="0.5"/>
    <m/>
    <m/>
    <n v="15.21"/>
    <m/>
    <m/>
    <m/>
    <m/>
    <n v="16.21"/>
    <n v="16.21"/>
    <n v="0"/>
    <n v="0"/>
    <n v="0"/>
    <n v="0"/>
    <n v="0"/>
    <n v="0"/>
    <n v="0"/>
    <n v="0.5"/>
    <n v="0"/>
    <n v="0"/>
    <n v="0"/>
    <n v="0"/>
    <n v="0"/>
    <n v="0.5"/>
    <n v="0"/>
    <n v="0"/>
    <n v="15.21"/>
    <n v="0"/>
    <n v="0"/>
    <n v="0"/>
    <n v="0"/>
    <n v="16.21"/>
    <n v="0"/>
    <n v="0"/>
    <n v="0"/>
    <n v="0"/>
    <n v="0"/>
    <n v="0"/>
    <n v="22.883437499999996"/>
    <n v="0"/>
    <n v="0"/>
    <n v="0"/>
    <n v="0"/>
    <n v="0"/>
    <n v="22.883437499999996"/>
    <n v="0"/>
    <n v="0"/>
    <n v="696.11416874999986"/>
    <n v="0"/>
    <n v="0"/>
    <n v="0"/>
    <n v="0"/>
  </r>
  <r>
    <x v="8"/>
    <s v="June"/>
    <x v="2"/>
    <n v="37.019230769230766"/>
    <n v="0.23630000000000001"/>
    <n v="45.766874999999992"/>
    <m/>
    <m/>
    <m/>
    <x v="0"/>
    <m/>
    <m/>
    <n v="0.5"/>
    <m/>
    <m/>
    <m/>
    <m/>
    <m/>
    <n v="0.5"/>
    <m/>
    <m/>
    <m/>
    <m/>
    <m/>
    <m/>
    <m/>
    <n v="1"/>
    <n v="1"/>
    <n v="0"/>
    <n v="0"/>
    <n v="0"/>
    <n v="0"/>
    <n v="0"/>
    <n v="0"/>
    <n v="0"/>
    <n v="0.5"/>
    <n v="0"/>
    <n v="0"/>
    <n v="0"/>
    <n v="0"/>
    <n v="0"/>
    <n v="0.5"/>
    <n v="0"/>
    <n v="0"/>
    <n v="0"/>
    <n v="0"/>
    <n v="0"/>
    <n v="0"/>
    <n v="0"/>
    <n v="1"/>
    <n v="0"/>
    <n v="0"/>
    <n v="0"/>
    <n v="0"/>
    <n v="0"/>
    <n v="0"/>
    <n v="22.883437499999996"/>
    <n v="0"/>
    <n v="0"/>
    <n v="0"/>
    <n v="0"/>
    <n v="0"/>
    <n v="22.883437499999996"/>
    <n v="0"/>
    <n v="0"/>
    <n v="0"/>
    <n v="0"/>
    <n v="0"/>
    <n v="0"/>
    <n v="0"/>
  </r>
  <r>
    <x v="8"/>
    <s v="February"/>
    <x v="2"/>
    <n v="37.019230769230766"/>
    <n v="0.23630000000000001"/>
    <n v="45.766874999999992"/>
    <m/>
    <m/>
    <m/>
    <x v="0"/>
    <m/>
    <m/>
    <n v="1"/>
    <m/>
    <m/>
    <m/>
    <m/>
    <m/>
    <n v="1"/>
    <m/>
    <m/>
    <n v="19"/>
    <m/>
    <m/>
    <m/>
    <m/>
    <n v="21"/>
    <n v="21"/>
    <n v="0"/>
    <n v="0"/>
    <n v="0"/>
    <n v="0"/>
    <n v="0"/>
    <n v="0"/>
    <n v="0"/>
    <n v="1"/>
    <n v="0"/>
    <n v="0"/>
    <n v="0"/>
    <n v="0"/>
    <n v="0"/>
    <n v="1"/>
    <n v="0"/>
    <n v="0"/>
    <n v="19"/>
    <n v="0"/>
    <n v="0"/>
    <n v="0"/>
    <n v="0"/>
    <n v="21"/>
    <n v="0"/>
    <n v="0"/>
    <n v="0"/>
    <n v="0"/>
    <n v="0"/>
    <n v="0"/>
    <n v="45.766874999999992"/>
    <n v="0"/>
    <n v="0"/>
    <n v="0"/>
    <n v="0"/>
    <n v="0"/>
    <n v="45.766874999999992"/>
    <n v="0"/>
    <n v="0"/>
    <n v="869.57062499999984"/>
    <n v="0"/>
    <n v="0"/>
    <n v="0"/>
    <n v="0"/>
  </r>
  <r>
    <x v="8"/>
    <s v="April"/>
    <x v="2"/>
    <n v="37.019230769230766"/>
    <n v="0.23630000000000001"/>
    <n v="45.766874999999992"/>
    <m/>
    <m/>
    <m/>
    <x v="0"/>
    <m/>
    <m/>
    <n v="1.5"/>
    <m/>
    <m/>
    <m/>
    <m/>
    <m/>
    <n v="1.5"/>
    <m/>
    <m/>
    <n v="19.29"/>
    <m/>
    <m/>
    <m/>
    <m/>
    <n v="22.29"/>
    <n v="22.29"/>
    <n v="0"/>
    <n v="0"/>
    <n v="0"/>
    <n v="0"/>
    <n v="0"/>
    <n v="0"/>
    <n v="0"/>
    <n v="1.5"/>
    <n v="0"/>
    <n v="0"/>
    <n v="0"/>
    <n v="0"/>
    <n v="0"/>
    <n v="1.5"/>
    <n v="0"/>
    <n v="0"/>
    <n v="19.29"/>
    <n v="0"/>
    <n v="0"/>
    <n v="0"/>
    <n v="0"/>
    <n v="22.29"/>
    <n v="0"/>
    <n v="0"/>
    <n v="0"/>
    <n v="0"/>
    <n v="0"/>
    <n v="0"/>
    <n v="68.650312499999984"/>
    <n v="0"/>
    <n v="0"/>
    <n v="0"/>
    <n v="0"/>
    <n v="0"/>
    <n v="68.650312499999984"/>
    <n v="0"/>
    <n v="0"/>
    <n v="882.84301874999983"/>
    <n v="0"/>
    <n v="0"/>
    <n v="0"/>
    <n v="0"/>
  </r>
  <r>
    <x v="8"/>
    <s v="July"/>
    <x v="2"/>
    <n v="37.019230769230766"/>
    <n v="0.23630000000000001"/>
    <n v="45.766874999999992"/>
    <m/>
    <m/>
    <m/>
    <x v="0"/>
    <m/>
    <m/>
    <n v="1.5"/>
    <m/>
    <m/>
    <m/>
    <m/>
    <m/>
    <n v="3.5"/>
    <m/>
    <m/>
    <m/>
    <m/>
    <m/>
    <m/>
    <m/>
    <n v="5"/>
    <n v="5"/>
    <n v="0"/>
    <n v="0"/>
    <n v="0"/>
    <n v="0"/>
    <n v="0"/>
    <n v="0"/>
    <n v="0"/>
    <n v="1.5"/>
    <n v="0"/>
    <n v="0"/>
    <n v="0"/>
    <n v="0"/>
    <n v="0"/>
    <n v="3.5"/>
    <n v="0"/>
    <n v="0"/>
    <n v="0"/>
    <n v="0"/>
    <n v="0"/>
    <n v="0"/>
    <n v="0"/>
    <n v="5"/>
    <n v="0"/>
    <n v="0"/>
    <n v="0"/>
    <n v="0"/>
    <n v="0"/>
    <n v="0"/>
    <n v="68.650312499999984"/>
    <n v="0"/>
    <n v="0"/>
    <n v="0"/>
    <n v="0"/>
    <n v="0"/>
    <n v="160.18406249999998"/>
    <n v="0"/>
    <n v="0"/>
    <n v="0"/>
    <n v="0"/>
    <n v="0"/>
    <n v="0"/>
    <n v="0"/>
  </r>
  <r>
    <x v="8"/>
    <s v="March"/>
    <x v="2"/>
    <n v="37.019230769230766"/>
    <n v="0.23630000000000001"/>
    <n v="45.766874999999992"/>
    <m/>
    <m/>
    <m/>
    <x v="0"/>
    <m/>
    <m/>
    <n v="3.5"/>
    <m/>
    <m/>
    <m/>
    <m/>
    <m/>
    <n v="4.5"/>
    <m/>
    <m/>
    <m/>
    <m/>
    <m/>
    <m/>
    <m/>
    <n v="8"/>
    <n v="8"/>
    <n v="0"/>
    <n v="0"/>
    <n v="0"/>
    <n v="0"/>
    <n v="0"/>
    <n v="0"/>
    <n v="0"/>
    <n v="3.5"/>
    <n v="0"/>
    <n v="0"/>
    <n v="0"/>
    <n v="0"/>
    <n v="0"/>
    <n v="4.5"/>
    <n v="0"/>
    <n v="0"/>
    <n v="0"/>
    <n v="0"/>
    <n v="0"/>
    <n v="0"/>
    <n v="0"/>
    <n v="8"/>
    <n v="0"/>
    <n v="0"/>
    <n v="0"/>
    <n v="0"/>
    <n v="0"/>
    <n v="0"/>
    <n v="160.18406249999998"/>
    <n v="0"/>
    <n v="0"/>
    <n v="0"/>
    <n v="0"/>
    <n v="0"/>
    <n v="205.95093749999995"/>
    <n v="0"/>
    <n v="0"/>
    <n v="0"/>
    <n v="0"/>
    <n v="0"/>
    <n v="0"/>
    <n v="0"/>
  </r>
  <r>
    <x v="8"/>
    <s v="May"/>
    <x v="2"/>
    <n v="37.019230769230766"/>
    <n v="0.23630000000000001"/>
    <n v="45.766874999999992"/>
    <m/>
    <m/>
    <m/>
    <x v="0"/>
    <m/>
    <m/>
    <n v="1.5"/>
    <m/>
    <m/>
    <m/>
    <m/>
    <m/>
    <n v="4.5"/>
    <m/>
    <m/>
    <n v="70.73"/>
    <m/>
    <m/>
    <m/>
    <m/>
    <n v="76.73"/>
    <n v="76.73"/>
    <n v="0"/>
    <n v="0"/>
    <n v="0"/>
    <n v="0"/>
    <n v="0"/>
    <n v="0"/>
    <n v="0"/>
    <n v="1.5000000000000002"/>
    <n v="0"/>
    <n v="0"/>
    <n v="0"/>
    <n v="0"/>
    <n v="0"/>
    <n v="4.5"/>
    <n v="0"/>
    <n v="0"/>
    <n v="70.73"/>
    <n v="0"/>
    <n v="0"/>
    <n v="0"/>
    <n v="0"/>
    <n v="76.73"/>
    <n v="0"/>
    <n v="0"/>
    <n v="0"/>
    <n v="0"/>
    <n v="0"/>
    <n v="0"/>
    <n v="68.650312499999998"/>
    <n v="0"/>
    <n v="0"/>
    <n v="0"/>
    <n v="0"/>
    <n v="0"/>
    <n v="205.95093749999995"/>
    <n v="0"/>
    <n v="0"/>
    <n v="3237.0910687499995"/>
    <n v="0"/>
    <n v="0"/>
    <n v="0"/>
    <n v="0"/>
  </r>
  <r>
    <x v="8"/>
    <s v="August"/>
    <x v="2"/>
    <n v="37.019230769230766"/>
    <n v="0.23630000000000001"/>
    <n v="45.766874999999992"/>
    <m/>
    <m/>
    <m/>
    <x v="0"/>
    <m/>
    <m/>
    <n v="0.5"/>
    <m/>
    <m/>
    <m/>
    <m/>
    <m/>
    <n v="11.75"/>
    <m/>
    <m/>
    <m/>
    <m/>
    <m/>
    <m/>
    <m/>
    <n v="12.25"/>
    <n v="12.25"/>
    <n v="0"/>
    <n v="0"/>
    <n v="0"/>
    <n v="0"/>
    <n v="0"/>
    <n v="0"/>
    <n v="0"/>
    <n v="0.49999999999999994"/>
    <n v="0"/>
    <n v="0"/>
    <n v="0"/>
    <n v="0"/>
    <n v="0"/>
    <n v="11.75"/>
    <n v="0"/>
    <n v="0"/>
    <n v="0"/>
    <n v="0"/>
    <n v="0"/>
    <n v="0"/>
    <n v="0"/>
    <n v="12.25"/>
    <n v="0"/>
    <n v="0"/>
    <n v="0"/>
    <n v="0"/>
    <n v="0"/>
    <n v="0"/>
    <n v="22.883437499999992"/>
    <n v="0"/>
    <n v="0"/>
    <n v="0"/>
    <n v="0"/>
    <n v="0"/>
    <n v="537.76078124999992"/>
    <n v="0"/>
    <n v="0"/>
    <n v="0"/>
    <n v="0"/>
    <n v="0"/>
    <n v="0"/>
    <n v="0"/>
  </r>
  <r>
    <x v="9"/>
    <s v="December"/>
    <x v="1"/>
    <n v="29.438461538461539"/>
    <n v="0.22450000000000001"/>
    <n v="36.047396153846151"/>
    <m/>
    <m/>
    <m/>
    <x v="0"/>
    <m/>
    <m/>
    <m/>
    <m/>
    <m/>
    <m/>
    <m/>
    <m/>
    <m/>
    <n v="100"/>
    <m/>
    <m/>
    <m/>
    <m/>
    <m/>
    <m/>
    <n v="100"/>
    <n v="100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3604.7396153846153"/>
    <n v="0"/>
    <n v="0"/>
    <n v="0"/>
    <n v="0"/>
    <n v="0"/>
    <n v="0"/>
  </r>
  <r>
    <x v="10"/>
    <s v="December"/>
    <x v="1"/>
    <n v="5.1948846153846153"/>
    <n v="0.22450000000000001"/>
    <n v="6.3611362115384606"/>
    <m/>
    <m/>
    <m/>
    <x v="0"/>
    <m/>
    <m/>
    <m/>
    <n v="100"/>
    <m/>
    <m/>
    <m/>
    <m/>
    <m/>
    <m/>
    <m/>
    <m/>
    <m/>
    <m/>
    <m/>
    <m/>
    <n v="100"/>
    <n v="10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636.11362115384611"/>
    <n v="0"/>
    <n v="0"/>
    <n v="0"/>
    <n v="0"/>
    <n v="0"/>
    <n v="0"/>
    <n v="0"/>
    <n v="0"/>
    <n v="0"/>
    <n v="0"/>
    <n v="0"/>
    <n v="0"/>
  </r>
  <r>
    <x v="11"/>
    <s v="December"/>
    <x v="1"/>
    <n v="1.1597596153846155"/>
    <n v="0.22450000000000001"/>
    <n v="1.4201256490384615"/>
    <m/>
    <m/>
    <m/>
    <x v="0"/>
    <m/>
    <m/>
    <m/>
    <n v="100"/>
    <m/>
    <m/>
    <m/>
    <m/>
    <m/>
    <m/>
    <m/>
    <m/>
    <m/>
    <m/>
    <m/>
    <m/>
    <n v="100"/>
    <n v="10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142.01256490384614"/>
    <n v="0"/>
    <n v="0"/>
    <n v="0"/>
    <n v="0"/>
    <n v="0"/>
    <n v="0"/>
    <n v="0"/>
    <n v="0"/>
    <n v="0"/>
    <n v="0"/>
    <n v="0"/>
    <n v="0"/>
  </r>
  <r>
    <x v="12"/>
    <s v="December"/>
    <x v="1"/>
    <n v="9.7502163461538469"/>
    <n v="0.22450000000000001"/>
    <n v="11.939139915865384"/>
    <m/>
    <m/>
    <m/>
    <x v="0"/>
    <m/>
    <m/>
    <m/>
    <m/>
    <m/>
    <m/>
    <m/>
    <m/>
    <m/>
    <m/>
    <m/>
    <m/>
    <m/>
    <m/>
    <n v="100"/>
    <m/>
    <n v="10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93.9139915865385"/>
    <n v="0"/>
  </r>
  <r>
    <x v="13"/>
    <s v="December"/>
    <x v="1"/>
    <n v="4.6194423076923083"/>
    <n v="0.22450000000000001"/>
    <n v="5.6565071057692311"/>
    <m/>
    <m/>
    <m/>
    <x v="0"/>
    <m/>
    <m/>
    <m/>
    <n v="100"/>
    <m/>
    <m/>
    <m/>
    <m/>
    <m/>
    <m/>
    <m/>
    <m/>
    <m/>
    <m/>
    <m/>
    <m/>
    <n v="100"/>
    <n v="10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565.65071057692307"/>
    <n v="0"/>
    <n v="0"/>
    <n v="0"/>
    <n v="0"/>
    <n v="0"/>
    <n v="0"/>
    <n v="0"/>
    <n v="0"/>
    <n v="0"/>
    <n v="0"/>
    <n v="0"/>
    <n v="0"/>
  </r>
  <r>
    <x v="14"/>
    <s v="December"/>
    <x v="1"/>
    <n v="0.68781250000000005"/>
    <n v="0.22450000000000001"/>
    <n v="0.84222640625"/>
    <m/>
    <m/>
    <m/>
    <x v="0"/>
    <m/>
    <m/>
    <m/>
    <n v="100"/>
    <m/>
    <m/>
    <m/>
    <m/>
    <m/>
    <m/>
    <m/>
    <m/>
    <m/>
    <m/>
    <m/>
    <m/>
    <n v="100"/>
    <n v="10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84.222640624999997"/>
    <n v="0"/>
    <n v="0"/>
    <n v="0"/>
    <n v="0"/>
    <n v="0"/>
    <n v="0"/>
    <n v="0"/>
    <n v="0"/>
    <n v="0"/>
    <n v="0"/>
    <n v="0"/>
    <n v="0"/>
  </r>
  <r>
    <x v="15"/>
    <s v="December"/>
    <x v="1"/>
    <n v="27.025298076923079"/>
    <n v="0.22450000000000001"/>
    <n v="33.092477495192306"/>
    <m/>
    <m/>
    <m/>
    <x v="0"/>
    <m/>
    <m/>
    <m/>
    <m/>
    <m/>
    <m/>
    <m/>
    <m/>
    <m/>
    <n v="100"/>
    <m/>
    <m/>
    <m/>
    <m/>
    <m/>
    <m/>
    <n v="100"/>
    <n v="100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3309.2477495192306"/>
    <n v="0"/>
    <n v="0"/>
    <n v="0"/>
    <n v="0"/>
    <n v="0"/>
    <n v="0"/>
  </r>
  <r>
    <x v="16"/>
    <s v="December"/>
    <x v="1"/>
    <n v="6.1133413461538462"/>
    <n v="0.22450000000000001"/>
    <n v="7.4857864783653838"/>
    <m/>
    <m/>
    <m/>
    <x v="0"/>
    <m/>
    <m/>
    <m/>
    <n v="100"/>
    <m/>
    <m/>
    <m/>
    <m/>
    <m/>
    <m/>
    <m/>
    <m/>
    <m/>
    <m/>
    <m/>
    <m/>
    <n v="100"/>
    <n v="10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748.57864783653838"/>
    <n v="0"/>
    <n v="0"/>
    <n v="0"/>
    <n v="0"/>
    <n v="0"/>
    <n v="0"/>
    <n v="0"/>
    <n v="0"/>
    <n v="0"/>
    <n v="0"/>
    <n v="0"/>
    <n v="0"/>
  </r>
  <r>
    <x v="17"/>
    <s v="December"/>
    <x v="1"/>
    <n v="1.3379326923076924"/>
    <n v="0.22450000000000001"/>
    <n v="1.6382985817307691"/>
    <m/>
    <m/>
    <m/>
    <x v="0"/>
    <m/>
    <m/>
    <m/>
    <n v="100"/>
    <m/>
    <m/>
    <m/>
    <m/>
    <m/>
    <m/>
    <m/>
    <m/>
    <m/>
    <m/>
    <m/>
    <m/>
    <n v="100"/>
    <n v="10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163.8298581730769"/>
    <n v="0"/>
    <n v="0"/>
    <n v="0"/>
    <n v="0"/>
    <n v="0"/>
    <n v="0"/>
    <n v="0"/>
    <n v="0"/>
    <n v="0"/>
    <n v="0"/>
    <n v="0"/>
    <n v="0"/>
  </r>
  <r>
    <x v="18"/>
    <s v="December"/>
    <x v="1"/>
    <n v="40.056197115384613"/>
    <n v="0.22450000000000001"/>
    <n v="49.048813367788455"/>
    <m/>
    <m/>
    <m/>
    <x v="0"/>
    <m/>
    <m/>
    <m/>
    <n v="1739.25"/>
    <m/>
    <m/>
    <m/>
    <m/>
    <m/>
    <m/>
    <m/>
    <m/>
    <m/>
    <m/>
    <m/>
    <n v="340.75"/>
    <n v="2080"/>
    <n v="2080"/>
    <n v="0"/>
    <n v="0"/>
    <n v="0"/>
    <n v="0"/>
    <n v="0"/>
    <n v="0"/>
    <n v="0"/>
    <n v="0"/>
    <n v="1739.25"/>
    <n v="0"/>
    <n v="0"/>
    <n v="0"/>
    <n v="0"/>
    <n v="0"/>
    <n v="0"/>
    <n v="0"/>
    <n v="0"/>
    <n v="0"/>
    <n v="0"/>
    <n v="0"/>
    <n v="340.75"/>
    <n v="2080"/>
    <n v="0"/>
    <n v="0"/>
    <n v="0"/>
    <n v="0"/>
    <n v="0"/>
    <n v="0"/>
    <n v="0"/>
    <n v="85308.148649926065"/>
    <n v="0"/>
    <n v="0"/>
    <n v="0"/>
    <n v="0"/>
    <n v="0"/>
    <n v="0"/>
    <n v="0"/>
    <n v="0"/>
    <n v="0"/>
    <n v="0"/>
    <n v="0"/>
    <n v="16713.383155073916"/>
  </r>
  <r>
    <x v="19"/>
    <s v="December"/>
    <x v="1"/>
    <n v="2.1760528846153844"/>
    <n v="0.22450000000000001"/>
    <n v="2.6645767572115382"/>
    <m/>
    <m/>
    <m/>
    <x v="0"/>
    <m/>
    <m/>
    <m/>
    <n v="100"/>
    <m/>
    <m/>
    <m/>
    <m/>
    <m/>
    <m/>
    <m/>
    <m/>
    <m/>
    <m/>
    <m/>
    <m/>
    <n v="100"/>
    <n v="10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266.45767572115381"/>
    <n v="0"/>
    <n v="0"/>
    <n v="0"/>
    <n v="0"/>
    <n v="0"/>
    <n v="0"/>
    <n v="0"/>
    <n v="0"/>
    <n v="0"/>
    <n v="0"/>
    <n v="0"/>
    <n v="0"/>
  </r>
  <r>
    <x v="20"/>
    <s v="December"/>
    <x v="1"/>
    <n v="2.1794326923076923"/>
    <n v="0.22450000000000001"/>
    <n v="2.6687153317307692"/>
    <m/>
    <m/>
    <m/>
    <x v="0"/>
    <m/>
    <m/>
    <m/>
    <n v="100"/>
    <m/>
    <m/>
    <m/>
    <m/>
    <m/>
    <m/>
    <m/>
    <m/>
    <m/>
    <m/>
    <m/>
    <m/>
    <n v="100"/>
    <n v="10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266.8715331730769"/>
    <n v="0"/>
    <n v="0"/>
    <n v="0"/>
    <n v="0"/>
    <n v="0"/>
    <n v="0"/>
    <n v="0"/>
    <n v="0"/>
    <n v="0"/>
    <n v="0"/>
    <n v="0"/>
    <n v="0"/>
  </r>
  <r>
    <x v="21"/>
    <s v="December"/>
    <x v="1"/>
    <n v="31.368889423076922"/>
    <n v="0.22450000000000001"/>
    <n v="38.411205098557687"/>
    <m/>
    <m/>
    <m/>
    <x v="0"/>
    <m/>
    <m/>
    <m/>
    <m/>
    <m/>
    <m/>
    <m/>
    <m/>
    <m/>
    <n v="100"/>
    <m/>
    <m/>
    <m/>
    <m/>
    <m/>
    <m/>
    <n v="100"/>
    <n v="100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3841.1205098557689"/>
    <n v="0"/>
    <n v="0"/>
    <n v="0"/>
    <n v="0"/>
    <n v="0"/>
    <n v="0"/>
  </r>
  <r>
    <x v="22"/>
    <s v="December"/>
    <x v="1"/>
    <n v="0.10605288461538462"/>
    <n v="0.22450000000000001"/>
    <n v="0.12986175721153845"/>
    <m/>
    <m/>
    <m/>
    <x v="0"/>
    <m/>
    <m/>
    <m/>
    <n v="100"/>
    <m/>
    <m/>
    <m/>
    <m/>
    <m/>
    <m/>
    <m/>
    <m/>
    <m/>
    <m/>
    <m/>
    <m/>
    <n v="100"/>
    <n v="10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12.986175721153845"/>
    <n v="0"/>
    <n v="0"/>
    <n v="0"/>
    <n v="0"/>
    <n v="0"/>
    <n v="0"/>
    <n v="0"/>
    <n v="0"/>
    <n v="0"/>
    <n v="0"/>
    <n v="0"/>
    <n v="0"/>
  </r>
  <r>
    <x v="23"/>
    <s v="December"/>
    <x v="1"/>
    <n v="9.5229423076923077"/>
    <n v="0.22450000000000001"/>
    <n v="11.66084285576923"/>
    <m/>
    <m/>
    <m/>
    <x v="0"/>
    <m/>
    <m/>
    <m/>
    <n v="100"/>
    <m/>
    <m/>
    <m/>
    <m/>
    <m/>
    <m/>
    <m/>
    <m/>
    <m/>
    <m/>
    <m/>
    <m/>
    <n v="100"/>
    <n v="10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1166.0842855769231"/>
    <n v="0"/>
    <n v="0"/>
    <n v="0"/>
    <n v="0"/>
    <n v="0"/>
    <n v="0"/>
    <n v="0"/>
    <n v="0"/>
    <n v="0"/>
    <n v="0"/>
    <n v="0"/>
    <n v="0"/>
  </r>
  <r>
    <x v="24"/>
    <s v="December"/>
    <x v="1"/>
    <n v="5.4613605769230764"/>
    <n v="0.22450000000000001"/>
    <n v="6.6874360264423069"/>
    <m/>
    <m/>
    <m/>
    <x v="0"/>
    <m/>
    <m/>
    <m/>
    <m/>
    <n v="50"/>
    <m/>
    <m/>
    <m/>
    <m/>
    <m/>
    <m/>
    <m/>
    <m/>
    <m/>
    <m/>
    <n v="50"/>
    <n v="100"/>
    <n v="100"/>
    <n v="0"/>
    <n v="0"/>
    <n v="0"/>
    <n v="0"/>
    <n v="0"/>
    <n v="0"/>
    <n v="0"/>
    <n v="0"/>
    <n v="0"/>
    <n v="50"/>
    <n v="0"/>
    <n v="0"/>
    <n v="0"/>
    <n v="0"/>
    <n v="0"/>
    <n v="0"/>
    <n v="0"/>
    <n v="0"/>
    <n v="0"/>
    <n v="0"/>
    <n v="50"/>
    <n v="100"/>
    <n v="0"/>
    <n v="0"/>
    <n v="0"/>
    <n v="0"/>
    <n v="0"/>
    <n v="0"/>
    <n v="0"/>
    <n v="0"/>
    <n v="334.37180132211535"/>
    <n v="0"/>
    <n v="0"/>
    <n v="0"/>
    <n v="0"/>
    <n v="0"/>
    <n v="0"/>
    <n v="0"/>
    <n v="0"/>
    <n v="0"/>
    <n v="0"/>
    <n v="334.37180132211535"/>
  </r>
  <r>
    <x v="25"/>
    <s v="December"/>
    <x v="1"/>
    <n v="2.2110625000000002"/>
    <n v="0.22450000000000001"/>
    <n v="2.7074460312499999"/>
    <m/>
    <m/>
    <m/>
    <x v="0"/>
    <m/>
    <m/>
    <m/>
    <n v="100"/>
    <m/>
    <m/>
    <m/>
    <m/>
    <m/>
    <m/>
    <m/>
    <m/>
    <m/>
    <m/>
    <m/>
    <m/>
    <n v="100"/>
    <n v="10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270.74460312499997"/>
    <n v="0"/>
    <n v="0"/>
    <n v="0"/>
    <n v="0"/>
    <n v="0"/>
    <n v="0"/>
    <n v="0"/>
    <n v="0"/>
    <n v="0"/>
    <n v="0"/>
    <n v="0"/>
    <n v="0"/>
  </r>
  <r>
    <x v="26"/>
    <s v="December"/>
    <x v="1"/>
    <n v="56.494100961538457"/>
    <n v="0.22450000000000001"/>
    <n v="69.177026627403833"/>
    <m/>
    <n v="35"/>
    <m/>
    <x v="0"/>
    <m/>
    <m/>
    <m/>
    <n v="925"/>
    <n v="31"/>
    <m/>
    <m/>
    <m/>
    <m/>
    <n v="84"/>
    <m/>
    <m/>
    <n v="7.5"/>
    <m/>
    <n v="49"/>
    <n v="1038.5"/>
    <n v="2170"/>
    <n v="2080"/>
    <n v="-90"/>
    <n v="0"/>
    <n v="33.548387096774192"/>
    <n v="0"/>
    <n v="0"/>
    <n v="0"/>
    <n v="0"/>
    <n v="0"/>
    <n v="886.63594470046075"/>
    <n v="29.714285714285712"/>
    <n v="0"/>
    <n v="0"/>
    <n v="0"/>
    <n v="0"/>
    <n v="80.516129032258064"/>
    <n v="0"/>
    <n v="0"/>
    <n v="7.1889400921658995"/>
    <n v="0"/>
    <n v="46.967741935483865"/>
    <n v="995.42857142857144"/>
    <n v="2046.4516129032259"/>
    <n v="0"/>
    <n v="2320.7776674999996"/>
    <n v="0"/>
    <n v="0"/>
    <n v="0"/>
    <n v="0"/>
    <n v="0"/>
    <n v="61334.838355357126"/>
    <n v="2055.5459340714278"/>
    <n v="0"/>
    <n v="0"/>
    <n v="0"/>
    <n v="0"/>
    <n v="5569.8664019999987"/>
    <n v="0"/>
    <n v="0"/>
    <n v="497.3095001785714"/>
    <n v="0"/>
    <n v="3249.0887344999992"/>
    <n v="68860.788791392843"/>
  </r>
  <r>
    <x v="27"/>
    <s v="December"/>
    <x v="1"/>
    <n v="5.1567307692307693"/>
    <n v="0.22450000000000001"/>
    <n v="6.3144168269230763"/>
    <m/>
    <m/>
    <m/>
    <x v="0"/>
    <m/>
    <m/>
    <m/>
    <n v="100"/>
    <m/>
    <m/>
    <m/>
    <m/>
    <m/>
    <m/>
    <m/>
    <m/>
    <m/>
    <m/>
    <m/>
    <m/>
    <n v="100"/>
    <n v="10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631.44168269230761"/>
    <n v="0"/>
    <n v="0"/>
    <n v="0"/>
    <n v="0"/>
    <n v="0"/>
    <n v="0"/>
    <n v="0"/>
    <n v="0"/>
    <n v="0"/>
    <n v="0"/>
    <n v="0"/>
    <n v="0"/>
  </r>
  <r>
    <x v="28"/>
    <s v="December"/>
    <x v="1"/>
    <n v="4.3015913461538462"/>
    <n v="0.22450000000000001"/>
    <n v="5.2672986033653846"/>
    <m/>
    <m/>
    <m/>
    <x v="0"/>
    <m/>
    <m/>
    <m/>
    <n v="100"/>
    <m/>
    <m/>
    <m/>
    <m/>
    <m/>
    <m/>
    <m/>
    <m/>
    <m/>
    <m/>
    <m/>
    <m/>
    <n v="100"/>
    <n v="10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526.72986033653842"/>
    <n v="0"/>
    <n v="0"/>
    <n v="0"/>
    <n v="0"/>
    <n v="0"/>
    <n v="0"/>
    <n v="0"/>
    <n v="0"/>
    <n v="0"/>
    <n v="0"/>
    <n v="0"/>
    <n v="0"/>
  </r>
  <r>
    <x v="29"/>
    <s v="December"/>
    <x v="1"/>
    <n v="6.9722644230769228"/>
    <n v="0.22450000000000001"/>
    <n v="8.5375377860576922"/>
    <m/>
    <m/>
    <m/>
    <x v="0"/>
    <m/>
    <m/>
    <m/>
    <n v="100"/>
    <m/>
    <m/>
    <m/>
    <m/>
    <m/>
    <m/>
    <m/>
    <m/>
    <m/>
    <m/>
    <m/>
    <m/>
    <n v="100"/>
    <n v="10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853.75377860576918"/>
    <n v="0"/>
    <n v="0"/>
    <n v="0"/>
    <n v="0"/>
    <n v="0"/>
    <n v="0"/>
    <n v="0"/>
    <n v="0"/>
    <n v="0"/>
    <n v="0"/>
    <n v="0"/>
    <n v="0"/>
  </r>
  <r>
    <x v="30"/>
    <s v="December"/>
    <x v="1"/>
    <n v="2.4322932692307693"/>
    <n v="0.22450000000000001"/>
    <n v="2.9783431081730769"/>
    <m/>
    <m/>
    <m/>
    <x v="0"/>
    <m/>
    <m/>
    <m/>
    <n v="100"/>
    <m/>
    <m/>
    <m/>
    <m/>
    <m/>
    <m/>
    <m/>
    <m/>
    <m/>
    <m/>
    <m/>
    <m/>
    <n v="100"/>
    <n v="10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297.83431081730771"/>
    <n v="0"/>
    <n v="0"/>
    <n v="0"/>
    <n v="0"/>
    <n v="0"/>
    <n v="0"/>
    <n v="0"/>
    <n v="0"/>
    <n v="0"/>
    <n v="0"/>
    <n v="0"/>
    <n v="0"/>
  </r>
  <r>
    <x v="31"/>
    <s v="December"/>
    <x v="1"/>
    <n v="0.66141346153846159"/>
    <n v="0.22450000000000001"/>
    <n v="0.80990078365384621"/>
    <m/>
    <m/>
    <m/>
    <x v="0"/>
    <m/>
    <m/>
    <m/>
    <n v="100"/>
    <m/>
    <m/>
    <m/>
    <m/>
    <m/>
    <m/>
    <m/>
    <m/>
    <m/>
    <m/>
    <m/>
    <m/>
    <n v="100"/>
    <n v="10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80.990078365384619"/>
    <n v="0"/>
    <n v="0"/>
    <n v="0"/>
    <n v="0"/>
    <n v="0"/>
    <n v="0"/>
    <n v="0"/>
    <n v="0"/>
    <n v="0"/>
    <n v="0"/>
    <n v="0"/>
    <n v="0"/>
  </r>
  <r>
    <x v="32"/>
    <s v="December"/>
    <x v="1"/>
    <n v="19.552908653846156"/>
    <n v="0.22450000000000001"/>
    <n v="23.942536646634618"/>
    <m/>
    <m/>
    <m/>
    <x v="0"/>
    <m/>
    <m/>
    <m/>
    <n v="480"/>
    <m/>
    <m/>
    <m/>
    <m/>
    <m/>
    <n v="12"/>
    <m/>
    <m/>
    <m/>
    <m/>
    <m/>
    <m/>
    <n v="492"/>
    <n v="492"/>
    <n v="0"/>
    <n v="0"/>
    <n v="0"/>
    <n v="0"/>
    <n v="0"/>
    <n v="0"/>
    <n v="0"/>
    <n v="0"/>
    <n v="480"/>
    <n v="0"/>
    <n v="0"/>
    <n v="0"/>
    <n v="0"/>
    <n v="0"/>
    <n v="12"/>
    <n v="0"/>
    <n v="0"/>
    <n v="0"/>
    <n v="0"/>
    <n v="0"/>
    <n v="0"/>
    <n v="492"/>
    <n v="0"/>
    <n v="0"/>
    <n v="0"/>
    <n v="0"/>
    <n v="0"/>
    <n v="0"/>
    <n v="0"/>
    <n v="11492.417590384617"/>
    <n v="0"/>
    <n v="0"/>
    <n v="0"/>
    <n v="0"/>
    <n v="0"/>
    <n v="287.31043975961541"/>
    <n v="0"/>
    <n v="0"/>
    <n v="0"/>
    <n v="0"/>
    <n v="0"/>
    <n v="0"/>
  </r>
  <r>
    <x v="33"/>
    <s v="December"/>
    <x v="1"/>
    <n v="31.83760576923077"/>
    <n v="0.22450000000000001"/>
    <n v="38.985148264423074"/>
    <m/>
    <m/>
    <m/>
    <x v="0"/>
    <m/>
    <m/>
    <m/>
    <m/>
    <m/>
    <m/>
    <m/>
    <m/>
    <m/>
    <m/>
    <m/>
    <m/>
    <m/>
    <m/>
    <n v="100"/>
    <m/>
    <n v="10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898.5148264423074"/>
    <n v="0"/>
  </r>
  <r>
    <x v="34"/>
    <s v="December"/>
    <x v="1"/>
    <n v="32.829230769230769"/>
    <n v="0.22450000000000001"/>
    <n v="40.199393076923073"/>
    <m/>
    <m/>
    <m/>
    <x v="0"/>
    <m/>
    <m/>
    <m/>
    <n v="810"/>
    <n v="526"/>
    <m/>
    <m/>
    <m/>
    <m/>
    <m/>
    <m/>
    <m/>
    <m/>
    <m/>
    <m/>
    <n v="885"/>
    <n v="2221"/>
    <n v="2080"/>
    <n v="-141"/>
    <n v="0"/>
    <n v="0"/>
    <n v="0"/>
    <n v="0"/>
    <n v="0"/>
    <n v="0"/>
    <n v="0"/>
    <n v="758.57721746960829"/>
    <n v="492.60693381359749"/>
    <n v="0"/>
    <n v="0"/>
    <n v="0"/>
    <n v="0"/>
    <n v="0"/>
    <n v="0"/>
    <n v="0"/>
    <n v="0"/>
    <n v="0"/>
    <n v="0"/>
    <n v="828.81584871679422"/>
    <n v="2080"/>
    <n v="0"/>
    <n v="0"/>
    <n v="0"/>
    <n v="0"/>
    <n v="0"/>
    <n v="0"/>
    <n v="0"/>
    <n v="30494.343744259339"/>
    <n v="19802.499764790635"/>
    <n v="0"/>
    <n v="0"/>
    <n v="0"/>
    <n v="0"/>
    <n v="0"/>
    <n v="0"/>
    <n v="0"/>
    <n v="0"/>
    <n v="0"/>
    <n v="0"/>
    <n v="33317.894090950016"/>
  </r>
  <r>
    <x v="35"/>
    <s v="December"/>
    <x v="1"/>
    <n v="1.4430528846153847"/>
    <n v="0.22450000000000001"/>
    <n v="1.7670182572115385"/>
    <m/>
    <m/>
    <m/>
    <x v="0"/>
    <m/>
    <m/>
    <m/>
    <n v="100"/>
    <m/>
    <m/>
    <m/>
    <m/>
    <m/>
    <m/>
    <m/>
    <m/>
    <m/>
    <m/>
    <m/>
    <m/>
    <n v="100"/>
    <n v="10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176.70182572115385"/>
    <n v="0"/>
    <n v="0"/>
    <n v="0"/>
    <n v="0"/>
    <n v="0"/>
    <n v="0"/>
    <n v="0"/>
    <n v="0"/>
    <n v="0"/>
    <n v="0"/>
    <n v="0"/>
    <n v="0"/>
  </r>
  <r>
    <x v="36"/>
    <s v="December"/>
    <x v="1"/>
    <n v="4.321596153846154"/>
    <n v="0.22450000000000001"/>
    <n v="5.291794490384615"/>
    <m/>
    <m/>
    <m/>
    <x v="0"/>
    <m/>
    <m/>
    <m/>
    <n v="100"/>
    <m/>
    <m/>
    <m/>
    <m/>
    <m/>
    <m/>
    <m/>
    <m/>
    <m/>
    <m/>
    <m/>
    <m/>
    <n v="100"/>
    <n v="10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529.17944903846148"/>
    <n v="0"/>
    <n v="0"/>
    <n v="0"/>
    <n v="0"/>
    <n v="0"/>
    <n v="0"/>
    <n v="0"/>
    <n v="0"/>
    <n v="0"/>
    <n v="0"/>
    <n v="0"/>
    <n v="0"/>
  </r>
  <r>
    <x v="37"/>
    <s v="December"/>
    <x v="1"/>
    <n v="11.316557692307692"/>
    <n v="0.22450000000000001"/>
    <n v="13.857124894230768"/>
    <m/>
    <m/>
    <m/>
    <x v="0"/>
    <m/>
    <m/>
    <m/>
    <n v="93.42"/>
    <m/>
    <m/>
    <m/>
    <m/>
    <m/>
    <n v="0.85"/>
    <m/>
    <m/>
    <m/>
    <m/>
    <m/>
    <n v="5.73"/>
    <n v="100"/>
    <n v="100"/>
    <n v="0"/>
    <n v="0"/>
    <n v="0"/>
    <n v="0"/>
    <n v="0"/>
    <n v="0"/>
    <n v="0"/>
    <n v="0"/>
    <n v="93.42"/>
    <n v="0"/>
    <n v="0"/>
    <n v="0"/>
    <n v="0"/>
    <n v="0"/>
    <n v="0.85000000000000009"/>
    <n v="0"/>
    <n v="0"/>
    <n v="0"/>
    <n v="0"/>
    <n v="0"/>
    <n v="5.73"/>
    <n v="100"/>
    <n v="0"/>
    <n v="0"/>
    <n v="0"/>
    <n v="0"/>
    <n v="0"/>
    <n v="0"/>
    <n v="0"/>
    <n v="1294.5326076190383"/>
    <n v="0"/>
    <n v="0"/>
    <n v="0"/>
    <n v="0"/>
    <n v="0"/>
    <n v="11.778556160096155"/>
    <n v="0"/>
    <n v="0"/>
    <n v="0"/>
    <n v="0"/>
    <n v="0"/>
    <n v="79.401325643942315"/>
  </r>
  <r>
    <x v="38"/>
    <s v="December"/>
    <x v="1"/>
    <n v="8.9245961538461529"/>
    <n v="0.22450000000000001"/>
    <n v="10.928167990384614"/>
    <m/>
    <m/>
    <m/>
    <x v="0"/>
    <m/>
    <m/>
    <m/>
    <n v="100"/>
    <m/>
    <m/>
    <m/>
    <m/>
    <m/>
    <m/>
    <m/>
    <m/>
    <m/>
    <m/>
    <m/>
    <m/>
    <n v="100"/>
    <n v="10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1092.8167990384613"/>
    <n v="0"/>
    <n v="0"/>
    <n v="0"/>
    <n v="0"/>
    <n v="0"/>
    <n v="0"/>
    <n v="0"/>
    <n v="0"/>
    <n v="0"/>
    <n v="0"/>
    <n v="0"/>
    <n v="0"/>
  </r>
  <r>
    <x v="39"/>
    <s v="December"/>
    <x v="1"/>
    <n v="54.070875000000001"/>
    <n v="0.22450000000000001"/>
    <n v="66.2097864375"/>
    <m/>
    <n v="6"/>
    <m/>
    <x v="0"/>
    <m/>
    <m/>
    <m/>
    <n v="494.5"/>
    <m/>
    <n v="605"/>
    <m/>
    <m/>
    <m/>
    <n v="26"/>
    <m/>
    <m/>
    <m/>
    <m/>
    <m/>
    <n v="1005.5"/>
    <n v="2137"/>
    <n v="2080"/>
    <n v="-57"/>
    <n v="0"/>
    <n v="5.8399625643425361"/>
    <n v="0"/>
    <n v="0"/>
    <n v="0"/>
    <n v="0"/>
    <n v="0"/>
    <n v="481.31024801123067"/>
    <n v="0"/>
    <n v="588.86289190453908"/>
    <n v="0"/>
    <n v="0"/>
    <n v="0"/>
    <n v="25.306504445484325"/>
    <n v="0"/>
    <n v="0"/>
    <n v="0"/>
    <n v="0"/>
    <n v="0"/>
    <n v="978.68039307440336"/>
    <n v="2074.1600374356576"/>
    <n v="0"/>
    <n v="386.66267418811418"/>
    <n v="0"/>
    <n v="0"/>
    <n v="0"/>
    <n v="0"/>
    <n v="0"/>
    <n v="31867.44873100374"/>
    <n v="0"/>
    <n v="38988.486313968184"/>
    <n v="0"/>
    <n v="0"/>
    <n v="0"/>
    <n v="1675.5382548151615"/>
    <n v="0"/>
    <n v="0"/>
    <n v="0"/>
    <n v="0"/>
    <n v="0"/>
    <n v="64798.219816024801"/>
  </r>
  <r>
    <x v="40"/>
    <s v="December"/>
    <x v="1"/>
    <n v="19.803975961538459"/>
    <n v="0.22450000000000001"/>
    <n v="24.249968564903842"/>
    <m/>
    <m/>
    <m/>
    <x v="0"/>
    <m/>
    <m/>
    <m/>
    <n v="1.26"/>
    <m/>
    <m/>
    <m/>
    <m/>
    <m/>
    <m/>
    <m/>
    <m/>
    <m/>
    <m/>
    <m/>
    <n v="98.74"/>
    <n v="100"/>
    <n v="100"/>
    <n v="0"/>
    <n v="0"/>
    <n v="0"/>
    <n v="0"/>
    <n v="0"/>
    <n v="0"/>
    <n v="0"/>
    <n v="0"/>
    <n v="1.26"/>
    <n v="0"/>
    <n v="0"/>
    <n v="0"/>
    <n v="0"/>
    <n v="0"/>
    <n v="0"/>
    <n v="0"/>
    <n v="0"/>
    <n v="0"/>
    <n v="0"/>
    <n v="0"/>
    <n v="98.74"/>
    <n v="100"/>
    <n v="0"/>
    <n v="0"/>
    <n v="0"/>
    <n v="0"/>
    <n v="0"/>
    <n v="0"/>
    <n v="0"/>
    <n v="30.554960391778842"/>
    <n v="0"/>
    <n v="0"/>
    <n v="0"/>
    <n v="0"/>
    <n v="0"/>
    <n v="0"/>
    <n v="0"/>
    <n v="0"/>
    <n v="0"/>
    <n v="0"/>
    <n v="0"/>
    <n v="2394.4418960986054"/>
  </r>
  <r>
    <x v="41"/>
    <s v="December"/>
    <x v="1"/>
    <n v="6.7143990384615391"/>
    <n v="0.22450000000000001"/>
    <n v="8.2217816225961542"/>
    <m/>
    <m/>
    <m/>
    <x v="0"/>
    <m/>
    <m/>
    <m/>
    <n v="100"/>
    <m/>
    <m/>
    <m/>
    <m/>
    <m/>
    <m/>
    <m/>
    <m/>
    <m/>
    <m/>
    <m/>
    <m/>
    <n v="100"/>
    <n v="10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822.17816225961542"/>
    <n v="0"/>
    <n v="0"/>
    <n v="0"/>
    <n v="0"/>
    <n v="0"/>
    <n v="0"/>
    <n v="0"/>
    <n v="0"/>
    <n v="0"/>
    <n v="0"/>
    <n v="0"/>
    <n v="0"/>
  </r>
  <r>
    <x v="42"/>
    <s v="December"/>
    <x v="1"/>
    <n v="2.9259134615384612"/>
    <n v="0.22450000000000001"/>
    <n v="3.5827810336538457"/>
    <m/>
    <m/>
    <m/>
    <x v="0"/>
    <m/>
    <m/>
    <m/>
    <n v="100"/>
    <m/>
    <m/>
    <m/>
    <m/>
    <m/>
    <m/>
    <m/>
    <m/>
    <m/>
    <m/>
    <m/>
    <m/>
    <n v="100"/>
    <n v="10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358.2781033653846"/>
    <n v="0"/>
    <n v="0"/>
    <n v="0"/>
    <n v="0"/>
    <n v="0"/>
    <n v="0"/>
    <n v="0"/>
    <n v="0"/>
    <n v="0"/>
    <n v="0"/>
    <n v="0"/>
    <n v="0"/>
  </r>
  <r>
    <x v="43"/>
    <s v="December"/>
    <x v="1"/>
    <n v="0"/>
    <n v="0.22450000000000001"/>
    <n v="0"/>
    <m/>
    <m/>
    <m/>
    <x v="0"/>
    <m/>
    <m/>
    <m/>
    <n v="100"/>
    <m/>
    <m/>
    <m/>
    <m/>
    <m/>
    <m/>
    <m/>
    <m/>
    <m/>
    <m/>
    <m/>
    <m/>
    <n v="100"/>
    <n v="10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</r>
  <r>
    <x v="44"/>
    <s v="December"/>
    <x v="1"/>
    <n v="40.056197115384613"/>
    <n v="0.22450000000000001"/>
    <n v="49.048813367788455"/>
    <m/>
    <m/>
    <m/>
    <x v="0"/>
    <m/>
    <m/>
    <m/>
    <m/>
    <m/>
    <m/>
    <m/>
    <m/>
    <m/>
    <n v="100"/>
    <m/>
    <m/>
    <m/>
    <m/>
    <m/>
    <m/>
    <n v="100"/>
    <n v="100"/>
    <n v="0"/>
    <n v="0"/>
    <n v="0"/>
    <n v="0"/>
    <n v="0"/>
    <n v="0"/>
    <n v="0"/>
    <n v="0"/>
    <n v="0"/>
    <n v="0"/>
    <n v="0"/>
    <n v="0"/>
    <n v="0"/>
    <n v="0"/>
    <n v="100"/>
    <n v="0"/>
    <n v="0"/>
    <n v="0"/>
    <n v="0"/>
    <n v="0"/>
    <n v="0"/>
    <n v="100"/>
    <n v="0"/>
    <n v="0"/>
    <n v="0"/>
    <n v="0"/>
    <n v="0"/>
    <n v="0"/>
    <n v="0"/>
    <n v="0"/>
    <n v="0"/>
    <n v="0"/>
    <n v="0"/>
    <n v="0"/>
    <n v="0"/>
    <n v="4904.8813367788453"/>
    <n v="0"/>
    <n v="0"/>
    <n v="0"/>
    <n v="0"/>
    <n v="0"/>
    <n v="0"/>
  </r>
  <r>
    <x v="45"/>
    <m/>
    <x v="4"/>
    <m/>
    <m/>
    <m/>
    <m/>
    <m/>
    <m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6E6DFF-D5FF-40F4-8893-865DBFFBC116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T49" firstHeaderRow="0" firstDataRow="1" firstDataCol="1" rowPageCount="1" colPageCount="1"/>
  <pivotFields count="70">
    <pivotField axis="axisRow" showAll="0">
      <items count="47"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0"/>
        <item sd="0" x="1"/>
        <item sd="0" x="18"/>
        <item sd="0" x="19"/>
        <item sd="0" x="2"/>
        <item sd="0" x="20"/>
        <item sd="0" x="21"/>
        <item sd="0" x="22"/>
        <item sd="0" x="23"/>
        <item sd="0" x="24"/>
        <item sd="0" x="25"/>
        <item sd="0" x="3"/>
        <item sd="0" x="4"/>
        <item sd="0" x="26"/>
        <item sd="0" x="27"/>
        <item sd="0" x="28"/>
        <item sd="0" x="29"/>
        <item sd="0" x="5"/>
        <item sd="0" x="6"/>
        <item sd="0" x="30"/>
        <item sd="0" x="31"/>
        <item sd="0" x="7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8"/>
        <item sd="0" x="41"/>
        <item sd="0" x="42"/>
        <item sd="0" x="43"/>
        <item sd="0" x="44"/>
        <item x="45"/>
        <item t="default"/>
      </items>
    </pivotField>
    <pivotField showAll="0"/>
    <pivotField axis="axisPage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dataField="1" showAll="0"/>
    <pivotField dataField="1" showAll="0"/>
    <pivotField dataField="1" showAll="0"/>
    <pivotField axis="axisRow" showAll="0">
      <items count="2">
        <item x="0"/>
        <item t="default"/>
      </items>
    </pivotField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2">
    <field x="0"/>
    <field x="9"/>
  </rowFields>
  <rowItems count="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 t="grand">
      <x/>
    </i>
  </rowItems>
  <colFields count="1">
    <field x="-2"/>
  </colFields>
  <colItems count="1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</colItems>
  <pageFields count="1">
    <pageField fld="2" item="2" hier="-1"/>
  </pageFields>
  <dataFields count="19">
    <dataField name="Sum of AAMEN" fld="6" baseField="0" baseItem="0"/>
    <dataField name="Sum of AM Other" fld="7" baseField="0" baseItem="0"/>
    <dataField name="Sum of Apex" fld="8" baseField="0" baseItem="0"/>
    <dataField name="Sum of Dig Eng M7" fld="10" baseField="0" baseItem="0"/>
    <dataField name="Sum of DLA" fld="11" baseField="0" baseItem="0"/>
    <dataField name="Sum of Drive AM" fld="12" baseField="0" baseItem="0"/>
    <dataField name="Sum of ESP" fld="13" baseField="0" baseItem="0"/>
    <dataField name="Sum of Fundraising" fld="14" baseField="0" baseItem="0"/>
    <dataField name="Sum of Hub" fld="15" baseField="0" baseItem="0"/>
    <dataField name="Sum of Hybrid" fld="16" baseField="0" baseItem="0"/>
    <dataField name="Sum of IIOT" fld="17" baseField="0" baseItem="0"/>
    <dataField name="Sum of LTM" fld="18" baseField="0" baseItem="0"/>
    <dataField name="Sum of MBAC" fld="19" baseField="0" baseItem="0"/>
    <dataField name="Sum of NavAir (AM-O)" fld="20" baseField="0" baseItem="0"/>
    <dataField name="Sum of Rising Tides" fld="21" baseField="0" baseItem="0"/>
    <dataField name="Sum of VGV" fld="22" baseField="0" baseItem="0"/>
    <dataField name="Sum of Xjet (AM-O)" fld="23" baseField="0" baseItem="0"/>
    <dataField name="Sum of Youth" fld="24" baseField="0" baseItem="0"/>
    <dataField name="Sum of YBI" fld="2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4" dT="2026-08-12T19:45:22.22" personId="{9D23657C-3317-46A0-AD02-4DD9432097BE}" id="{B3877BE5-49C6-4E8B-BA12-68D73438BC68}">
    <text>Estimation based on budget sheet</text>
  </threadedComment>
  <threadedComment ref="N20" dT="2026-08-12T19:39:09.27" personId="{9D23657C-3317-46A0-AD02-4DD9432097BE}" id="{141B6D4C-5057-441F-A0CF-9FB051E72830}">
    <text>June-Dec = Estimate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19" dT="2026-08-18T17:22:52.00" personId="{9D23657C-3317-46A0-AD02-4DD9432097BE}" id="{A6B58F41-789C-4FF7-B190-A01726D1CF2A}">
    <text>Adjusted for full year salary</text>
  </threadedComment>
  <threadedComment ref="G50" dT="2026-08-18T17:24:13.79" personId="{9D23657C-3317-46A0-AD02-4DD9432097BE}" id="{ECE5301E-5B9F-4C3B-97CE-8A0174CDAC9A}">
    <text>Adjusted for full year salary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006F1C-5EC6-4E2A-B9BF-CFDE8982AE3D}">
  <dimension ref="A1:W40"/>
  <sheetViews>
    <sheetView workbookViewId="0"/>
  </sheetViews>
  <sheetFormatPr defaultRowHeight="15" x14ac:dyDescent="0.25"/>
  <cols>
    <col min="1" max="1" width="23.5703125" bestFit="1" customWidth="1"/>
    <col min="2" max="2" width="17.7109375" bestFit="1" customWidth="1"/>
    <col min="3" max="3" width="23.5703125" customWidth="1"/>
    <col min="4" max="4" width="11.140625" customWidth="1"/>
    <col min="5" max="5" width="16.42578125" customWidth="1"/>
    <col min="6" max="6" width="10.140625" customWidth="1"/>
    <col min="7" max="7" width="15.42578125" customWidth="1"/>
    <col min="8" max="8" width="10.140625" customWidth="1"/>
    <col min="17" max="17" width="11" bestFit="1" customWidth="1"/>
    <col min="19" max="20" width="10.42578125" bestFit="1" customWidth="1"/>
    <col min="21" max="21" width="27.85546875" bestFit="1" customWidth="1"/>
    <col min="22" max="22" width="14.85546875" bestFit="1" customWidth="1"/>
    <col min="23" max="23" width="14.5703125" bestFit="1" customWidth="1"/>
  </cols>
  <sheetData>
    <row r="1" spans="1:23" x14ac:dyDescent="0.25">
      <c r="I1" s="128">
        <v>2025</v>
      </c>
      <c r="J1" s="128"/>
      <c r="K1" s="128"/>
      <c r="L1" s="128"/>
      <c r="M1" s="128"/>
      <c r="N1" s="128"/>
      <c r="O1" s="128"/>
      <c r="P1" s="128"/>
      <c r="Q1" s="128"/>
      <c r="R1" s="128"/>
      <c r="S1" s="128"/>
      <c r="T1" s="128"/>
    </row>
    <row r="2" spans="1:23" s="1" customFormat="1" x14ac:dyDescent="0.25">
      <c r="A2" s="1" t="s">
        <v>3</v>
      </c>
      <c r="B2" s="1" t="s">
        <v>0</v>
      </c>
      <c r="C2" s="1" t="s">
        <v>1</v>
      </c>
      <c r="D2" s="1" t="s">
        <v>31</v>
      </c>
      <c r="E2" s="1" t="s">
        <v>35</v>
      </c>
      <c r="F2" s="1" t="s">
        <v>2</v>
      </c>
      <c r="G2" s="1" t="s">
        <v>32</v>
      </c>
      <c r="H2" s="1" t="s">
        <v>30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36</v>
      </c>
      <c r="V2" s="1" t="s">
        <v>37</v>
      </c>
      <c r="W2" s="1" t="s">
        <v>38</v>
      </c>
    </row>
    <row r="3" spans="1:23" x14ac:dyDescent="0.25">
      <c r="A3" t="s">
        <v>5</v>
      </c>
      <c r="B3" t="s">
        <v>4</v>
      </c>
      <c r="C3" s="7">
        <v>81.87</v>
      </c>
      <c r="D3" s="2">
        <f>90000/2080</f>
        <v>43.269230769230766</v>
      </c>
      <c r="E3" s="2">
        <f>91374.4/2080</f>
        <v>43.93</v>
      </c>
      <c r="F3" s="2">
        <v>43.26</v>
      </c>
      <c r="G3" s="2" t="s">
        <v>33</v>
      </c>
      <c r="H3" s="3">
        <v>0.3</v>
      </c>
      <c r="I3">
        <v>65</v>
      </c>
      <c r="J3">
        <v>74</v>
      </c>
      <c r="K3">
        <v>82</v>
      </c>
      <c r="L3">
        <v>80</v>
      </c>
      <c r="M3">
        <v>86</v>
      </c>
      <c r="N3">
        <v>80</v>
      </c>
      <c r="O3">
        <v>110</v>
      </c>
      <c r="P3">
        <v>98</v>
      </c>
      <c r="Q3">
        <v>88</v>
      </c>
      <c r="R3">
        <v>153</v>
      </c>
      <c r="S3">
        <v>108</v>
      </c>
      <c r="T3">
        <v>91</v>
      </c>
      <c r="U3" s="6">
        <f>(E3*1.29)*(SUM(I3:T3))</f>
        <v>63186.715499999998</v>
      </c>
      <c r="V3" s="6">
        <f>F3*(C3*12)</f>
        <v>42500.354400000004</v>
      </c>
      <c r="W3" s="6">
        <f>V3-U3</f>
        <v>-20686.361099999995</v>
      </c>
    </row>
    <row r="4" spans="1:23" x14ac:dyDescent="0.25">
      <c r="A4" t="s">
        <v>5</v>
      </c>
      <c r="B4" t="s">
        <v>18</v>
      </c>
      <c r="C4" s="8">
        <f>(4250/24)/2</f>
        <v>88.541666666666671</v>
      </c>
      <c r="D4" s="2">
        <f t="shared" ref="D4:D5" si="0">90000/2080</f>
        <v>43.269230769230766</v>
      </c>
      <c r="E4" s="2">
        <f t="shared" ref="E4:E5" si="1">91374.4/2080</f>
        <v>43.93</v>
      </c>
      <c r="F4" s="2">
        <v>50</v>
      </c>
      <c r="G4" s="2"/>
      <c r="H4" s="2"/>
      <c r="I4">
        <v>63</v>
      </c>
      <c r="J4">
        <v>28</v>
      </c>
      <c r="K4">
        <v>43</v>
      </c>
      <c r="L4">
        <v>34</v>
      </c>
      <c r="M4">
        <v>45</v>
      </c>
      <c r="N4">
        <v>47</v>
      </c>
      <c r="O4">
        <v>68</v>
      </c>
      <c r="P4">
        <v>62</v>
      </c>
      <c r="Q4">
        <v>88</v>
      </c>
      <c r="R4">
        <v>31</v>
      </c>
      <c r="S4">
        <v>52</v>
      </c>
      <c r="T4">
        <v>93</v>
      </c>
      <c r="U4" s="6">
        <f t="shared" ref="U4:U22" si="2">(E4*1.29)*(SUM(I4:T4))</f>
        <v>37061.983800000002</v>
      </c>
      <c r="V4" s="6">
        <f t="shared" ref="V4:V22" si="3">F4*(C4*12)</f>
        <v>53125</v>
      </c>
      <c r="W4" s="6">
        <f t="shared" ref="W4:W22" si="4">V4-U4</f>
        <v>16063.016199999998</v>
      </c>
    </row>
    <row r="5" spans="1:23" x14ac:dyDescent="0.25">
      <c r="A5" t="s">
        <v>5</v>
      </c>
      <c r="B5" t="s">
        <v>19</v>
      </c>
      <c r="C5" s="7"/>
      <c r="D5" s="2">
        <f t="shared" si="0"/>
        <v>43.269230769230766</v>
      </c>
      <c r="E5" s="2">
        <f t="shared" si="1"/>
        <v>43.93</v>
      </c>
      <c r="F5" s="2"/>
      <c r="G5" s="2"/>
      <c r="H5" s="2"/>
      <c r="I5">
        <v>56</v>
      </c>
      <c r="J5">
        <v>58</v>
      </c>
      <c r="K5">
        <v>43</v>
      </c>
      <c r="L5">
        <v>61</v>
      </c>
      <c r="M5">
        <v>49</v>
      </c>
      <c r="N5">
        <v>41</v>
      </c>
      <c r="O5">
        <v>8</v>
      </c>
      <c r="P5">
        <v>0</v>
      </c>
      <c r="R5">
        <v>0</v>
      </c>
      <c r="S5">
        <v>0</v>
      </c>
      <c r="T5">
        <v>0</v>
      </c>
      <c r="U5" s="6">
        <f t="shared" si="2"/>
        <v>17907.625199999999</v>
      </c>
      <c r="V5" s="6">
        <f t="shared" si="3"/>
        <v>0</v>
      </c>
      <c r="W5" s="6">
        <f t="shared" si="4"/>
        <v>-17907.625199999999</v>
      </c>
    </row>
    <row r="6" spans="1:23" x14ac:dyDescent="0.25">
      <c r="A6" t="s">
        <v>20</v>
      </c>
      <c r="B6" t="s">
        <v>21</v>
      </c>
      <c r="C6" s="7">
        <v>177</v>
      </c>
      <c r="D6" s="2">
        <f>77000/2080</f>
        <v>37.019230769230766</v>
      </c>
      <c r="E6" s="2">
        <f>78307.73/2080</f>
        <v>37.647947115384611</v>
      </c>
      <c r="F6" s="2">
        <v>63.83</v>
      </c>
      <c r="G6" s="2" t="s">
        <v>33</v>
      </c>
      <c r="H6" s="2"/>
      <c r="I6">
        <v>100</v>
      </c>
      <c r="J6">
        <v>80</v>
      </c>
      <c r="K6">
        <v>100</v>
      </c>
      <c r="L6">
        <v>100</v>
      </c>
      <c r="M6">
        <v>100</v>
      </c>
      <c r="N6">
        <v>100</v>
      </c>
      <c r="O6">
        <v>100</v>
      </c>
      <c r="P6">
        <v>100</v>
      </c>
      <c r="Q6">
        <v>100</v>
      </c>
      <c r="R6">
        <v>100</v>
      </c>
      <c r="S6">
        <v>100</v>
      </c>
      <c r="T6">
        <v>100</v>
      </c>
      <c r="U6" s="6">
        <f t="shared" si="2"/>
        <v>57307.70509903846</v>
      </c>
      <c r="V6" s="6">
        <f t="shared" si="3"/>
        <v>135574.91999999998</v>
      </c>
      <c r="W6" s="6">
        <f t="shared" si="4"/>
        <v>78267.214900961524</v>
      </c>
    </row>
    <row r="7" spans="1:23" x14ac:dyDescent="0.25">
      <c r="A7" t="s">
        <v>20</v>
      </c>
      <c r="B7" t="s">
        <v>22</v>
      </c>
      <c r="C7" s="7">
        <v>83.4</v>
      </c>
      <c r="D7" s="2">
        <f>77000/2080</f>
        <v>37.019230769230766</v>
      </c>
      <c r="E7" s="2">
        <f>78307.73/2080</f>
        <v>37.647947115384611</v>
      </c>
      <c r="F7" s="2">
        <v>52.55</v>
      </c>
      <c r="G7" s="2" t="s">
        <v>34</v>
      </c>
      <c r="H7" s="2"/>
      <c r="I7">
        <v>80</v>
      </c>
      <c r="J7">
        <v>80</v>
      </c>
      <c r="K7">
        <v>80</v>
      </c>
      <c r="L7">
        <v>80</v>
      </c>
      <c r="M7">
        <v>56</v>
      </c>
      <c r="N7">
        <v>92</v>
      </c>
      <c r="O7">
        <v>80</v>
      </c>
      <c r="P7">
        <v>80</v>
      </c>
      <c r="Q7">
        <v>80</v>
      </c>
      <c r="R7">
        <v>80</v>
      </c>
      <c r="S7">
        <v>80</v>
      </c>
      <c r="T7">
        <v>80</v>
      </c>
      <c r="U7" s="6">
        <f t="shared" si="2"/>
        <v>46040.427486346154</v>
      </c>
      <c r="V7" s="6">
        <f t="shared" si="3"/>
        <v>52592.04</v>
      </c>
      <c r="W7" s="6">
        <f t="shared" si="4"/>
        <v>6551.6125136538467</v>
      </c>
    </row>
    <row r="8" spans="1:23" x14ac:dyDescent="0.25">
      <c r="A8" t="s">
        <v>23</v>
      </c>
      <c r="B8" t="s">
        <v>24</v>
      </c>
      <c r="C8" s="7"/>
      <c r="D8" s="2">
        <f>75000/2080</f>
        <v>36.057692307692307</v>
      </c>
      <c r="E8" s="2">
        <f>76312.09/2080</f>
        <v>36.688504807692304</v>
      </c>
      <c r="F8" s="2"/>
      <c r="G8" s="2"/>
      <c r="H8" s="2"/>
      <c r="I8">
        <v>68</v>
      </c>
      <c r="J8">
        <v>38</v>
      </c>
      <c r="K8">
        <v>46</v>
      </c>
      <c r="L8">
        <v>49</v>
      </c>
      <c r="M8">
        <v>28</v>
      </c>
      <c r="N8">
        <v>68</v>
      </c>
      <c r="O8">
        <v>56</v>
      </c>
      <c r="P8">
        <v>42</v>
      </c>
      <c r="Q8">
        <v>21</v>
      </c>
      <c r="R8">
        <v>24</v>
      </c>
      <c r="S8">
        <v>0</v>
      </c>
      <c r="T8">
        <v>29</v>
      </c>
      <c r="U8" s="6">
        <f t="shared" si="2"/>
        <v>22196.912293701924</v>
      </c>
      <c r="V8" s="6">
        <f t="shared" si="3"/>
        <v>0</v>
      </c>
      <c r="W8" s="6">
        <f t="shared" si="4"/>
        <v>-22196.912293701924</v>
      </c>
    </row>
    <row r="9" spans="1:23" x14ac:dyDescent="0.25">
      <c r="A9" t="s">
        <v>23</v>
      </c>
      <c r="B9" t="s">
        <v>4</v>
      </c>
      <c r="C9" s="7">
        <v>34.67</v>
      </c>
      <c r="D9" s="2">
        <f t="shared" ref="D9:D10" si="5">75000/2080</f>
        <v>36.057692307692307</v>
      </c>
      <c r="E9" s="2">
        <f t="shared" ref="E9:E10" si="6">76312.09/2080</f>
        <v>36.688504807692304</v>
      </c>
      <c r="F9" s="2">
        <v>36.049999999999997</v>
      </c>
      <c r="G9" s="2" t="s">
        <v>33</v>
      </c>
      <c r="H9" s="3">
        <v>0.3</v>
      </c>
      <c r="I9">
        <v>20</v>
      </c>
      <c r="J9">
        <v>42</v>
      </c>
      <c r="K9">
        <v>42</v>
      </c>
      <c r="L9">
        <v>41</v>
      </c>
      <c r="M9">
        <v>68</v>
      </c>
      <c r="N9">
        <v>36</v>
      </c>
      <c r="O9">
        <v>64</v>
      </c>
      <c r="P9">
        <v>46</v>
      </c>
      <c r="Q9">
        <v>74</v>
      </c>
      <c r="R9">
        <v>76</v>
      </c>
      <c r="S9">
        <v>80</v>
      </c>
      <c r="T9">
        <v>75</v>
      </c>
      <c r="U9" s="6">
        <f t="shared" si="2"/>
        <v>31425.905678076924</v>
      </c>
      <c r="V9" s="6">
        <f t="shared" si="3"/>
        <v>14998.242</v>
      </c>
      <c r="W9" s="6">
        <f t="shared" si="4"/>
        <v>-16427.663678076926</v>
      </c>
    </row>
    <row r="10" spans="1:23" x14ac:dyDescent="0.25">
      <c r="A10" t="s">
        <v>23</v>
      </c>
      <c r="B10" t="s">
        <v>21</v>
      </c>
      <c r="C10" s="7">
        <v>88</v>
      </c>
      <c r="D10" s="2">
        <f t="shared" si="5"/>
        <v>36.057692307692307</v>
      </c>
      <c r="E10" s="2">
        <f t="shared" si="6"/>
        <v>36.688504807692304</v>
      </c>
      <c r="F10" s="2">
        <v>63.83</v>
      </c>
      <c r="G10" s="2" t="s">
        <v>34</v>
      </c>
      <c r="H10" s="2"/>
      <c r="I10">
        <v>88</v>
      </c>
      <c r="J10">
        <v>80</v>
      </c>
      <c r="K10">
        <v>80</v>
      </c>
      <c r="L10">
        <v>80</v>
      </c>
      <c r="M10">
        <v>80</v>
      </c>
      <c r="N10">
        <v>80</v>
      </c>
      <c r="O10">
        <v>80</v>
      </c>
      <c r="P10">
        <v>80</v>
      </c>
      <c r="Q10">
        <v>81</v>
      </c>
      <c r="R10">
        <v>84</v>
      </c>
      <c r="S10">
        <v>80</v>
      </c>
      <c r="T10">
        <v>80</v>
      </c>
      <c r="U10" s="6">
        <f t="shared" si="2"/>
        <v>46050.310579471152</v>
      </c>
      <c r="V10" s="6">
        <f t="shared" si="3"/>
        <v>67404.479999999996</v>
      </c>
      <c r="W10" s="6">
        <f t="shared" si="4"/>
        <v>21354.169420528844</v>
      </c>
    </row>
    <row r="11" spans="1:23" x14ac:dyDescent="0.25">
      <c r="A11" t="s">
        <v>25</v>
      </c>
      <c r="B11" t="s">
        <v>21</v>
      </c>
      <c r="C11" s="7">
        <v>88</v>
      </c>
      <c r="D11" s="2">
        <f>77500/2080</f>
        <v>37.259615384615387</v>
      </c>
      <c r="E11" s="2">
        <f>78492.76/2080</f>
        <v>37.736903846153844</v>
      </c>
      <c r="F11" s="2">
        <v>63.83</v>
      </c>
      <c r="G11" s="2" t="s">
        <v>34</v>
      </c>
      <c r="H11" s="2"/>
      <c r="I11">
        <v>59</v>
      </c>
      <c r="O11">
        <v>48</v>
      </c>
      <c r="U11" s="6">
        <f t="shared" si="2"/>
        <v>5208.8248378846156</v>
      </c>
      <c r="V11" s="6">
        <f t="shared" si="3"/>
        <v>67404.479999999996</v>
      </c>
      <c r="W11" s="6"/>
    </row>
    <row r="12" spans="1:23" x14ac:dyDescent="0.25">
      <c r="A12" t="s">
        <v>25</v>
      </c>
      <c r="B12" t="s">
        <v>18</v>
      </c>
      <c r="C12" s="8">
        <f>C4</f>
        <v>88.541666666666671</v>
      </c>
      <c r="D12" s="2">
        <f t="shared" ref="D12:D13" si="7">77500/2080</f>
        <v>37.259615384615387</v>
      </c>
      <c r="E12" s="2">
        <f t="shared" ref="E12:E13" si="8">78492.76/2080</f>
        <v>37.736903846153844</v>
      </c>
      <c r="F12" s="2">
        <v>50</v>
      </c>
      <c r="G12" s="2"/>
      <c r="H12" s="2"/>
      <c r="I12">
        <v>16</v>
      </c>
      <c r="O12">
        <v>15</v>
      </c>
      <c r="U12" s="6">
        <f t="shared" si="2"/>
        <v>1509.0987848076923</v>
      </c>
      <c r="V12" s="6">
        <f t="shared" si="3"/>
        <v>53125</v>
      </c>
      <c r="W12" s="6"/>
    </row>
    <row r="13" spans="1:23" x14ac:dyDescent="0.25">
      <c r="A13" t="s">
        <v>25</v>
      </c>
      <c r="B13" t="s">
        <v>26</v>
      </c>
      <c r="C13" s="7"/>
      <c r="D13" s="2">
        <f t="shared" si="7"/>
        <v>37.259615384615387</v>
      </c>
      <c r="E13" s="2">
        <f t="shared" si="8"/>
        <v>37.736903846153844</v>
      </c>
      <c r="F13" s="2"/>
      <c r="G13" s="2"/>
      <c r="H13" s="2"/>
      <c r="I13">
        <v>108</v>
      </c>
      <c r="O13">
        <v>121</v>
      </c>
      <c r="U13" s="6">
        <f t="shared" si="2"/>
        <v>11147.858765192308</v>
      </c>
      <c r="V13" s="6">
        <f t="shared" si="3"/>
        <v>0</v>
      </c>
      <c r="W13" s="6"/>
    </row>
    <row r="14" spans="1:23" x14ac:dyDescent="0.25">
      <c r="A14" t="s">
        <v>27</v>
      </c>
      <c r="B14" t="s">
        <v>4</v>
      </c>
      <c r="C14" s="7">
        <v>36.35</v>
      </c>
      <c r="D14" s="2">
        <f t="shared" ref="D14:D15" si="9">155000/2080</f>
        <v>74.519230769230774</v>
      </c>
      <c r="E14" s="2"/>
      <c r="F14" s="2">
        <v>74.510000000000005</v>
      </c>
      <c r="G14" s="2" t="s">
        <v>33</v>
      </c>
      <c r="H14" s="3">
        <v>0.3</v>
      </c>
      <c r="U14" s="6">
        <f t="shared" si="2"/>
        <v>0</v>
      </c>
      <c r="V14" s="6">
        <f t="shared" si="3"/>
        <v>32501.262000000006</v>
      </c>
      <c r="W14" s="6"/>
    </row>
    <row r="15" spans="1:23" x14ac:dyDescent="0.25">
      <c r="A15" t="s">
        <v>27</v>
      </c>
      <c r="B15" t="s">
        <v>22</v>
      </c>
      <c r="C15" s="7">
        <v>38.4</v>
      </c>
      <c r="D15" s="2">
        <f t="shared" si="9"/>
        <v>74.519230769230774</v>
      </c>
      <c r="E15" s="2"/>
      <c r="F15" s="2">
        <v>86.56</v>
      </c>
      <c r="G15" s="2" t="s">
        <v>34</v>
      </c>
      <c r="H15" s="3"/>
      <c r="U15" s="6">
        <f t="shared" si="2"/>
        <v>0</v>
      </c>
      <c r="V15" s="6">
        <f t="shared" si="3"/>
        <v>39886.847999999998</v>
      </c>
      <c r="W15" s="6"/>
    </row>
    <row r="16" spans="1:23" x14ac:dyDescent="0.25">
      <c r="A16" t="s">
        <v>27</v>
      </c>
      <c r="B16" t="s">
        <v>21</v>
      </c>
      <c r="C16" s="7">
        <v>14</v>
      </c>
      <c r="D16" s="2">
        <f>155000/2080</f>
        <v>74.519230769230774</v>
      </c>
      <c r="E16" s="2"/>
      <c r="F16" s="2">
        <v>92.08</v>
      </c>
      <c r="G16" s="2" t="s">
        <v>34</v>
      </c>
      <c r="H16" s="2"/>
      <c r="U16" s="6">
        <f t="shared" si="2"/>
        <v>0</v>
      </c>
      <c r="V16" s="6">
        <f t="shared" si="3"/>
        <v>15469.44</v>
      </c>
      <c r="W16" s="6"/>
    </row>
    <row r="17" spans="1:23" x14ac:dyDescent="0.25">
      <c r="A17" t="s">
        <v>27</v>
      </c>
      <c r="B17" t="s">
        <v>4</v>
      </c>
      <c r="C17" s="7">
        <v>36.35</v>
      </c>
      <c r="D17" s="2">
        <f t="shared" ref="D17:D18" si="10">185000/2080</f>
        <v>88.942307692307693</v>
      </c>
      <c r="E17" s="2"/>
      <c r="F17" s="2">
        <v>74.510000000000005</v>
      </c>
      <c r="G17" s="2" t="s">
        <v>33</v>
      </c>
      <c r="H17" s="3">
        <v>0.3</v>
      </c>
      <c r="U17" s="6">
        <f t="shared" si="2"/>
        <v>0</v>
      </c>
      <c r="V17" s="6">
        <f t="shared" si="3"/>
        <v>32501.262000000006</v>
      </c>
      <c r="W17" s="6"/>
    </row>
    <row r="18" spans="1:23" x14ac:dyDescent="0.25">
      <c r="A18" t="s">
        <v>27</v>
      </c>
      <c r="B18" t="s">
        <v>22</v>
      </c>
      <c r="C18" s="7">
        <v>38.4</v>
      </c>
      <c r="D18" s="2">
        <f t="shared" si="10"/>
        <v>88.942307692307693</v>
      </c>
      <c r="E18" s="2"/>
      <c r="F18" s="2">
        <v>86.56</v>
      </c>
      <c r="G18" s="2" t="s">
        <v>34</v>
      </c>
      <c r="H18" s="3"/>
      <c r="U18" s="6">
        <f t="shared" si="2"/>
        <v>0</v>
      </c>
      <c r="V18" s="6">
        <f t="shared" si="3"/>
        <v>39886.847999999998</v>
      </c>
      <c r="W18" s="6"/>
    </row>
    <row r="19" spans="1:23" x14ac:dyDescent="0.25">
      <c r="A19" t="s">
        <v>27</v>
      </c>
      <c r="B19" t="s">
        <v>21</v>
      </c>
      <c r="C19" s="7">
        <v>14</v>
      </c>
      <c r="D19" s="2">
        <f>185000/2080</f>
        <v>88.942307692307693</v>
      </c>
      <c r="E19" s="2"/>
      <c r="F19" s="2">
        <v>92.08</v>
      </c>
      <c r="G19" s="2" t="s">
        <v>34</v>
      </c>
      <c r="H19" s="2"/>
      <c r="U19" s="6">
        <f t="shared" si="2"/>
        <v>0</v>
      </c>
      <c r="V19" s="6">
        <f t="shared" si="3"/>
        <v>15469.44</v>
      </c>
      <c r="W19" s="6"/>
    </row>
    <row r="20" spans="1:23" x14ac:dyDescent="0.25">
      <c r="A20" t="s">
        <v>29</v>
      </c>
      <c r="B20" t="s">
        <v>4</v>
      </c>
      <c r="C20" s="7">
        <v>33.43</v>
      </c>
      <c r="D20" s="2">
        <f>70000/2080</f>
        <v>33.653846153846153</v>
      </c>
      <c r="E20" s="2">
        <f>71317.16/2080</f>
        <v>34.287096153846157</v>
      </c>
      <c r="F20" s="2">
        <v>33.65</v>
      </c>
      <c r="G20" s="2" t="s">
        <v>33</v>
      </c>
      <c r="H20" s="3">
        <v>0.3</v>
      </c>
      <c r="I20">
        <v>7</v>
      </c>
      <c r="J20" s="4">
        <v>19</v>
      </c>
      <c r="K20" s="5">
        <v>19</v>
      </c>
      <c r="L20" s="5">
        <v>27</v>
      </c>
      <c r="M20" s="5">
        <v>28</v>
      </c>
      <c r="N20" s="5">
        <f>175/7</f>
        <v>25</v>
      </c>
      <c r="O20" s="5">
        <f t="shared" ref="O20:T20" si="11">175/7</f>
        <v>25</v>
      </c>
      <c r="P20" s="5">
        <f t="shared" si="11"/>
        <v>25</v>
      </c>
      <c r="Q20" s="5">
        <f t="shared" si="11"/>
        <v>25</v>
      </c>
      <c r="R20" s="5">
        <f t="shared" si="11"/>
        <v>25</v>
      </c>
      <c r="S20" s="5">
        <f t="shared" si="11"/>
        <v>25</v>
      </c>
      <c r="T20" s="5">
        <f t="shared" si="11"/>
        <v>25</v>
      </c>
      <c r="U20" s="6">
        <f t="shared" si="2"/>
        <v>12163.347360576923</v>
      </c>
      <c r="V20" s="6">
        <f t="shared" si="3"/>
        <v>13499.033999999998</v>
      </c>
      <c r="W20" s="6">
        <f t="shared" si="4"/>
        <v>1335.6866394230747</v>
      </c>
    </row>
    <row r="21" spans="1:23" x14ac:dyDescent="0.25">
      <c r="A21" t="s">
        <v>28</v>
      </c>
      <c r="B21" t="s">
        <v>21</v>
      </c>
      <c r="C21" s="7">
        <v>44</v>
      </c>
      <c r="D21" s="2"/>
      <c r="E21" s="2">
        <f>59850/2080</f>
        <v>28.77403846153846</v>
      </c>
      <c r="F21" s="2">
        <v>34.53</v>
      </c>
      <c r="G21" s="2" t="s">
        <v>34</v>
      </c>
      <c r="H21" s="2"/>
      <c r="I21">
        <v>42</v>
      </c>
      <c r="J21" s="5">
        <v>37</v>
      </c>
      <c r="K21" s="5">
        <v>44</v>
      </c>
      <c r="L21" s="5">
        <v>50</v>
      </c>
      <c r="M21" s="5">
        <v>50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6">
        <f t="shared" si="2"/>
        <v>8277.4276442307691</v>
      </c>
      <c r="V21" s="6">
        <f t="shared" si="3"/>
        <v>18231.84</v>
      </c>
      <c r="W21" s="6">
        <f t="shared" si="4"/>
        <v>9954.412355769231</v>
      </c>
    </row>
    <row r="22" spans="1:23" x14ac:dyDescent="0.25">
      <c r="A22" t="s">
        <v>28</v>
      </c>
      <c r="B22" t="s">
        <v>4</v>
      </c>
      <c r="C22" s="7">
        <v>62.14</v>
      </c>
      <c r="D22" s="2">
        <f>52000/2080</f>
        <v>25</v>
      </c>
      <c r="E22" s="2">
        <f>59850/2080</f>
        <v>28.77403846153846</v>
      </c>
      <c r="F22" s="2">
        <v>25.48</v>
      </c>
      <c r="G22" s="2" t="s">
        <v>33</v>
      </c>
      <c r="H22" s="3">
        <v>0.3</v>
      </c>
      <c r="I22">
        <v>8</v>
      </c>
      <c r="J22" s="4">
        <v>4</v>
      </c>
      <c r="K22" s="5">
        <v>4</v>
      </c>
      <c r="L22" s="5">
        <v>7</v>
      </c>
      <c r="M22" s="5">
        <v>0</v>
      </c>
      <c r="N22" s="5">
        <v>13</v>
      </c>
      <c r="O22" s="5">
        <v>4</v>
      </c>
      <c r="P22" s="5"/>
      <c r="Q22" s="5">
        <v>0</v>
      </c>
      <c r="R22" s="5">
        <v>0</v>
      </c>
      <c r="S22" s="5">
        <v>0</v>
      </c>
      <c r="T22" s="5">
        <v>0</v>
      </c>
      <c r="U22" s="6">
        <f t="shared" si="2"/>
        <v>1484.7403846153848</v>
      </c>
      <c r="V22" s="6">
        <f t="shared" si="3"/>
        <v>18999.9264</v>
      </c>
      <c r="W22" s="6">
        <f t="shared" si="4"/>
        <v>17515.186015384614</v>
      </c>
    </row>
    <row r="23" spans="1:23" x14ac:dyDescent="0.25">
      <c r="F23" s="2"/>
      <c r="G23" s="2"/>
      <c r="H23" s="2"/>
    </row>
    <row r="24" spans="1:23" x14ac:dyDescent="0.25">
      <c r="F24" s="2"/>
      <c r="G24" s="2"/>
      <c r="H24" s="2"/>
    </row>
    <row r="25" spans="1:23" x14ac:dyDescent="0.25">
      <c r="F25" s="2"/>
      <c r="G25" s="2"/>
      <c r="H25" s="2"/>
    </row>
    <row r="26" spans="1:23" x14ac:dyDescent="0.25">
      <c r="F26" s="2"/>
      <c r="G26" s="2"/>
      <c r="H26" s="2"/>
    </row>
    <row r="27" spans="1:23" x14ac:dyDescent="0.25">
      <c r="F27" s="2"/>
      <c r="G27" s="2"/>
      <c r="H27" s="2"/>
    </row>
    <row r="28" spans="1:23" x14ac:dyDescent="0.25">
      <c r="F28" s="2"/>
      <c r="G28" s="2"/>
      <c r="H28" s="2"/>
    </row>
    <row r="29" spans="1:23" x14ac:dyDescent="0.25">
      <c r="F29" s="2"/>
      <c r="G29" s="2"/>
      <c r="H29" s="2"/>
    </row>
    <row r="30" spans="1:23" x14ac:dyDescent="0.25">
      <c r="F30" s="2"/>
      <c r="G30" s="2"/>
      <c r="H30" s="2"/>
    </row>
    <row r="31" spans="1:23" x14ac:dyDescent="0.25">
      <c r="F31" s="2"/>
      <c r="G31" s="2"/>
      <c r="H31" s="2"/>
    </row>
    <row r="32" spans="1:23" x14ac:dyDescent="0.25">
      <c r="F32" s="2"/>
      <c r="G32" s="2"/>
      <c r="H32" s="2"/>
    </row>
    <row r="33" spans="6:8" x14ac:dyDescent="0.25">
      <c r="F33" s="2"/>
      <c r="G33" s="2"/>
      <c r="H33" s="2"/>
    </row>
    <row r="34" spans="6:8" x14ac:dyDescent="0.25">
      <c r="F34" s="2"/>
      <c r="G34" s="2"/>
      <c r="H34" s="2"/>
    </row>
    <row r="35" spans="6:8" x14ac:dyDescent="0.25">
      <c r="F35" s="2"/>
      <c r="G35" s="2"/>
      <c r="H35" s="2"/>
    </row>
    <row r="36" spans="6:8" x14ac:dyDescent="0.25">
      <c r="F36" s="2"/>
      <c r="G36" s="2"/>
      <c r="H36" s="2"/>
    </row>
    <row r="37" spans="6:8" x14ac:dyDescent="0.25">
      <c r="F37" s="2"/>
      <c r="G37" s="2"/>
      <c r="H37" s="2"/>
    </row>
    <row r="38" spans="6:8" x14ac:dyDescent="0.25">
      <c r="F38" s="2"/>
      <c r="G38" s="2"/>
      <c r="H38" s="2"/>
    </row>
    <row r="39" spans="6:8" x14ac:dyDescent="0.25">
      <c r="F39" s="2"/>
      <c r="G39" s="2"/>
      <c r="H39" s="2"/>
    </row>
    <row r="40" spans="6:8" x14ac:dyDescent="0.25">
      <c r="F40" s="2"/>
      <c r="G40" s="2"/>
      <c r="H40" s="2"/>
    </row>
  </sheetData>
  <mergeCells count="1">
    <mergeCell ref="I1:T1"/>
  </mergeCells>
  <phoneticPr fontId="3" type="noConversion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15355-A9AD-496A-9F31-8BC0E85F8C09}">
  <dimension ref="A1:X148"/>
  <sheetViews>
    <sheetView tabSelected="1" topLeftCell="A119" workbookViewId="0">
      <selection activeCell="C99" sqref="C99"/>
    </sheetView>
  </sheetViews>
  <sheetFormatPr defaultRowHeight="15" x14ac:dyDescent="0.25"/>
  <cols>
    <col min="1" max="1" width="11.28515625" bestFit="1" customWidth="1"/>
    <col min="2" max="2" width="11.42578125" bestFit="1" customWidth="1"/>
    <col min="3" max="4" width="12.85546875" bestFit="1" customWidth="1"/>
    <col min="5" max="5" width="10" bestFit="1" customWidth="1"/>
    <col min="6" max="7" width="14.42578125" bestFit="1" customWidth="1"/>
    <col min="8" max="9" width="12.5703125" bestFit="1" customWidth="1"/>
    <col min="10" max="11" width="15.140625" bestFit="1" customWidth="1"/>
    <col min="12" max="15" width="12" bestFit="1" customWidth="1"/>
    <col min="16" max="16" width="11.5703125" bestFit="1" customWidth="1"/>
    <col min="17" max="18" width="15.5703125" bestFit="1" customWidth="1"/>
    <col min="19" max="19" width="12" bestFit="1" customWidth="1"/>
    <col min="20" max="20" width="18.42578125" bestFit="1" customWidth="1"/>
    <col min="21" max="21" width="12" bestFit="1" customWidth="1"/>
    <col min="22" max="22" width="11.5703125" bestFit="1" customWidth="1"/>
    <col min="23" max="23" width="13.28515625" bestFit="1" customWidth="1"/>
  </cols>
  <sheetData>
    <row r="1" spans="1:22" hidden="1" x14ac:dyDescent="0.25">
      <c r="A1" s="61">
        <v>2025</v>
      </c>
      <c r="B1" s="61" t="s">
        <v>126</v>
      </c>
      <c r="C1" s="61" t="s">
        <v>139</v>
      </c>
      <c r="D1" s="61" t="s">
        <v>85</v>
      </c>
      <c r="E1" s="61" t="s">
        <v>128</v>
      </c>
      <c r="F1" s="61" t="s">
        <v>86</v>
      </c>
      <c r="G1" s="61" t="s">
        <v>87</v>
      </c>
      <c r="H1" s="61" t="s">
        <v>88</v>
      </c>
      <c r="I1" s="61" t="s">
        <v>137</v>
      </c>
      <c r="J1" s="61" t="s">
        <v>149</v>
      </c>
      <c r="K1" s="61" t="s">
        <v>89</v>
      </c>
      <c r="L1" s="61" t="s">
        <v>90</v>
      </c>
      <c r="M1" s="61" t="s">
        <v>91</v>
      </c>
      <c r="N1" s="61" t="s">
        <v>92</v>
      </c>
      <c r="O1" s="61" t="s">
        <v>134</v>
      </c>
      <c r="P1" s="61" t="s">
        <v>93</v>
      </c>
      <c r="Q1" s="61" t="s">
        <v>94</v>
      </c>
      <c r="R1" s="61" t="s">
        <v>146</v>
      </c>
      <c r="S1" s="61" t="s">
        <v>95</v>
      </c>
      <c r="T1" s="61" t="s">
        <v>143</v>
      </c>
      <c r="U1" s="61" t="s">
        <v>96</v>
      </c>
      <c r="V1" s="61" t="s">
        <v>209</v>
      </c>
    </row>
    <row r="2" spans="1:22" hidden="1" x14ac:dyDescent="0.25">
      <c r="A2" s="61" t="s">
        <v>152</v>
      </c>
      <c r="B2">
        <f>SUMIFS('Hours Log'!AD$2:AD$323,'Hours Log'!$A$2:$A$323,"="&amp;'Time Breakdown'!$A2,'Hours Log'!$C$2:$C$323,"="&amp;'Time Breakdown'!$A$1)</f>
        <v>0</v>
      </c>
      <c r="C2">
        <f>SUMIFS('Hours Log'!AE$2:AE$323,'Hours Log'!$A$2:$A$323,"="&amp;'Time Breakdown'!$A2,'Hours Log'!$C$2:$C$323,"="&amp;'Time Breakdown'!$A$1)</f>
        <v>0</v>
      </c>
      <c r="D2">
        <f>SUMIFS('Hours Log'!AF$2:AF$323,'Hours Log'!$A$2:$A$323,"="&amp;'Time Breakdown'!$A2,'Hours Log'!$C$2:$C$323,"="&amp;'Time Breakdown'!$A$1)</f>
        <v>0</v>
      </c>
      <c r="E2">
        <f>SUMIFS('Hours Log'!AG$2:AG$323,'Hours Log'!$A$2:$A$323,"="&amp;'Time Breakdown'!$A2,'Hours Log'!$C$2:$C$323,"="&amp;'Time Breakdown'!$A$1)</f>
        <v>0</v>
      </c>
      <c r="F2">
        <f>SUMIFS('Hours Log'!AH$2:AH$323,'Hours Log'!$A$2:$A$323,"="&amp;'Time Breakdown'!$A2,'Hours Log'!$C$2:$C$323,"="&amp;'Time Breakdown'!$A$1)</f>
        <v>0</v>
      </c>
      <c r="G2">
        <f>SUMIFS('Hours Log'!AI$2:AI$323,'Hours Log'!$A$2:$A$323,"="&amp;'Time Breakdown'!$A2,'Hours Log'!$C$2:$C$323,"="&amp;'Time Breakdown'!$A$1)</f>
        <v>0</v>
      </c>
      <c r="H2">
        <f>SUMIFS('Hours Log'!AJ$2:AJ$323,'Hours Log'!$A$2:$A$323,"="&amp;'Time Breakdown'!$A2,'Hours Log'!$C$2:$C$323,"="&amp;'Time Breakdown'!$A$1)</f>
        <v>0</v>
      </c>
      <c r="I2">
        <f>SUMIFS('Hours Log'!AK$2:AK$323,'Hours Log'!$A$2:$A$323,"="&amp;'Time Breakdown'!$A2,'Hours Log'!$C$2:$C$323,"="&amp;'Time Breakdown'!$A$1)</f>
        <v>0</v>
      </c>
      <c r="J2">
        <f>SUMIFS('Hours Log'!AL$2:AL$323,'Hours Log'!$A$2:$A$323,"="&amp;'Time Breakdown'!$A2,'Hours Log'!$C$2:$C$323,"="&amp;'Time Breakdown'!$A$1)</f>
        <v>0</v>
      </c>
      <c r="K2">
        <f>SUMIFS('Hours Log'!AM$2:AM$323,'Hours Log'!$A$2:$A$323,"="&amp;'Time Breakdown'!$A2,'Hours Log'!$C$2:$C$323,"="&amp;'Time Breakdown'!$A$1)</f>
        <v>0</v>
      </c>
      <c r="L2">
        <f>SUMIFS('Hours Log'!AN$2:AN$323,'Hours Log'!$A$2:$A$323,"="&amp;'Time Breakdown'!$A2,'Hours Log'!$C$2:$C$323,"="&amp;'Time Breakdown'!$A$1)</f>
        <v>0</v>
      </c>
      <c r="M2">
        <f>SUMIFS('Hours Log'!AO$2:AO$323,'Hours Log'!$A$2:$A$323,"="&amp;'Time Breakdown'!$A2,'Hours Log'!$C$2:$C$323,"="&amp;'Time Breakdown'!$A$1)</f>
        <v>0</v>
      </c>
      <c r="N2">
        <f>SUMIFS('Hours Log'!AP$2:AP$323,'Hours Log'!$A$2:$A$323,"="&amp;'Time Breakdown'!$A2,'Hours Log'!$C$2:$C$323,"="&amp;'Time Breakdown'!$A$1)</f>
        <v>0</v>
      </c>
      <c r="O2">
        <f>SUMIFS('Hours Log'!AQ$2:AQ$323,'Hours Log'!$A$2:$A$323,"="&amp;'Time Breakdown'!$A2,'Hours Log'!$C$2:$C$323,"="&amp;'Time Breakdown'!$A$1)</f>
        <v>100</v>
      </c>
      <c r="P2">
        <f>SUMIFS('Hours Log'!AR$2:AR$323,'Hours Log'!$A$2:$A$323,"="&amp;'Time Breakdown'!$A2,'Hours Log'!$C$2:$C$323,"="&amp;'Time Breakdown'!$A$1)</f>
        <v>0</v>
      </c>
      <c r="Q2">
        <f>SUMIFS('Hours Log'!AS$2:AS$323,'Hours Log'!$A$2:$A$323,"="&amp;'Time Breakdown'!$A2,'Hours Log'!$C$2:$C$323,"="&amp;'Time Breakdown'!$A$1)</f>
        <v>0</v>
      </c>
      <c r="R2">
        <f>SUMIFS('Hours Log'!AT$2:AT$323,'Hours Log'!$A$2:$A$323,"="&amp;'Time Breakdown'!$A2,'Hours Log'!$C$2:$C$323,"="&amp;'Time Breakdown'!$A$1)</f>
        <v>0</v>
      </c>
      <c r="S2">
        <f>SUMIFS('Hours Log'!AU$2:AU$323,'Hours Log'!$A$2:$A$323,"="&amp;'Time Breakdown'!$A2,'Hours Log'!$C$2:$C$323,"="&amp;'Time Breakdown'!$A$1)</f>
        <v>0</v>
      </c>
      <c r="T2">
        <f>SUMIFS('Hours Log'!AV$2:AV$323,'Hours Log'!$A$2:$A$323,"="&amp;'Time Breakdown'!$A2,'Hours Log'!$C$2:$C$323,"="&amp;'Time Breakdown'!$A$1)</f>
        <v>0</v>
      </c>
      <c r="U2">
        <f>SUMIFS('Hours Log'!AW$2:AW$323,'Hours Log'!$A$2:$A$323,"="&amp;'Time Breakdown'!$A2,'Hours Log'!$C$2:$C$323,"="&amp;'Time Breakdown'!$A$1)</f>
        <v>0</v>
      </c>
      <c r="V2">
        <f>SUM(B2:U2)</f>
        <v>100</v>
      </c>
    </row>
    <row r="3" spans="1:22" hidden="1" x14ac:dyDescent="0.25">
      <c r="A3" s="61" t="s">
        <v>153</v>
      </c>
      <c r="B3">
        <f>SUMIFS('Hours Log'!AD$2:AD$323,'Hours Log'!$A$2:$A$323,"="&amp;'Time Breakdown'!$A3,'Hours Log'!$C$2:$C$323,"="&amp;'Time Breakdown'!$A$1)</f>
        <v>0</v>
      </c>
      <c r="C3">
        <f>SUMIFS('Hours Log'!AE$2:AE$323,'Hours Log'!$A$2:$A$323,"="&amp;'Time Breakdown'!$A3,'Hours Log'!$C$2:$C$323,"="&amp;'Time Breakdown'!$A$1)</f>
        <v>0</v>
      </c>
      <c r="D3">
        <f>SUMIFS('Hours Log'!AF$2:AF$323,'Hours Log'!$A$2:$A$323,"="&amp;'Time Breakdown'!$A3,'Hours Log'!$C$2:$C$323,"="&amp;'Time Breakdown'!$A$1)</f>
        <v>0</v>
      </c>
      <c r="E3">
        <f>SUMIFS('Hours Log'!AG$2:AG$323,'Hours Log'!$A$2:$A$323,"="&amp;'Time Breakdown'!$A3,'Hours Log'!$C$2:$C$323,"="&amp;'Time Breakdown'!$A$1)</f>
        <v>0</v>
      </c>
      <c r="F3">
        <f>SUMIFS('Hours Log'!AH$2:AH$323,'Hours Log'!$A$2:$A$323,"="&amp;'Time Breakdown'!$A3,'Hours Log'!$C$2:$C$323,"="&amp;'Time Breakdown'!$A$1)</f>
        <v>0</v>
      </c>
      <c r="G3">
        <f>SUMIFS('Hours Log'!AI$2:AI$323,'Hours Log'!$A$2:$A$323,"="&amp;'Time Breakdown'!$A3,'Hours Log'!$C$2:$C$323,"="&amp;'Time Breakdown'!$A$1)</f>
        <v>0</v>
      </c>
      <c r="H3">
        <f>SUMIFS('Hours Log'!AJ$2:AJ$323,'Hours Log'!$A$2:$A$323,"="&amp;'Time Breakdown'!$A3,'Hours Log'!$C$2:$C$323,"="&amp;'Time Breakdown'!$A$1)</f>
        <v>0</v>
      </c>
      <c r="I3">
        <f>SUMIFS('Hours Log'!AK$2:AK$323,'Hours Log'!$A$2:$A$323,"="&amp;'Time Breakdown'!$A3,'Hours Log'!$C$2:$C$323,"="&amp;'Time Breakdown'!$A$1)</f>
        <v>100</v>
      </c>
      <c r="J3">
        <f>SUMIFS('Hours Log'!AL$2:AL$323,'Hours Log'!$A$2:$A$323,"="&amp;'Time Breakdown'!$A3,'Hours Log'!$C$2:$C$323,"="&amp;'Time Breakdown'!$A$1)</f>
        <v>0</v>
      </c>
      <c r="K3">
        <f>SUMIFS('Hours Log'!AM$2:AM$323,'Hours Log'!$A$2:$A$323,"="&amp;'Time Breakdown'!$A3,'Hours Log'!$C$2:$C$323,"="&amp;'Time Breakdown'!$A$1)</f>
        <v>0</v>
      </c>
      <c r="L3">
        <f>SUMIFS('Hours Log'!AN$2:AN$323,'Hours Log'!$A$2:$A$323,"="&amp;'Time Breakdown'!$A3,'Hours Log'!$C$2:$C$323,"="&amp;'Time Breakdown'!$A$1)</f>
        <v>0</v>
      </c>
      <c r="M3">
        <f>SUMIFS('Hours Log'!AO$2:AO$323,'Hours Log'!$A$2:$A$323,"="&amp;'Time Breakdown'!$A3,'Hours Log'!$C$2:$C$323,"="&amp;'Time Breakdown'!$A$1)</f>
        <v>0</v>
      </c>
      <c r="N3">
        <f>SUMIFS('Hours Log'!AP$2:AP$323,'Hours Log'!$A$2:$A$323,"="&amp;'Time Breakdown'!$A3,'Hours Log'!$C$2:$C$323,"="&amp;'Time Breakdown'!$A$1)</f>
        <v>0</v>
      </c>
      <c r="O3">
        <f>SUMIFS('Hours Log'!AQ$2:AQ$323,'Hours Log'!$A$2:$A$323,"="&amp;'Time Breakdown'!$A3,'Hours Log'!$C$2:$C$323,"="&amp;'Time Breakdown'!$A$1)</f>
        <v>0</v>
      </c>
      <c r="P3">
        <f>SUMIFS('Hours Log'!AR$2:AR$323,'Hours Log'!$A$2:$A$323,"="&amp;'Time Breakdown'!$A3,'Hours Log'!$C$2:$C$323,"="&amp;'Time Breakdown'!$A$1)</f>
        <v>0</v>
      </c>
      <c r="Q3">
        <f>SUMIFS('Hours Log'!AS$2:AS$323,'Hours Log'!$A$2:$A$323,"="&amp;'Time Breakdown'!$A3,'Hours Log'!$C$2:$C$323,"="&amp;'Time Breakdown'!$A$1)</f>
        <v>0</v>
      </c>
      <c r="R3">
        <f>SUMIFS('Hours Log'!AT$2:AT$323,'Hours Log'!$A$2:$A$323,"="&amp;'Time Breakdown'!$A3,'Hours Log'!$C$2:$C$323,"="&amp;'Time Breakdown'!$A$1)</f>
        <v>0</v>
      </c>
      <c r="S3">
        <f>SUMIFS('Hours Log'!AU$2:AU$323,'Hours Log'!$A$2:$A$323,"="&amp;'Time Breakdown'!$A3,'Hours Log'!$C$2:$C$323,"="&amp;'Time Breakdown'!$A$1)</f>
        <v>0</v>
      </c>
      <c r="T3">
        <f>SUMIFS('Hours Log'!AV$2:AV$323,'Hours Log'!$A$2:$A$323,"="&amp;'Time Breakdown'!$A3,'Hours Log'!$C$2:$C$323,"="&amp;'Time Breakdown'!$A$1)</f>
        <v>0</v>
      </c>
      <c r="U3">
        <f>SUMIFS('Hours Log'!AW$2:AW$323,'Hours Log'!$A$2:$A$323,"="&amp;'Time Breakdown'!$A3,'Hours Log'!$C$2:$C$323,"="&amp;'Time Breakdown'!$A$1)</f>
        <v>0</v>
      </c>
      <c r="V3">
        <f t="shared" ref="V3:V46" si="0">SUM(B3:U3)</f>
        <v>100</v>
      </c>
    </row>
    <row r="4" spans="1:22" hidden="1" x14ac:dyDescent="0.25">
      <c r="A4" s="61" t="s">
        <v>154</v>
      </c>
      <c r="B4">
        <f>SUMIFS('Hours Log'!AD$2:AD$323,'Hours Log'!$A$2:$A$323,"="&amp;'Time Breakdown'!$A4,'Hours Log'!$C$2:$C$323,"="&amp;'Time Breakdown'!$A$1)</f>
        <v>0</v>
      </c>
      <c r="C4">
        <f>SUMIFS('Hours Log'!AE$2:AE$323,'Hours Log'!$A$2:$A$323,"="&amp;'Time Breakdown'!$A4,'Hours Log'!$C$2:$C$323,"="&amp;'Time Breakdown'!$A$1)</f>
        <v>0</v>
      </c>
      <c r="D4">
        <f>SUMIFS('Hours Log'!AF$2:AF$323,'Hours Log'!$A$2:$A$323,"="&amp;'Time Breakdown'!$A4,'Hours Log'!$C$2:$C$323,"="&amp;'Time Breakdown'!$A$1)</f>
        <v>0</v>
      </c>
      <c r="E4">
        <f>SUMIFS('Hours Log'!AG$2:AG$323,'Hours Log'!$A$2:$A$323,"="&amp;'Time Breakdown'!$A4,'Hours Log'!$C$2:$C$323,"="&amp;'Time Breakdown'!$A$1)</f>
        <v>0</v>
      </c>
      <c r="F4">
        <f>SUMIFS('Hours Log'!AH$2:AH$323,'Hours Log'!$A$2:$A$323,"="&amp;'Time Breakdown'!$A4,'Hours Log'!$C$2:$C$323,"="&amp;'Time Breakdown'!$A$1)</f>
        <v>0</v>
      </c>
      <c r="G4">
        <f>SUMIFS('Hours Log'!AI$2:AI$323,'Hours Log'!$A$2:$A$323,"="&amp;'Time Breakdown'!$A4,'Hours Log'!$C$2:$C$323,"="&amp;'Time Breakdown'!$A$1)</f>
        <v>0</v>
      </c>
      <c r="H4">
        <f>SUMIFS('Hours Log'!AJ$2:AJ$323,'Hours Log'!$A$2:$A$323,"="&amp;'Time Breakdown'!$A4,'Hours Log'!$C$2:$C$323,"="&amp;'Time Breakdown'!$A$1)</f>
        <v>0</v>
      </c>
      <c r="I4">
        <f>SUMIFS('Hours Log'!AK$2:AK$323,'Hours Log'!$A$2:$A$323,"="&amp;'Time Breakdown'!$A4,'Hours Log'!$C$2:$C$323,"="&amp;'Time Breakdown'!$A$1)</f>
        <v>100</v>
      </c>
      <c r="J4">
        <f>SUMIFS('Hours Log'!AL$2:AL$323,'Hours Log'!$A$2:$A$323,"="&amp;'Time Breakdown'!$A4,'Hours Log'!$C$2:$C$323,"="&amp;'Time Breakdown'!$A$1)</f>
        <v>0</v>
      </c>
      <c r="K4">
        <f>SUMIFS('Hours Log'!AM$2:AM$323,'Hours Log'!$A$2:$A$323,"="&amp;'Time Breakdown'!$A4,'Hours Log'!$C$2:$C$323,"="&amp;'Time Breakdown'!$A$1)</f>
        <v>0</v>
      </c>
      <c r="L4">
        <f>SUMIFS('Hours Log'!AN$2:AN$323,'Hours Log'!$A$2:$A$323,"="&amp;'Time Breakdown'!$A4,'Hours Log'!$C$2:$C$323,"="&amp;'Time Breakdown'!$A$1)</f>
        <v>0</v>
      </c>
      <c r="M4">
        <f>SUMIFS('Hours Log'!AO$2:AO$323,'Hours Log'!$A$2:$A$323,"="&amp;'Time Breakdown'!$A4,'Hours Log'!$C$2:$C$323,"="&amp;'Time Breakdown'!$A$1)</f>
        <v>0</v>
      </c>
      <c r="N4">
        <f>SUMIFS('Hours Log'!AP$2:AP$323,'Hours Log'!$A$2:$A$323,"="&amp;'Time Breakdown'!$A4,'Hours Log'!$C$2:$C$323,"="&amp;'Time Breakdown'!$A$1)</f>
        <v>0</v>
      </c>
      <c r="O4">
        <f>SUMIFS('Hours Log'!AQ$2:AQ$323,'Hours Log'!$A$2:$A$323,"="&amp;'Time Breakdown'!$A4,'Hours Log'!$C$2:$C$323,"="&amp;'Time Breakdown'!$A$1)</f>
        <v>0</v>
      </c>
      <c r="P4">
        <f>SUMIFS('Hours Log'!AR$2:AR$323,'Hours Log'!$A$2:$A$323,"="&amp;'Time Breakdown'!$A4,'Hours Log'!$C$2:$C$323,"="&amp;'Time Breakdown'!$A$1)</f>
        <v>0</v>
      </c>
      <c r="Q4">
        <f>SUMIFS('Hours Log'!AS$2:AS$323,'Hours Log'!$A$2:$A$323,"="&amp;'Time Breakdown'!$A4,'Hours Log'!$C$2:$C$323,"="&amp;'Time Breakdown'!$A$1)</f>
        <v>0</v>
      </c>
      <c r="R4">
        <f>SUMIFS('Hours Log'!AT$2:AT$323,'Hours Log'!$A$2:$A$323,"="&amp;'Time Breakdown'!$A4,'Hours Log'!$C$2:$C$323,"="&amp;'Time Breakdown'!$A$1)</f>
        <v>0</v>
      </c>
      <c r="S4">
        <f>SUMIFS('Hours Log'!AU$2:AU$323,'Hours Log'!$A$2:$A$323,"="&amp;'Time Breakdown'!$A4,'Hours Log'!$C$2:$C$323,"="&amp;'Time Breakdown'!$A$1)</f>
        <v>0</v>
      </c>
      <c r="T4">
        <f>SUMIFS('Hours Log'!AV$2:AV$323,'Hours Log'!$A$2:$A$323,"="&amp;'Time Breakdown'!$A4,'Hours Log'!$C$2:$C$323,"="&amp;'Time Breakdown'!$A$1)</f>
        <v>0</v>
      </c>
      <c r="U4">
        <f>SUMIFS('Hours Log'!AW$2:AW$323,'Hours Log'!$A$2:$A$323,"="&amp;'Time Breakdown'!$A4,'Hours Log'!$C$2:$C$323,"="&amp;'Time Breakdown'!$A$1)</f>
        <v>0</v>
      </c>
      <c r="V4">
        <f t="shared" si="0"/>
        <v>100</v>
      </c>
    </row>
    <row r="5" spans="1:22" hidden="1" x14ac:dyDescent="0.25">
      <c r="A5" s="61" t="s">
        <v>155</v>
      </c>
      <c r="B5">
        <f>SUMIFS('Hours Log'!AD$2:AD$323,'Hours Log'!$A$2:$A$323,"="&amp;'Time Breakdown'!$A5,'Hours Log'!$C$2:$C$323,"="&amp;'Time Breakdown'!$A$1)</f>
        <v>0</v>
      </c>
      <c r="C5">
        <f>SUMIFS('Hours Log'!AE$2:AE$323,'Hours Log'!$A$2:$A$323,"="&amp;'Time Breakdown'!$A5,'Hours Log'!$C$2:$C$323,"="&amp;'Time Breakdown'!$A$1)</f>
        <v>0</v>
      </c>
      <c r="D5">
        <f>SUMIFS('Hours Log'!AF$2:AF$323,'Hours Log'!$A$2:$A$323,"="&amp;'Time Breakdown'!$A5,'Hours Log'!$C$2:$C$323,"="&amp;'Time Breakdown'!$A$1)</f>
        <v>0</v>
      </c>
      <c r="E5">
        <f>SUMIFS('Hours Log'!AG$2:AG$323,'Hours Log'!$A$2:$A$323,"="&amp;'Time Breakdown'!$A5,'Hours Log'!$C$2:$C$323,"="&amp;'Time Breakdown'!$A$1)</f>
        <v>0</v>
      </c>
      <c r="F5">
        <f>SUMIFS('Hours Log'!AH$2:AH$323,'Hours Log'!$A$2:$A$323,"="&amp;'Time Breakdown'!$A5,'Hours Log'!$C$2:$C$323,"="&amp;'Time Breakdown'!$A$1)</f>
        <v>0</v>
      </c>
      <c r="G5">
        <f>SUMIFS('Hours Log'!AI$2:AI$323,'Hours Log'!$A$2:$A$323,"="&amp;'Time Breakdown'!$A5,'Hours Log'!$C$2:$C$323,"="&amp;'Time Breakdown'!$A$1)</f>
        <v>0</v>
      </c>
      <c r="H5">
        <f>SUMIFS('Hours Log'!AJ$2:AJ$323,'Hours Log'!$A$2:$A$323,"="&amp;'Time Breakdown'!$A5,'Hours Log'!$C$2:$C$323,"="&amp;'Time Breakdown'!$A$1)</f>
        <v>0</v>
      </c>
      <c r="I5">
        <f>SUMIFS('Hours Log'!AK$2:AK$323,'Hours Log'!$A$2:$A$323,"="&amp;'Time Breakdown'!$A5,'Hours Log'!$C$2:$C$323,"="&amp;'Time Breakdown'!$A$1)</f>
        <v>0</v>
      </c>
      <c r="J5">
        <f>SUMIFS('Hours Log'!AL$2:AL$323,'Hours Log'!$A$2:$A$323,"="&amp;'Time Breakdown'!$A5,'Hours Log'!$C$2:$C$323,"="&amp;'Time Breakdown'!$A$1)</f>
        <v>0</v>
      </c>
      <c r="K5">
        <f>SUMIFS('Hours Log'!AM$2:AM$323,'Hours Log'!$A$2:$A$323,"="&amp;'Time Breakdown'!$A5,'Hours Log'!$C$2:$C$323,"="&amp;'Time Breakdown'!$A$1)</f>
        <v>0</v>
      </c>
      <c r="L5">
        <f>SUMIFS('Hours Log'!AN$2:AN$323,'Hours Log'!$A$2:$A$323,"="&amp;'Time Breakdown'!$A5,'Hours Log'!$C$2:$C$323,"="&amp;'Time Breakdown'!$A$1)</f>
        <v>0</v>
      </c>
      <c r="M5">
        <f>SUMIFS('Hours Log'!AO$2:AO$323,'Hours Log'!$A$2:$A$323,"="&amp;'Time Breakdown'!$A5,'Hours Log'!$C$2:$C$323,"="&amp;'Time Breakdown'!$A$1)</f>
        <v>0</v>
      </c>
      <c r="N5">
        <f>SUMIFS('Hours Log'!AP$2:AP$323,'Hours Log'!$A$2:$A$323,"="&amp;'Time Breakdown'!$A5,'Hours Log'!$C$2:$C$323,"="&amp;'Time Breakdown'!$A$1)</f>
        <v>0</v>
      </c>
      <c r="O5">
        <f>SUMIFS('Hours Log'!AQ$2:AQ$323,'Hours Log'!$A$2:$A$323,"="&amp;'Time Breakdown'!$A5,'Hours Log'!$C$2:$C$323,"="&amp;'Time Breakdown'!$A$1)</f>
        <v>0</v>
      </c>
      <c r="P5">
        <f>SUMIFS('Hours Log'!AR$2:AR$323,'Hours Log'!$A$2:$A$323,"="&amp;'Time Breakdown'!$A5,'Hours Log'!$C$2:$C$323,"="&amp;'Time Breakdown'!$A$1)</f>
        <v>0</v>
      </c>
      <c r="Q5">
        <f>SUMIFS('Hours Log'!AS$2:AS$323,'Hours Log'!$A$2:$A$323,"="&amp;'Time Breakdown'!$A5,'Hours Log'!$C$2:$C$323,"="&amp;'Time Breakdown'!$A$1)</f>
        <v>0</v>
      </c>
      <c r="R5">
        <f>SUMIFS('Hours Log'!AT$2:AT$323,'Hours Log'!$A$2:$A$323,"="&amp;'Time Breakdown'!$A5,'Hours Log'!$C$2:$C$323,"="&amp;'Time Breakdown'!$A$1)</f>
        <v>0</v>
      </c>
      <c r="S5">
        <f>SUMIFS('Hours Log'!AU$2:AU$323,'Hours Log'!$A$2:$A$323,"="&amp;'Time Breakdown'!$A5,'Hours Log'!$C$2:$C$323,"="&amp;'Time Breakdown'!$A$1)</f>
        <v>0</v>
      </c>
      <c r="T5">
        <f>SUMIFS('Hours Log'!AV$2:AV$323,'Hours Log'!$A$2:$A$323,"="&amp;'Time Breakdown'!$A5,'Hours Log'!$C$2:$C$323,"="&amp;'Time Breakdown'!$A$1)</f>
        <v>100</v>
      </c>
      <c r="U5">
        <f>SUMIFS('Hours Log'!AW$2:AW$323,'Hours Log'!$A$2:$A$323,"="&amp;'Time Breakdown'!$A5,'Hours Log'!$C$2:$C$323,"="&amp;'Time Breakdown'!$A$1)</f>
        <v>0</v>
      </c>
      <c r="V5">
        <f t="shared" si="0"/>
        <v>100</v>
      </c>
    </row>
    <row r="6" spans="1:22" hidden="1" x14ac:dyDescent="0.25">
      <c r="A6" s="61" t="s">
        <v>156</v>
      </c>
      <c r="B6">
        <f>SUMIFS('Hours Log'!AD$2:AD$323,'Hours Log'!$A$2:$A$323,"="&amp;'Time Breakdown'!$A6,'Hours Log'!$C$2:$C$323,"="&amp;'Time Breakdown'!$A$1)</f>
        <v>0</v>
      </c>
      <c r="C6">
        <f>SUMIFS('Hours Log'!AE$2:AE$323,'Hours Log'!$A$2:$A$323,"="&amp;'Time Breakdown'!$A6,'Hours Log'!$C$2:$C$323,"="&amp;'Time Breakdown'!$A$1)</f>
        <v>0</v>
      </c>
      <c r="D6">
        <f>SUMIFS('Hours Log'!AF$2:AF$323,'Hours Log'!$A$2:$A$323,"="&amp;'Time Breakdown'!$A6,'Hours Log'!$C$2:$C$323,"="&amp;'Time Breakdown'!$A$1)</f>
        <v>0</v>
      </c>
      <c r="E6">
        <f>SUMIFS('Hours Log'!AG$2:AG$323,'Hours Log'!$A$2:$A$323,"="&amp;'Time Breakdown'!$A6,'Hours Log'!$C$2:$C$323,"="&amp;'Time Breakdown'!$A$1)</f>
        <v>0</v>
      </c>
      <c r="F6">
        <f>SUMIFS('Hours Log'!AH$2:AH$323,'Hours Log'!$A$2:$A$323,"="&amp;'Time Breakdown'!$A6,'Hours Log'!$C$2:$C$323,"="&amp;'Time Breakdown'!$A$1)</f>
        <v>0</v>
      </c>
      <c r="G6">
        <f>SUMIFS('Hours Log'!AI$2:AI$323,'Hours Log'!$A$2:$A$323,"="&amp;'Time Breakdown'!$A6,'Hours Log'!$C$2:$C$323,"="&amp;'Time Breakdown'!$A$1)</f>
        <v>0</v>
      </c>
      <c r="H6">
        <f>SUMIFS('Hours Log'!AJ$2:AJ$323,'Hours Log'!$A$2:$A$323,"="&amp;'Time Breakdown'!$A6,'Hours Log'!$C$2:$C$323,"="&amp;'Time Breakdown'!$A$1)</f>
        <v>0</v>
      </c>
      <c r="I6">
        <f>SUMIFS('Hours Log'!AK$2:AK$323,'Hours Log'!$A$2:$A$323,"="&amp;'Time Breakdown'!$A6,'Hours Log'!$C$2:$C$323,"="&amp;'Time Breakdown'!$A$1)</f>
        <v>100</v>
      </c>
      <c r="J6">
        <f>SUMIFS('Hours Log'!AL$2:AL$323,'Hours Log'!$A$2:$A$323,"="&amp;'Time Breakdown'!$A6,'Hours Log'!$C$2:$C$323,"="&amp;'Time Breakdown'!$A$1)</f>
        <v>0</v>
      </c>
      <c r="K6">
        <f>SUMIFS('Hours Log'!AM$2:AM$323,'Hours Log'!$A$2:$A$323,"="&amp;'Time Breakdown'!$A6,'Hours Log'!$C$2:$C$323,"="&amp;'Time Breakdown'!$A$1)</f>
        <v>0</v>
      </c>
      <c r="L6">
        <f>SUMIFS('Hours Log'!AN$2:AN$323,'Hours Log'!$A$2:$A$323,"="&amp;'Time Breakdown'!$A6,'Hours Log'!$C$2:$C$323,"="&amp;'Time Breakdown'!$A$1)</f>
        <v>0</v>
      </c>
      <c r="M6">
        <f>SUMIFS('Hours Log'!AO$2:AO$323,'Hours Log'!$A$2:$A$323,"="&amp;'Time Breakdown'!$A6,'Hours Log'!$C$2:$C$323,"="&amp;'Time Breakdown'!$A$1)</f>
        <v>0</v>
      </c>
      <c r="N6">
        <f>SUMIFS('Hours Log'!AP$2:AP$323,'Hours Log'!$A$2:$A$323,"="&amp;'Time Breakdown'!$A6,'Hours Log'!$C$2:$C$323,"="&amp;'Time Breakdown'!$A$1)</f>
        <v>0</v>
      </c>
      <c r="O6">
        <f>SUMIFS('Hours Log'!AQ$2:AQ$323,'Hours Log'!$A$2:$A$323,"="&amp;'Time Breakdown'!$A6,'Hours Log'!$C$2:$C$323,"="&amp;'Time Breakdown'!$A$1)</f>
        <v>0</v>
      </c>
      <c r="P6">
        <f>SUMIFS('Hours Log'!AR$2:AR$323,'Hours Log'!$A$2:$A$323,"="&amp;'Time Breakdown'!$A6,'Hours Log'!$C$2:$C$323,"="&amp;'Time Breakdown'!$A$1)</f>
        <v>0</v>
      </c>
      <c r="Q6">
        <f>SUMIFS('Hours Log'!AS$2:AS$323,'Hours Log'!$A$2:$A$323,"="&amp;'Time Breakdown'!$A6,'Hours Log'!$C$2:$C$323,"="&amp;'Time Breakdown'!$A$1)</f>
        <v>0</v>
      </c>
      <c r="R6">
        <f>SUMIFS('Hours Log'!AT$2:AT$323,'Hours Log'!$A$2:$A$323,"="&amp;'Time Breakdown'!$A6,'Hours Log'!$C$2:$C$323,"="&amp;'Time Breakdown'!$A$1)</f>
        <v>0</v>
      </c>
      <c r="S6">
        <f>SUMIFS('Hours Log'!AU$2:AU$323,'Hours Log'!$A$2:$A$323,"="&amp;'Time Breakdown'!$A6,'Hours Log'!$C$2:$C$323,"="&amp;'Time Breakdown'!$A$1)</f>
        <v>0</v>
      </c>
      <c r="T6">
        <f>SUMIFS('Hours Log'!AV$2:AV$323,'Hours Log'!$A$2:$A$323,"="&amp;'Time Breakdown'!$A6,'Hours Log'!$C$2:$C$323,"="&amp;'Time Breakdown'!$A$1)</f>
        <v>0</v>
      </c>
      <c r="U6">
        <f>SUMIFS('Hours Log'!AW$2:AW$323,'Hours Log'!$A$2:$A$323,"="&amp;'Time Breakdown'!$A6,'Hours Log'!$C$2:$C$323,"="&amp;'Time Breakdown'!$A$1)</f>
        <v>0</v>
      </c>
      <c r="V6">
        <f t="shared" si="0"/>
        <v>100</v>
      </c>
    </row>
    <row r="7" spans="1:22" hidden="1" x14ac:dyDescent="0.25">
      <c r="A7" s="61" t="s">
        <v>157</v>
      </c>
      <c r="B7">
        <f>SUMIFS('Hours Log'!AD$2:AD$323,'Hours Log'!$A$2:$A$323,"="&amp;'Time Breakdown'!$A7,'Hours Log'!$C$2:$C$323,"="&amp;'Time Breakdown'!$A$1)</f>
        <v>0</v>
      </c>
      <c r="C7">
        <f>SUMIFS('Hours Log'!AE$2:AE$323,'Hours Log'!$A$2:$A$323,"="&amp;'Time Breakdown'!$A7,'Hours Log'!$C$2:$C$323,"="&amp;'Time Breakdown'!$A$1)</f>
        <v>0</v>
      </c>
      <c r="D7">
        <f>SUMIFS('Hours Log'!AF$2:AF$323,'Hours Log'!$A$2:$A$323,"="&amp;'Time Breakdown'!$A7,'Hours Log'!$C$2:$C$323,"="&amp;'Time Breakdown'!$A$1)</f>
        <v>0</v>
      </c>
      <c r="E7">
        <f>SUMIFS('Hours Log'!AG$2:AG$323,'Hours Log'!$A$2:$A$323,"="&amp;'Time Breakdown'!$A7,'Hours Log'!$C$2:$C$323,"="&amp;'Time Breakdown'!$A$1)</f>
        <v>0</v>
      </c>
      <c r="F7">
        <f>SUMIFS('Hours Log'!AH$2:AH$323,'Hours Log'!$A$2:$A$323,"="&amp;'Time Breakdown'!$A7,'Hours Log'!$C$2:$C$323,"="&amp;'Time Breakdown'!$A$1)</f>
        <v>0</v>
      </c>
      <c r="G7">
        <f>SUMIFS('Hours Log'!AI$2:AI$323,'Hours Log'!$A$2:$A$323,"="&amp;'Time Breakdown'!$A7,'Hours Log'!$C$2:$C$323,"="&amp;'Time Breakdown'!$A$1)</f>
        <v>0</v>
      </c>
      <c r="H7">
        <f>SUMIFS('Hours Log'!AJ$2:AJ$323,'Hours Log'!$A$2:$A$323,"="&amp;'Time Breakdown'!$A7,'Hours Log'!$C$2:$C$323,"="&amp;'Time Breakdown'!$A$1)</f>
        <v>0</v>
      </c>
      <c r="I7">
        <f>SUMIFS('Hours Log'!AK$2:AK$323,'Hours Log'!$A$2:$A$323,"="&amp;'Time Breakdown'!$A7,'Hours Log'!$C$2:$C$323,"="&amp;'Time Breakdown'!$A$1)</f>
        <v>100</v>
      </c>
      <c r="J7">
        <f>SUMIFS('Hours Log'!AL$2:AL$323,'Hours Log'!$A$2:$A$323,"="&amp;'Time Breakdown'!$A7,'Hours Log'!$C$2:$C$323,"="&amp;'Time Breakdown'!$A$1)</f>
        <v>0</v>
      </c>
      <c r="K7">
        <f>SUMIFS('Hours Log'!AM$2:AM$323,'Hours Log'!$A$2:$A$323,"="&amp;'Time Breakdown'!$A7,'Hours Log'!$C$2:$C$323,"="&amp;'Time Breakdown'!$A$1)</f>
        <v>0</v>
      </c>
      <c r="L7">
        <f>SUMIFS('Hours Log'!AN$2:AN$323,'Hours Log'!$A$2:$A$323,"="&amp;'Time Breakdown'!$A7,'Hours Log'!$C$2:$C$323,"="&amp;'Time Breakdown'!$A$1)</f>
        <v>0</v>
      </c>
      <c r="M7">
        <f>SUMIFS('Hours Log'!AO$2:AO$323,'Hours Log'!$A$2:$A$323,"="&amp;'Time Breakdown'!$A7,'Hours Log'!$C$2:$C$323,"="&amp;'Time Breakdown'!$A$1)</f>
        <v>0</v>
      </c>
      <c r="N7">
        <f>SUMIFS('Hours Log'!AP$2:AP$323,'Hours Log'!$A$2:$A$323,"="&amp;'Time Breakdown'!$A7,'Hours Log'!$C$2:$C$323,"="&amp;'Time Breakdown'!$A$1)</f>
        <v>0</v>
      </c>
      <c r="O7">
        <f>SUMIFS('Hours Log'!AQ$2:AQ$323,'Hours Log'!$A$2:$A$323,"="&amp;'Time Breakdown'!$A7,'Hours Log'!$C$2:$C$323,"="&amp;'Time Breakdown'!$A$1)</f>
        <v>0</v>
      </c>
      <c r="P7">
        <f>SUMIFS('Hours Log'!AR$2:AR$323,'Hours Log'!$A$2:$A$323,"="&amp;'Time Breakdown'!$A7,'Hours Log'!$C$2:$C$323,"="&amp;'Time Breakdown'!$A$1)</f>
        <v>0</v>
      </c>
      <c r="Q7">
        <f>SUMIFS('Hours Log'!AS$2:AS$323,'Hours Log'!$A$2:$A$323,"="&amp;'Time Breakdown'!$A7,'Hours Log'!$C$2:$C$323,"="&amp;'Time Breakdown'!$A$1)</f>
        <v>0</v>
      </c>
      <c r="R7">
        <f>SUMIFS('Hours Log'!AT$2:AT$323,'Hours Log'!$A$2:$A$323,"="&amp;'Time Breakdown'!$A7,'Hours Log'!$C$2:$C$323,"="&amp;'Time Breakdown'!$A$1)</f>
        <v>0</v>
      </c>
      <c r="S7">
        <f>SUMIFS('Hours Log'!AU$2:AU$323,'Hours Log'!$A$2:$A$323,"="&amp;'Time Breakdown'!$A7,'Hours Log'!$C$2:$C$323,"="&amp;'Time Breakdown'!$A$1)</f>
        <v>0</v>
      </c>
      <c r="T7">
        <f>SUMIFS('Hours Log'!AV$2:AV$323,'Hours Log'!$A$2:$A$323,"="&amp;'Time Breakdown'!$A7,'Hours Log'!$C$2:$C$323,"="&amp;'Time Breakdown'!$A$1)</f>
        <v>0</v>
      </c>
      <c r="U7">
        <f>SUMIFS('Hours Log'!AW$2:AW$323,'Hours Log'!$A$2:$A$323,"="&amp;'Time Breakdown'!$A7,'Hours Log'!$C$2:$C$323,"="&amp;'Time Breakdown'!$A$1)</f>
        <v>0</v>
      </c>
      <c r="V7">
        <f t="shared" si="0"/>
        <v>100</v>
      </c>
    </row>
    <row r="8" spans="1:22" hidden="1" x14ac:dyDescent="0.25">
      <c r="A8" s="61" t="s">
        <v>158</v>
      </c>
      <c r="B8">
        <f>SUMIFS('Hours Log'!AD$2:AD$323,'Hours Log'!$A$2:$A$323,"="&amp;'Time Breakdown'!$A8,'Hours Log'!$C$2:$C$323,"="&amp;'Time Breakdown'!$A$1)</f>
        <v>0</v>
      </c>
      <c r="C8">
        <f>SUMIFS('Hours Log'!AE$2:AE$323,'Hours Log'!$A$2:$A$323,"="&amp;'Time Breakdown'!$A8,'Hours Log'!$C$2:$C$323,"="&amp;'Time Breakdown'!$A$1)</f>
        <v>0</v>
      </c>
      <c r="D8">
        <f>SUMIFS('Hours Log'!AF$2:AF$323,'Hours Log'!$A$2:$A$323,"="&amp;'Time Breakdown'!$A8,'Hours Log'!$C$2:$C$323,"="&amp;'Time Breakdown'!$A$1)</f>
        <v>0</v>
      </c>
      <c r="E8">
        <f>SUMIFS('Hours Log'!AG$2:AG$323,'Hours Log'!$A$2:$A$323,"="&amp;'Time Breakdown'!$A8,'Hours Log'!$C$2:$C$323,"="&amp;'Time Breakdown'!$A$1)</f>
        <v>0</v>
      </c>
      <c r="F8">
        <f>SUMIFS('Hours Log'!AH$2:AH$323,'Hours Log'!$A$2:$A$323,"="&amp;'Time Breakdown'!$A8,'Hours Log'!$C$2:$C$323,"="&amp;'Time Breakdown'!$A$1)</f>
        <v>0</v>
      </c>
      <c r="G8">
        <f>SUMIFS('Hours Log'!AI$2:AI$323,'Hours Log'!$A$2:$A$323,"="&amp;'Time Breakdown'!$A8,'Hours Log'!$C$2:$C$323,"="&amp;'Time Breakdown'!$A$1)</f>
        <v>0</v>
      </c>
      <c r="H8">
        <f>SUMIFS('Hours Log'!AJ$2:AJ$323,'Hours Log'!$A$2:$A$323,"="&amp;'Time Breakdown'!$A8,'Hours Log'!$C$2:$C$323,"="&amp;'Time Breakdown'!$A$1)</f>
        <v>0</v>
      </c>
      <c r="I8">
        <f>SUMIFS('Hours Log'!AK$2:AK$323,'Hours Log'!$A$2:$A$323,"="&amp;'Time Breakdown'!$A8,'Hours Log'!$C$2:$C$323,"="&amp;'Time Breakdown'!$A$1)</f>
        <v>0</v>
      </c>
      <c r="J8">
        <f>SUMIFS('Hours Log'!AL$2:AL$323,'Hours Log'!$A$2:$A$323,"="&amp;'Time Breakdown'!$A8,'Hours Log'!$C$2:$C$323,"="&amp;'Time Breakdown'!$A$1)</f>
        <v>0</v>
      </c>
      <c r="K8">
        <f>SUMIFS('Hours Log'!AM$2:AM$323,'Hours Log'!$A$2:$A$323,"="&amp;'Time Breakdown'!$A8,'Hours Log'!$C$2:$C$323,"="&amp;'Time Breakdown'!$A$1)</f>
        <v>0</v>
      </c>
      <c r="L8">
        <f>SUMIFS('Hours Log'!AN$2:AN$323,'Hours Log'!$A$2:$A$323,"="&amp;'Time Breakdown'!$A8,'Hours Log'!$C$2:$C$323,"="&amp;'Time Breakdown'!$A$1)</f>
        <v>0</v>
      </c>
      <c r="M8">
        <f>SUMIFS('Hours Log'!AO$2:AO$323,'Hours Log'!$A$2:$A$323,"="&amp;'Time Breakdown'!$A8,'Hours Log'!$C$2:$C$323,"="&amp;'Time Breakdown'!$A$1)</f>
        <v>0</v>
      </c>
      <c r="N8">
        <f>SUMIFS('Hours Log'!AP$2:AP$323,'Hours Log'!$A$2:$A$323,"="&amp;'Time Breakdown'!$A8,'Hours Log'!$C$2:$C$323,"="&amp;'Time Breakdown'!$A$1)</f>
        <v>0</v>
      </c>
      <c r="O8">
        <f>SUMIFS('Hours Log'!AQ$2:AQ$323,'Hours Log'!$A$2:$A$323,"="&amp;'Time Breakdown'!$A8,'Hours Log'!$C$2:$C$323,"="&amp;'Time Breakdown'!$A$1)</f>
        <v>100</v>
      </c>
      <c r="P8">
        <f>SUMIFS('Hours Log'!AR$2:AR$323,'Hours Log'!$A$2:$A$323,"="&amp;'Time Breakdown'!$A8,'Hours Log'!$C$2:$C$323,"="&amp;'Time Breakdown'!$A$1)</f>
        <v>0</v>
      </c>
      <c r="Q8">
        <f>SUMIFS('Hours Log'!AS$2:AS$323,'Hours Log'!$A$2:$A$323,"="&amp;'Time Breakdown'!$A8,'Hours Log'!$C$2:$C$323,"="&amp;'Time Breakdown'!$A$1)</f>
        <v>0</v>
      </c>
      <c r="R8">
        <f>SUMIFS('Hours Log'!AT$2:AT$323,'Hours Log'!$A$2:$A$323,"="&amp;'Time Breakdown'!$A8,'Hours Log'!$C$2:$C$323,"="&amp;'Time Breakdown'!$A$1)</f>
        <v>0</v>
      </c>
      <c r="S8">
        <f>SUMIFS('Hours Log'!AU$2:AU$323,'Hours Log'!$A$2:$A$323,"="&amp;'Time Breakdown'!$A8,'Hours Log'!$C$2:$C$323,"="&amp;'Time Breakdown'!$A$1)</f>
        <v>0</v>
      </c>
      <c r="T8">
        <f>SUMIFS('Hours Log'!AV$2:AV$323,'Hours Log'!$A$2:$A$323,"="&amp;'Time Breakdown'!$A8,'Hours Log'!$C$2:$C$323,"="&amp;'Time Breakdown'!$A$1)</f>
        <v>0</v>
      </c>
      <c r="U8">
        <f>SUMIFS('Hours Log'!AW$2:AW$323,'Hours Log'!$A$2:$A$323,"="&amp;'Time Breakdown'!$A8,'Hours Log'!$C$2:$C$323,"="&amp;'Time Breakdown'!$A$1)</f>
        <v>0</v>
      </c>
      <c r="V8">
        <f t="shared" si="0"/>
        <v>100</v>
      </c>
    </row>
    <row r="9" spans="1:22" hidden="1" x14ac:dyDescent="0.25">
      <c r="A9" s="61" t="s">
        <v>159</v>
      </c>
      <c r="B9">
        <f>SUMIFS('Hours Log'!AD$2:AD$323,'Hours Log'!$A$2:$A$323,"="&amp;'Time Breakdown'!$A9,'Hours Log'!$C$2:$C$323,"="&amp;'Time Breakdown'!$A$1)</f>
        <v>0</v>
      </c>
      <c r="C9">
        <f>SUMIFS('Hours Log'!AE$2:AE$323,'Hours Log'!$A$2:$A$323,"="&amp;'Time Breakdown'!$A9,'Hours Log'!$C$2:$C$323,"="&amp;'Time Breakdown'!$A$1)</f>
        <v>0</v>
      </c>
      <c r="D9">
        <f>SUMIFS('Hours Log'!AF$2:AF$323,'Hours Log'!$A$2:$A$323,"="&amp;'Time Breakdown'!$A9,'Hours Log'!$C$2:$C$323,"="&amp;'Time Breakdown'!$A$1)</f>
        <v>0</v>
      </c>
      <c r="E9">
        <f>SUMIFS('Hours Log'!AG$2:AG$323,'Hours Log'!$A$2:$A$323,"="&amp;'Time Breakdown'!$A9,'Hours Log'!$C$2:$C$323,"="&amp;'Time Breakdown'!$A$1)</f>
        <v>0</v>
      </c>
      <c r="F9">
        <f>SUMIFS('Hours Log'!AH$2:AH$323,'Hours Log'!$A$2:$A$323,"="&amp;'Time Breakdown'!$A9,'Hours Log'!$C$2:$C$323,"="&amp;'Time Breakdown'!$A$1)</f>
        <v>0</v>
      </c>
      <c r="G9">
        <f>SUMIFS('Hours Log'!AI$2:AI$323,'Hours Log'!$A$2:$A$323,"="&amp;'Time Breakdown'!$A9,'Hours Log'!$C$2:$C$323,"="&amp;'Time Breakdown'!$A$1)</f>
        <v>0</v>
      </c>
      <c r="H9">
        <f>SUMIFS('Hours Log'!AJ$2:AJ$323,'Hours Log'!$A$2:$A$323,"="&amp;'Time Breakdown'!$A9,'Hours Log'!$C$2:$C$323,"="&amp;'Time Breakdown'!$A$1)</f>
        <v>0</v>
      </c>
      <c r="I9">
        <f>SUMIFS('Hours Log'!AK$2:AK$323,'Hours Log'!$A$2:$A$323,"="&amp;'Time Breakdown'!$A9,'Hours Log'!$C$2:$C$323,"="&amp;'Time Breakdown'!$A$1)</f>
        <v>100</v>
      </c>
      <c r="J9">
        <f>SUMIFS('Hours Log'!AL$2:AL$323,'Hours Log'!$A$2:$A$323,"="&amp;'Time Breakdown'!$A9,'Hours Log'!$C$2:$C$323,"="&amp;'Time Breakdown'!$A$1)</f>
        <v>0</v>
      </c>
      <c r="K9">
        <f>SUMIFS('Hours Log'!AM$2:AM$323,'Hours Log'!$A$2:$A$323,"="&amp;'Time Breakdown'!$A9,'Hours Log'!$C$2:$C$323,"="&amp;'Time Breakdown'!$A$1)</f>
        <v>0</v>
      </c>
      <c r="L9">
        <f>SUMIFS('Hours Log'!AN$2:AN$323,'Hours Log'!$A$2:$A$323,"="&amp;'Time Breakdown'!$A9,'Hours Log'!$C$2:$C$323,"="&amp;'Time Breakdown'!$A$1)</f>
        <v>0</v>
      </c>
      <c r="M9">
        <f>SUMIFS('Hours Log'!AO$2:AO$323,'Hours Log'!$A$2:$A$323,"="&amp;'Time Breakdown'!$A9,'Hours Log'!$C$2:$C$323,"="&amp;'Time Breakdown'!$A$1)</f>
        <v>0</v>
      </c>
      <c r="N9">
        <f>SUMIFS('Hours Log'!AP$2:AP$323,'Hours Log'!$A$2:$A$323,"="&amp;'Time Breakdown'!$A9,'Hours Log'!$C$2:$C$323,"="&amp;'Time Breakdown'!$A$1)</f>
        <v>0</v>
      </c>
      <c r="O9">
        <f>SUMIFS('Hours Log'!AQ$2:AQ$323,'Hours Log'!$A$2:$A$323,"="&amp;'Time Breakdown'!$A9,'Hours Log'!$C$2:$C$323,"="&amp;'Time Breakdown'!$A$1)</f>
        <v>0</v>
      </c>
      <c r="P9">
        <f>SUMIFS('Hours Log'!AR$2:AR$323,'Hours Log'!$A$2:$A$323,"="&amp;'Time Breakdown'!$A9,'Hours Log'!$C$2:$C$323,"="&amp;'Time Breakdown'!$A$1)</f>
        <v>0</v>
      </c>
      <c r="Q9">
        <f>SUMIFS('Hours Log'!AS$2:AS$323,'Hours Log'!$A$2:$A$323,"="&amp;'Time Breakdown'!$A9,'Hours Log'!$C$2:$C$323,"="&amp;'Time Breakdown'!$A$1)</f>
        <v>0</v>
      </c>
      <c r="R9">
        <f>SUMIFS('Hours Log'!AT$2:AT$323,'Hours Log'!$A$2:$A$323,"="&amp;'Time Breakdown'!$A9,'Hours Log'!$C$2:$C$323,"="&amp;'Time Breakdown'!$A$1)</f>
        <v>0</v>
      </c>
      <c r="S9">
        <f>SUMIFS('Hours Log'!AU$2:AU$323,'Hours Log'!$A$2:$A$323,"="&amp;'Time Breakdown'!$A9,'Hours Log'!$C$2:$C$323,"="&amp;'Time Breakdown'!$A$1)</f>
        <v>0</v>
      </c>
      <c r="T9">
        <f>SUMIFS('Hours Log'!AV$2:AV$323,'Hours Log'!$A$2:$A$323,"="&amp;'Time Breakdown'!$A9,'Hours Log'!$C$2:$C$323,"="&amp;'Time Breakdown'!$A$1)</f>
        <v>0</v>
      </c>
      <c r="U9">
        <f>SUMIFS('Hours Log'!AW$2:AW$323,'Hours Log'!$A$2:$A$323,"="&amp;'Time Breakdown'!$A9,'Hours Log'!$C$2:$C$323,"="&amp;'Time Breakdown'!$A$1)</f>
        <v>0</v>
      </c>
      <c r="V9">
        <f t="shared" si="0"/>
        <v>100</v>
      </c>
    </row>
    <row r="10" spans="1:22" hidden="1" x14ac:dyDescent="0.25">
      <c r="A10" s="61" t="s">
        <v>160</v>
      </c>
      <c r="B10">
        <f>SUMIFS('Hours Log'!AD$2:AD$323,'Hours Log'!$A$2:$A$323,"="&amp;'Time Breakdown'!$A10,'Hours Log'!$C$2:$C$323,"="&amp;'Time Breakdown'!$A$1)</f>
        <v>0</v>
      </c>
      <c r="C10">
        <f>SUMIFS('Hours Log'!AE$2:AE$323,'Hours Log'!$A$2:$A$323,"="&amp;'Time Breakdown'!$A10,'Hours Log'!$C$2:$C$323,"="&amp;'Time Breakdown'!$A$1)</f>
        <v>0</v>
      </c>
      <c r="D10">
        <f>SUMIFS('Hours Log'!AF$2:AF$323,'Hours Log'!$A$2:$A$323,"="&amp;'Time Breakdown'!$A10,'Hours Log'!$C$2:$C$323,"="&amp;'Time Breakdown'!$A$1)</f>
        <v>0</v>
      </c>
      <c r="E10">
        <f>SUMIFS('Hours Log'!AG$2:AG$323,'Hours Log'!$A$2:$A$323,"="&amp;'Time Breakdown'!$A10,'Hours Log'!$C$2:$C$323,"="&amp;'Time Breakdown'!$A$1)</f>
        <v>0</v>
      </c>
      <c r="F10">
        <f>SUMIFS('Hours Log'!AH$2:AH$323,'Hours Log'!$A$2:$A$323,"="&amp;'Time Breakdown'!$A10,'Hours Log'!$C$2:$C$323,"="&amp;'Time Breakdown'!$A$1)</f>
        <v>0</v>
      </c>
      <c r="G10">
        <f>SUMIFS('Hours Log'!AI$2:AI$323,'Hours Log'!$A$2:$A$323,"="&amp;'Time Breakdown'!$A10,'Hours Log'!$C$2:$C$323,"="&amp;'Time Breakdown'!$A$1)</f>
        <v>0</v>
      </c>
      <c r="H10">
        <f>SUMIFS('Hours Log'!AJ$2:AJ$323,'Hours Log'!$A$2:$A$323,"="&amp;'Time Breakdown'!$A10,'Hours Log'!$C$2:$C$323,"="&amp;'Time Breakdown'!$A$1)</f>
        <v>0</v>
      </c>
      <c r="I10">
        <f>SUMIFS('Hours Log'!AK$2:AK$323,'Hours Log'!$A$2:$A$323,"="&amp;'Time Breakdown'!$A10,'Hours Log'!$C$2:$C$323,"="&amp;'Time Breakdown'!$A$1)</f>
        <v>100</v>
      </c>
      <c r="J10">
        <f>SUMIFS('Hours Log'!AL$2:AL$323,'Hours Log'!$A$2:$A$323,"="&amp;'Time Breakdown'!$A10,'Hours Log'!$C$2:$C$323,"="&amp;'Time Breakdown'!$A$1)</f>
        <v>0</v>
      </c>
      <c r="K10">
        <f>SUMIFS('Hours Log'!AM$2:AM$323,'Hours Log'!$A$2:$A$323,"="&amp;'Time Breakdown'!$A10,'Hours Log'!$C$2:$C$323,"="&amp;'Time Breakdown'!$A$1)</f>
        <v>0</v>
      </c>
      <c r="L10">
        <f>SUMIFS('Hours Log'!AN$2:AN$323,'Hours Log'!$A$2:$A$323,"="&amp;'Time Breakdown'!$A10,'Hours Log'!$C$2:$C$323,"="&amp;'Time Breakdown'!$A$1)</f>
        <v>0</v>
      </c>
      <c r="M10">
        <f>SUMIFS('Hours Log'!AO$2:AO$323,'Hours Log'!$A$2:$A$323,"="&amp;'Time Breakdown'!$A10,'Hours Log'!$C$2:$C$323,"="&amp;'Time Breakdown'!$A$1)</f>
        <v>0</v>
      </c>
      <c r="N10">
        <f>SUMIFS('Hours Log'!AP$2:AP$323,'Hours Log'!$A$2:$A$323,"="&amp;'Time Breakdown'!$A10,'Hours Log'!$C$2:$C$323,"="&amp;'Time Breakdown'!$A$1)</f>
        <v>0</v>
      </c>
      <c r="O10">
        <f>SUMIFS('Hours Log'!AQ$2:AQ$323,'Hours Log'!$A$2:$A$323,"="&amp;'Time Breakdown'!$A10,'Hours Log'!$C$2:$C$323,"="&amp;'Time Breakdown'!$A$1)</f>
        <v>0</v>
      </c>
      <c r="P10">
        <f>SUMIFS('Hours Log'!AR$2:AR$323,'Hours Log'!$A$2:$A$323,"="&amp;'Time Breakdown'!$A10,'Hours Log'!$C$2:$C$323,"="&amp;'Time Breakdown'!$A$1)</f>
        <v>0</v>
      </c>
      <c r="Q10">
        <f>SUMIFS('Hours Log'!AS$2:AS$323,'Hours Log'!$A$2:$A$323,"="&amp;'Time Breakdown'!$A10,'Hours Log'!$C$2:$C$323,"="&amp;'Time Breakdown'!$A$1)</f>
        <v>0</v>
      </c>
      <c r="R10">
        <f>SUMIFS('Hours Log'!AT$2:AT$323,'Hours Log'!$A$2:$A$323,"="&amp;'Time Breakdown'!$A10,'Hours Log'!$C$2:$C$323,"="&amp;'Time Breakdown'!$A$1)</f>
        <v>0</v>
      </c>
      <c r="S10">
        <f>SUMIFS('Hours Log'!AU$2:AU$323,'Hours Log'!$A$2:$A$323,"="&amp;'Time Breakdown'!$A10,'Hours Log'!$C$2:$C$323,"="&amp;'Time Breakdown'!$A$1)</f>
        <v>0</v>
      </c>
      <c r="T10">
        <f>SUMIFS('Hours Log'!AV$2:AV$323,'Hours Log'!$A$2:$A$323,"="&amp;'Time Breakdown'!$A10,'Hours Log'!$C$2:$C$323,"="&amp;'Time Breakdown'!$A$1)</f>
        <v>0</v>
      </c>
      <c r="U10">
        <f>SUMIFS('Hours Log'!AW$2:AW$323,'Hours Log'!$A$2:$A$323,"="&amp;'Time Breakdown'!$A10,'Hours Log'!$C$2:$C$323,"="&amp;'Time Breakdown'!$A$1)</f>
        <v>0</v>
      </c>
      <c r="V10">
        <f t="shared" si="0"/>
        <v>100</v>
      </c>
    </row>
    <row r="11" spans="1:22" hidden="1" x14ac:dyDescent="0.25">
      <c r="A11" s="61" t="s">
        <v>76</v>
      </c>
      <c r="B11">
        <f>SUMIFS('Hours Log'!AD$2:AD$323,'Hours Log'!$A$2:$A$323,"="&amp;'Time Breakdown'!$A11,'Hours Log'!$C$2:$C$323,"="&amp;'Time Breakdown'!$A$1)</f>
        <v>0</v>
      </c>
      <c r="C11">
        <f>SUMIFS('Hours Log'!AE$2:AE$323,'Hours Log'!$A$2:$A$323,"="&amp;'Time Breakdown'!$A11,'Hours Log'!$C$2:$C$323,"="&amp;'Time Breakdown'!$A$1)</f>
        <v>0</v>
      </c>
      <c r="D11">
        <f>SUMIFS('Hours Log'!AF$2:AF$323,'Hours Log'!$A$2:$A$323,"="&amp;'Time Breakdown'!$A11,'Hours Log'!$C$2:$C$323,"="&amp;'Time Breakdown'!$A$1)</f>
        <v>0</v>
      </c>
      <c r="E11">
        <f>SUMIFS('Hours Log'!AG$2:AG$323,'Hours Log'!$A$2:$A$323,"="&amp;'Time Breakdown'!$A11,'Hours Log'!$C$2:$C$323,"="&amp;'Time Breakdown'!$A$1)</f>
        <v>0</v>
      </c>
      <c r="F11">
        <f>SUMIFS('Hours Log'!AH$2:AH$323,'Hours Log'!$A$2:$A$323,"="&amp;'Time Breakdown'!$A11,'Hours Log'!$C$2:$C$323,"="&amp;'Time Breakdown'!$A$1)</f>
        <v>0</v>
      </c>
      <c r="G11">
        <f>SUMIFS('Hours Log'!AI$2:AI$323,'Hours Log'!$A$2:$A$323,"="&amp;'Time Breakdown'!$A11,'Hours Log'!$C$2:$C$323,"="&amp;'Time Breakdown'!$A$1)</f>
        <v>0</v>
      </c>
      <c r="H11">
        <f>SUMIFS('Hours Log'!AJ$2:AJ$323,'Hours Log'!$A$2:$A$323,"="&amp;'Time Breakdown'!$A11,'Hours Log'!$C$2:$C$323,"="&amp;'Time Breakdown'!$A$1)</f>
        <v>1160.3205128205129</v>
      </c>
      <c r="I11">
        <f>SUMIFS('Hours Log'!AK$2:AK$323,'Hours Log'!$A$2:$A$323,"="&amp;'Time Breakdown'!$A11,'Hours Log'!$C$2:$C$323,"="&amp;'Time Breakdown'!$A$1)</f>
        <v>0</v>
      </c>
      <c r="J11">
        <f>SUMIFS('Hours Log'!AL$2:AL$323,'Hours Log'!$A$2:$A$323,"="&amp;'Time Breakdown'!$A11,'Hours Log'!$C$2:$C$323,"="&amp;'Time Breakdown'!$A$1)</f>
        <v>0</v>
      </c>
      <c r="K11">
        <f>SUMIFS('Hours Log'!AM$2:AM$323,'Hours Log'!$A$2:$A$323,"="&amp;'Time Breakdown'!$A11,'Hours Log'!$C$2:$C$323,"="&amp;'Time Breakdown'!$A$1)</f>
        <v>0</v>
      </c>
      <c r="L11">
        <f>SUMIFS('Hours Log'!AN$2:AN$323,'Hours Log'!$A$2:$A$323,"="&amp;'Time Breakdown'!$A11,'Hours Log'!$C$2:$C$323,"="&amp;'Time Breakdown'!$A$1)</f>
        <v>0</v>
      </c>
      <c r="M11">
        <f>SUMIFS('Hours Log'!AO$2:AO$323,'Hours Log'!$A$2:$A$323,"="&amp;'Time Breakdown'!$A11,'Hours Log'!$C$2:$C$323,"="&amp;'Time Breakdown'!$A$1)</f>
        <v>0</v>
      </c>
      <c r="N11">
        <f>SUMIFS('Hours Log'!AP$2:AP$323,'Hours Log'!$A$2:$A$323,"="&amp;'Time Breakdown'!$A11,'Hours Log'!$C$2:$C$323,"="&amp;'Time Breakdown'!$A$1)</f>
        <v>927.67948717948707</v>
      </c>
      <c r="O11">
        <f>SUMIFS('Hours Log'!AQ$2:AQ$323,'Hours Log'!$A$2:$A$323,"="&amp;'Time Breakdown'!$A11,'Hours Log'!$C$2:$C$323,"="&amp;'Time Breakdown'!$A$1)</f>
        <v>0</v>
      </c>
      <c r="P11">
        <f>SUMIFS('Hours Log'!AR$2:AR$323,'Hours Log'!$A$2:$A$323,"="&amp;'Time Breakdown'!$A11,'Hours Log'!$C$2:$C$323,"="&amp;'Time Breakdown'!$A$1)</f>
        <v>0</v>
      </c>
      <c r="Q11">
        <f>SUMIFS('Hours Log'!AS$2:AS$323,'Hours Log'!$A$2:$A$323,"="&amp;'Time Breakdown'!$A11,'Hours Log'!$C$2:$C$323,"="&amp;'Time Breakdown'!$A$1)</f>
        <v>0</v>
      </c>
      <c r="R11">
        <f>SUMIFS('Hours Log'!AT$2:AT$323,'Hours Log'!$A$2:$A$323,"="&amp;'Time Breakdown'!$A11,'Hours Log'!$C$2:$C$323,"="&amp;'Time Breakdown'!$A$1)</f>
        <v>0</v>
      </c>
      <c r="S11">
        <f>SUMIFS('Hours Log'!AU$2:AU$323,'Hours Log'!$A$2:$A$323,"="&amp;'Time Breakdown'!$A11,'Hours Log'!$C$2:$C$323,"="&amp;'Time Breakdown'!$A$1)</f>
        <v>0</v>
      </c>
      <c r="T11">
        <f>SUMIFS('Hours Log'!AV$2:AV$323,'Hours Log'!$A$2:$A$323,"="&amp;'Time Breakdown'!$A11,'Hours Log'!$C$2:$C$323,"="&amp;'Time Breakdown'!$A$1)</f>
        <v>0</v>
      </c>
      <c r="U11">
        <f>SUMIFS('Hours Log'!AW$2:AW$323,'Hours Log'!$A$2:$A$323,"="&amp;'Time Breakdown'!$A11,'Hours Log'!$C$2:$C$323,"="&amp;'Time Breakdown'!$A$1)</f>
        <v>0</v>
      </c>
      <c r="V11">
        <f t="shared" si="0"/>
        <v>2088</v>
      </c>
    </row>
    <row r="12" spans="1:22" hidden="1" x14ac:dyDescent="0.25">
      <c r="A12" s="61" t="s">
        <v>57</v>
      </c>
      <c r="B12">
        <f>SUMIFS('Hours Log'!AD$2:AD$323,'Hours Log'!$A$2:$A$323,"="&amp;'Time Breakdown'!$A12,'Hours Log'!$C$2:$C$323,"="&amp;'Time Breakdown'!$A$1)</f>
        <v>0</v>
      </c>
      <c r="C12">
        <f>SUMIFS('Hours Log'!AE$2:AE$323,'Hours Log'!$A$2:$A$323,"="&amp;'Time Breakdown'!$A12,'Hours Log'!$C$2:$C$323,"="&amp;'Time Breakdown'!$A$1)</f>
        <v>0</v>
      </c>
      <c r="D12">
        <f>SUMIFS('Hours Log'!AF$2:AF$323,'Hours Log'!$A$2:$A$323,"="&amp;'Time Breakdown'!$A12,'Hours Log'!$C$2:$C$323,"="&amp;'Time Breakdown'!$A$1)</f>
        <v>0</v>
      </c>
      <c r="E12">
        <f>SUMIFS('Hours Log'!AG$2:AG$323,'Hours Log'!$A$2:$A$323,"="&amp;'Time Breakdown'!$A12,'Hours Log'!$C$2:$C$323,"="&amp;'Time Breakdown'!$A$1)</f>
        <v>0</v>
      </c>
      <c r="F12">
        <f>SUMIFS('Hours Log'!AH$2:AH$323,'Hours Log'!$A$2:$A$323,"="&amp;'Time Breakdown'!$A12,'Hours Log'!$C$2:$C$323,"="&amp;'Time Breakdown'!$A$1)</f>
        <v>0</v>
      </c>
      <c r="G12">
        <f>SUMIFS('Hours Log'!AI$2:AI$323,'Hours Log'!$A$2:$A$323,"="&amp;'Time Breakdown'!$A12,'Hours Log'!$C$2:$C$323,"="&amp;'Time Breakdown'!$A$1)</f>
        <v>0</v>
      </c>
      <c r="H12">
        <f>SUMIFS('Hours Log'!AJ$2:AJ$323,'Hours Log'!$A$2:$A$323,"="&amp;'Time Breakdown'!$A12,'Hours Log'!$C$2:$C$323,"="&amp;'Time Breakdown'!$A$1)</f>
        <v>0</v>
      </c>
      <c r="I12">
        <f>SUMIFS('Hours Log'!AK$2:AK$323,'Hours Log'!$A$2:$A$323,"="&amp;'Time Breakdown'!$A12,'Hours Log'!$C$2:$C$323,"="&amp;'Time Breakdown'!$A$1)</f>
        <v>951.59721322447365</v>
      </c>
      <c r="J12">
        <f>SUMIFS('Hours Log'!AL$2:AL$323,'Hours Log'!$A$2:$A$323,"="&amp;'Time Breakdown'!$A12,'Hours Log'!$C$2:$C$323,"="&amp;'Time Breakdown'!$A$1)</f>
        <v>101.06547645073434</v>
      </c>
      <c r="K12">
        <f>SUMIFS('Hours Log'!AM$2:AM$323,'Hours Log'!$A$2:$A$323,"="&amp;'Time Breakdown'!$A12,'Hours Log'!$C$2:$C$323,"="&amp;'Time Breakdown'!$A$1)</f>
        <v>642.43714373263629</v>
      </c>
      <c r="L12">
        <f>SUMIFS('Hours Log'!AN$2:AN$323,'Hours Log'!$A$2:$A$323,"="&amp;'Time Breakdown'!$A12,'Hours Log'!$C$2:$C$323,"="&amp;'Time Breakdown'!$A$1)</f>
        <v>46.083255352757213</v>
      </c>
      <c r="M12">
        <f>SUMIFS('Hours Log'!AO$2:AO$323,'Hours Log'!$A$2:$A$323,"="&amp;'Time Breakdown'!$A12,'Hours Log'!$C$2:$C$323,"="&amp;'Time Breakdown'!$A$1)</f>
        <v>0</v>
      </c>
      <c r="N12">
        <f>SUMIFS('Hours Log'!AP$2:AP$323,'Hours Log'!$A$2:$A$323,"="&amp;'Time Breakdown'!$A12,'Hours Log'!$C$2:$C$323,"="&amp;'Time Breakdown'!$A$1)</f>
        <v>0</v>
      </c>
      <c r="O12">
        <f>SUMIFS('Hours Log'!AQ$2:AQ$323,'Hours Log'!$A$2:$A$323,"="&amp;'Time Breakdown'!$A12,'Hours Log'!$C$2:$C$323,"="&amp;'Time Breakdown'!$A$1)</f>
        <v>42.002967118398487</v>
      </c>
      <c r="P12">
        <f>SUMIFS('Hours Log'!AR$2:AR$323,'Hours Log'!$A$2:$A$323,"="&amp;'Time Breakdown'!$A12,'Hours Log'!$C$2:$C$323,"="&amp;'Time Breakdown'!$A$1)</f>
        <v>0</v>
      </c>
      <c r="Q12">
        <f>SUMIFS('Hours Log'!AS$2:AS$323,'Hours Log'!$A$2:$A$323,"="&amp;'Time Breakdown'!$A12,'Hours Log'!$C$2:$C$323,"="&amp;'Time Breakdown'!$A$1)</f>
        <v>1.5508806591282027</v>
      </c>
      <c r="R12">
        <f>SUMIFS('Hours Log'!AT$2:AT$323,'Hours Log'!$A$2:$A$323,"="&amp;'Time Breakdown'!$A12,'Hours Log'!$C$2:$C$323,"="&amp;'Time Breakdown'!$A$1)</f>
        <v>4.7453158836267768</v>
      </c>
      <c r="S12">
        <f>SUMIFS('Hours Log'!AU$2:AU$323,'Hours Log'!$A$2:$A$323,"="&amp;'Time Breakdown'!$A12,'Hours Log'!$C$2:$C$323,"="&amp;'Time Breakdown'!$A$1)</f>
        <v>0</v>
      </c>
      <c r="T12">
        <f>SUMIFS('Hours Log'!AV$2:AV$323,'Hours Log'!$A$2:$A$323,"="&amp;'Time Breakdown'!$A12,'Hours Log'!$C$2:$C$323,"="&amp;'Time Breakdown'!$A$1)</f>
        <v>15.601102072548011</v>
      </c>
      <c r="U12">
        <f>SUMIFS('Hours Log'!AW$2:AW$323,'Hours Log'!$A$2:$A$323,"="&amp;'Time Breakdown'!$A12,'Hours Log'!$C$2:$C$323,"="&amp;'Time Breakdown'!$A$1)</f>
        <v>282.91664550569698</v>
      </c>
      <c r="V12">
        <f t="shared" si="0"/>
        <v>2087.9999999999995</v>
      </c>
    </row>
    <row r="13" spans="1:22" hidden="1" x14ac:dyDescent="0.25">
      <c r="A13" s="61" t="s">
        <v>161</v>
      </c>
      <c r="B13">
        <f>SUMIFS('Hours Log'!AD$2:AD$323,'Hours Log'!$A$2:$A$323,"="&amp;'Time Breakdown'!$A13,'Hours Log'!$C$2:$C$323,"="&amp;'Time Breakdown'!$A$1)</f>
        <v>0</v>
      </c>
      <c r="C13">
        <f>SUMIFS('Hours Log'!AE$2:AE$323,'Hours Log'!$A$2:$A$323,"="&amp;'Time Breakdown'!$A13,'Hours Log'!$C$2:$C$323,"="&amp;'Time Breakdown'!$A$1)</f>
        <v>0</v>
      </c>
      <c r="D13">
        <f>SUMIFS('Hours Log'!AF$2:AF$323,'Hours Log'!$A$2:$A$323,"="&amp;'Time Breakdown'!$A13,'Hours Log'!$C$2:$C$323,"="&amp;'Time Breakdown'!$A$1)</f>
        <v>0</v>
      </c>
      <c r="E13">
        <f>SUMIFS('Hours Log'!AG$2:AG$323,'Hours Log'!$A$2:$A$323,"="&amp;'Time Breakdown'!$A13,'Hours Log'!$C$2:$C$323,"="&amp;'Time Breakdown'!$A$1)</f>
        <v>0</v>
      </c>
      <c r="F13">
        <f>SUMIFS('Hours Log'!AH$2:AH$323,'Hours Log'!$A$2:$A$323,"="&amp;'Time Breakdown'!$A13,'Hours Log'!$C$2:$C$323,"="&amp;'Time Breakdown'!$A$1)</f>
        <v>0</v>
      </c>
      <c r="G13">
        <f>SUMIFS('Hours Log'!AI$2:AI$323,'Hours Log'!$A$2:$A$323,"="&amp;'Time Breakdown'!$A13,'Hours Log'!$C$2:$C$323,"="&amp;'Time Breakdown'!$A$1)</f>
        <v>0</v>
      </c>
      <c r="H13">
        <f>SUMIFS('Hours Log'!AJ$2:AJ$323,'Hours Log'!$A$2:$A$323,"="&amp;'Time Breakdown'!$A13,'Hours Log'!$C$2:$C$323,"="&amp;'Time Breakdown'!$A$1)</f>
        <v>0</v>
      </c>
      <c r="I13">
        <f>SUMIFS('Hours Log'!AK$2:AK$323,'Hours Log'!$A$2:$A$323,"="&amp;'Time Breakdown'!$A13,'Hours Log'!$C$2:$C$323,"="&amp;'Time Breakdown'!$A$1)</f>
        <v>1739.25</v>
      </c>
      <c r="J13">
        <f>SUMIFS('Hours Log'!AL$2:AL$323,'Hours Log'!$A$2:$A$323,"="&amp;'Time Breakdown'!$A13,'Hours Log'!$C$2:$C$323,"="&amp;'Time Breakdown'!$A$1)</f>
        <v>0</v>
      </c>
      <c r="K13">
        <f>SUMIFS('Hours Log'!AM$2:AM$323,'Hours Log'!$A$2:$A$323,"="&amp;'Time Breakdown'!$A13,'Hours Log'!$C$2:$C$323,"="&amp;'Time Breakdown'!$A$1)</f>
        <v>0</v>
      </c>
      <c r="L13">
        <f>SUMIFS('Hours Log'!AN$2:AN$323,'Hours Log'!$A$2:$A$323,"="&amp;'Time Breakdown'!$A13,'Hours Log'!$C$2:$C$323,"="&amp;'Time Breakdown'!$A$1)</f>
        <v>0</v>
      </c>
      <c r="M13">
        <f>SUMIFS('Hours Log'!AO$2:AO$323,'Hours Log'!$A$2:$A$323,"="&amp;'Time Breakdown'!$A13,'Hours Log'!$C$2:$C$323,"="&amp;'Time Breakdown'!$A$1)</f>
        <v>0</v>
      </c>
      <c r="N13">
        <f>SUMIFS('Hours Log'!AP$2:AP$323,'Hours Log'!$A$2:$A$323,"="&amp;'Time Breakdown'!$A13,'Hours Log'!$C$2:$C$323,"="&amp;'Time Breakdown'!$A$1)</f>
        <v>0</v>
      </c>
      <c r="O13">
        <f>SUMIFS('Hours Log'!AQ$2:AQ$323,'Hours Log'!$A$2:$A$323,"="&amp;'Time Breakdown'!$A13,'Hours Log'!$C$2:$C$323,"="&amp;'Time Breakdown'!$A$1)</f>
        <v>0</v>
      </c>
      <c r="P13">
        <f>SUMIFS('Hours Log'!AR$2:AR$323,'Hours Log'!$A$2:$A$323,"="&amp;'Time Breakdown'!$A13,'Hours Log'!$C$2:$C$323,"="&amp;'Time Breakdown'!$A$1)</f>
        <v>0</v>
      </c>
      <c r="Q13">
        <f>SUMIFS('Hours Log'!AS$2:AS$323,'Hours Log'!$A$2:$A$323,"="&amp;'Time Breakdown'!$A13,'Hours Log'!$C$2:$C$323,"="&amp;'Time Breakdown'!$A$1)</f>
        <v>0</v>
      </c>
      <c r="R13">
        <f>SUMIFS('Hours Log'!AT$2:AT$323,'Hours Log'!$A$2:$A$323,"="&amp;'Time Breakdown'!$A13,'Hours Log'!$C$2:$C$323,"="&amp;'Time Breakdown'!$A$1)</f>
        <v>0</v>
      </c>
      <c r="S13">
        <f>SUMIFS('Hours Log'!AU$2:AU$323,'Hours Log'!$A$2:$A$323,"="&amp;'Time Breakdown'!$A13,'Hours Log'!$C$2:$C$323,"="&amp;'Time Breakdown'!$A$1)</f>
        <v>0</v>
      </c>
      <c r="T13">
        <f>SUMIFS('Hours Log'!AV$2:AV$323,'Hours Log'!$A$2:$A$323,"="&amp;'Time Breakdown'!$A13,'Hours Log'!$C$2:$C$323,"="&amp;'Time Breakdown'!$A$1)</f>
        <v>0</v>
      </c>
      <c r="U13">
        <f>SUMIFS('Hours Log'!AW$2:AW$323,'Hours Log'!$A$2:$A$323,"="&amp;'Time Breakdown'!$A13,'Hours Log'!$C$2:$C$323,"="&amp;'Time Breakdown'!$A$1)</f>
        <v>340.75</v>
      </c>
      <c r="V13">
        <f t="shared" si="0"/>
        <v>2080</v>
      </c>
    </row>
    <row r="14" spans="1:22" hidden="1" x14ac:dyDescent="0.25">
      <c r="A14" s="61" t="s">
        <v>162</v>
      </c>
      <c r="B14">
        <f>SUMIFS('Hours Log'!AD$2:AD$323,'Hours Log'!$A$2:$A$323,"="&amp;'Time Breakdown'!$A14,'Hours Log'!$C$2:$C$323,"="&amp;'Time Breakdown'!$A$1)</f>
        <v>0</v>
      </c>
      <c r="C14">
        <f>SUMIFS('Hours Log'!AE$2:AE$323,'Hours Log'!$A$2:$A$323,"="&amp;'Time Breakdown'!$A14,'Hours Log'!$C$2:$C$323,"="&amp;'Time Breakdown'!$A$1)</f>
        <v>0</v>
      </c>
      <c r="D14">
        <f>SUMIFS('Hours Log'!AF$2:AF$323,'Hours Log'!$A$2:$A$323,"="&amp;'Time Breakdown'!$A14,'Hours Log'!$C$2:$C$323,"="&amp;'Time Breakdown'!$A$1)</f>
        <v>0</v>
      </c>
      <c r="E14">
        <f>SUMIFS('Hours Log'!AG$2:AG$323,'Hours Log'!$A$2:$A$323,"="&amp;'Time Breakdown'!$A14,'Hours Log'!$C$2:$C$323,"="&amp;'Time Breakdown'!$A$1)</f>
        <v>0</v>
      </c>
      <c r="F14">
        <f>SUMIFS('Hours Log'!AH$2:AH$323,'Hours Log'!$A$2:$A$323,"="&amp;'Time Breakdown'!$A14,'Hours Log'!$C$2:$C$323,"="&amp;'Time Breakdown'!$A$1)</f>
        <v>0</v>
      </c>
      <c r="G14">
        <f>SUMIFS('Hours Log'!AI$2:AI$323,'Hours Log'!$A$2:$A$323,"="&amp;'Time Breakdown'!$A14,'Hours Log'!$C$2:$C$323,"="&amp;'Time Breakdown'!$A$1)</f>
        <v>0</v>
      </c>
      <c r="H14">
        <f>SUMIFS('Hours Log'!AJ$2:AJ$323,'Hours Log'!$A$2:$A$323,"="&amp;'Time Breakdown'!$A14,'Hours Log'!$C$2:$C$323,"="&amp;'Time Breakdown'!$A$1)</f>
        <v>0</v>
      </c>
      <c r="I14">
        <f>SUMIFS('Hours Log'!AK$2:AK$323,'Hours Log'!$A$2:$A$323,"="&amp;'Time Breakdown'!$A14,'Hours Log'!$C$2:$C$323,"="&amp;'Time Breakdown'!$A$1)</f>
        <v>100</v>
      </c>
      <c r="J14">
        <f>SUMIFS('Hours Log'!AL$2:AL$323,'Hours Log'!$A$2:$A$323,"="&amp;'Time Breakdown'!$A14,'Hours Log'!$C$2:$C$323,"="&amp;'Time Breakdown'!$A$1)</f>
        <v>0</v>
      </c>
      <c r="K14">
        <f>SUMIFS('Hours Log'!AM$2:AM$323,'Hours Log'!$A$2:$A$323,"="&amp;'Time Breakdown'!$A14,'Hours Log'!$C$2:$C$323,"="&amp;'Time Breakdown'!$A$1)</f>
        <v>0</v>
      </c>
      <c r="L14">
        <f>SUMIFS('Hours Log'!AN$2:AN$323,'Hours Log'!$A$2:$A$323,"="&amp;'Time Breakdown'!$A14,'Hours Log'!$C$2:$C$323,"="&amp;'Time Breakdown'!$A$1)</f>
        <v>0</v>
      </c>
      <c r="M14">
        <f>SUMIFS('Hours Log'!AO$2:AO$323,'Hours Log'!$A$2:$A$323,"="&amp;'Time Breakdown'!$A14,'Hours Log'!$C$2:$C$323,"="&amp;'Time Breakdown'!$A$1)</f>
        <v>0</v>
      </c>
      <c r="N14">
        <f>SUMIFS('Hours Log'!AP$2:AP$323,'Hours Log'!$A$2:$A$323,"="&amp;'Time Breakdown'!$A14,'Hours Log'!$C$2:$C$323,"="&amp;'Time Breakdown'!$A$1)</f>
        <v>0</v>
      </c>
      <c r="O14">
        <f>SUMIFS('Hours Log'!AQ$2:AQ$323,'Hours Log'!$A$2:$A$323,"="&amp;'Time Breakdown'!$A14,'Hours Log'!$C$2:$C$323,"="&amp;'Time Breakdown'!$A$1)</f>
        <v>0</v>
      </c>
      <c r="P14">
        <f>SUMIFS('Hours Log'!AR$2:AR$323,'Hours Log'!$A$2:$A$323,"="&amp;'Time Breakdown'!$A14,'Hours Log'!$C$2:$C$323,"="&amp;'Time Breakdown'!$A$1)</f>
        <v>0</v>
      </c>
      <c r="Q14">
        <f>SUMIFS('Hours Log'!AS$2:AS$323,'Hours Log'!$A$2:$A$323,"="&amp;'Time Breakdown'!$A14,'Hours Log'!$C$2:$C$323,"="&amp;'Time Breakdown'!$A$1)</f>
        <v>0</v>
      </c>
      <c r="R14">
        <f>SUMIFS('Hours Log'!AT$2:AT$323,'Hours Log'!$A$2:$A$323,"="&amp;'Time Breakdown'!$A14,'Hours Log'!$C$2:$C$323,"="&amp;'Time Breakdown'!$A$1)</f>
        <v>0</v>
      </c>
      <c r="S14">
        <f>SUMIFS('Hours Log'!AU$2:AU$323,'Hours Log'!$A$2:$A$323,"="&amp;'Time Breakdown'!$A14,'Hours Log'!$C$2:$C$323,"="&amp;'Time Breakdown'!$A$1)</f>
        <v>0</v>
      </c>
      <c r="T14">
        <f>SUMIFS('Hours Log'!AV$2:AV$323,'Hours Log'!$A$2:$A$323,"="&amp;'Time Breakdown'!$A14,'Hours Log'!$C$2:$C$323,"="&amp;'Time Breakdown'!$A$1)</f>
        <v>0</v>
      </c>
      <c r="U14">
        <f>SUMIFS('Hours Log'!AW$2:AW$323,'Hours Log'!$A$2:$A$323,"="&amp;'Time Breakdown'!$A14,'Hours Log'!$C$2:$C$323,"="&amp;'Time Breakdown'!$A$1)</f>
        <v>0</v>
      </c>
      <c r="V14">
        <f t="shared" si="0"/>
        <v>100</v>
      </c>
    </row>
    <row r="15" spans="1:22" hidden="1" x14ac:dyDescent="0.25">
      <c r="A15" s="61" t="s">
        <v>54</v>
      </c>
      <c r="B15">
        <f>SUMIFS('Hours Log'!AD$2:AD$323,'Hours Log'!$A$2:$A$323,"="&amp;'Time Breakdown'!$A15,'Hours Log'!$C$2:$C$323,"="&amp;'Time Breakdown'!$A$1)</f>
        <v>0</v>
      </c>
      <c r="C15">
        <f>SUMIFS('Hours Log'!AE$2:AE$323,'Hours Log'!$A$2:$A$323,"="&amp;'Time Breakdown'!$A15,'Hours Log'!$C$2:$C$323,"="&amp;'Time Breakdown'!$A$1)</f>
        <v>0</v>
      </c>
      <c r="D15">
        <f>SUMIFS('Hours Log'!AF$2:AF$323,'Hours Log'!$A$2:$A$323,"="&amp;'Time Breakdown'!$A15,'Hours Log'!$C$2:$C$323,"="&amp;'Time Breakdown'!$A$1)</f>
        <v>0</v>
      </c>
      <c r="E15">
        <f>SUMIFS('Hours Log'!AG$2:AG$323,'Hours Log'!$A$2:$A$323,"="&amp;'Time Breakdown'!$A15,'Hours Log'!$C$2:$C$323,"="&amp;'Time Breakdown'!$A$1)</f>
        <v>0</v>
      </c>
      <c r="F15">
        <f>SUMIFS('Hours Log'!AH$2:AH$323,'Hours Log'!$A$2:$A$323,"="&amp;'Time Breakdown'!$A15,'Hours Log'!$C$2:$C$323,"="&amp;'Time Breakdown'!$A$1)</f>
        <v>205.49447808066381</v>
      </c>
      <c r="G15">
        <f>SUMIFS('Hours Log'!AI$2:AI$323,'Hours Log'!$A$2:$A$323,"="&amp;'Time Breakdown'!$A15,'Hours Log'!$C$2:$C$323,"="&amp;'Time Breakdown'!$A$1)</f>
        <v>0</v>
      </c>
      <c r="H15">
        <f>SUMIFS('Hours Log'!AJ$2:AJ$323,'Hours Log'!$A$2:$A$323,"="&amp;'Time Breakdown'!$A15,'Hours Log'!$C$2:$C$323,"="&amp;'Time Breakdown'!$A$1)</f>
        <v>429.68486321585567</v>
      </c>
      <c r="I15">
        <f>SUMIFS('Hours Log'!AK$2:AK$323,'Hours Log'!$A$2:$A$323,"="&amp;'Time Breakdown'!$A15,'Hours Log'!$C$2:$C$323,"="&amp;'Time Breakdown'!$A$1)</f>
        <v>222.01259221616334</v>
      </c>
      <c r="J15">
        <f>SUMIFS('Hours Log'!AL$2:AL$323,'Hours Log'!$A$2:$A$323,"="&amp;'Time Breakdown'!$A15,'Hours Log'!$C$2:$C$323,"="&amp;'Time Breakdown'!$A$1)</f>
        <v>0</v>
      </c>
      <c r="K15">
        <f>SUMIFS('Hours Log'!AM$2:AM$323,'Hours Log'!$A$2:$A$323,"="&amp;'Time Breakdown'!$A15,'Hours Log'!$C$2:$C$323,"="&amp;'Time Breakdown'!$A$1)</f>
        <v>482.78848245854289</v>
      </c>
      <c r="L15">
        <f>SUMIFS('Hours Log'!AN$2:AN$323,'Hours Log'!$A$2:$A$323,"="&amp;'Time Breakdown'!$A15,'Hours Log'!$C$2:$C$323,"="&amp;'Time Breakdown'!$A$1)</f>
        <v>340.04312339817295</v>
      </c>
      <c r="M15">
        <f>SUMIFS('Hours Log'!AO$2:AO$323,'Hours Log'!$A$2:$A$323,"="&amp;'Time Breakdown'!$A15,'Hours Log'!$C$2:$C$323,"="&amp;'Time Breakdown'!$A$1)</f>
        <v>0</v>
      </c>
      <c r="N15">
        <f>SUMIFS('Hours Log'!AP$2:AP$323,'Hours Log'!$A$2:$A$323,"="&amp;'Time Breakdown'!$A15,'Hours Log'!$C$2:$C$323,"="&amp;'Time Breakdown'!$A$1)</f>
        <v>139.15746650587778</v>
      </c>
      <c r="O15">
        <f>SUMIFS('Hours Log'!AQ$2:AQ$323,'Hours Log'!$A$2:$A$323,"="&amp;'Time Breakdown'!$A15,'Hours Log'!$C$2:$C$323,"="&amp;'Time Breakdown'!$A$1)</f>
        <v>0</v>
      </c>
      <c r="P15">
        <f>SUMIFS('Hours Log'!AR$2:AR$323,'Hours Log'!$A$2:$A$323,"="&amp;'Time Breakdown'!$A15,'Hours Log'!$C$2:$C$323,"="&amp;'Time Breakdown'!$A$1)</f>
        <v>0</v>
      </c>
      <c r="Q15">
        <f>SUMIFS('Hours Log'!AS$2:AS$323,'Hours Log'!$A$2:$A$323,"="&amp;'Time Breakdown'!$A15,'Hours Log'!$C$2:$C$323,"="&amp;'Time Breakdown'!$A$1)</f>
        <v>268.81899412472353</v>
      </c>
      <c r="R15">
        <f>SUMIFS('Hours Log'!AT$2:AT$323,'Hours Log'!$A$2:$A$323,"="&amp;'Time Breakdown'!$A15,'Hours Log'!$C$2:$C$323,"="&amp;'Time Breakdown'!$A$1)</f>
        <v>0</v>
      </c>
      <c r="S15">
        <f>SUMIFS('Hours Log'!AU$2:AU$323,'Hours Log'!$A$2:$A$323,"="&amp;'Time Breakdown'!$A15,'Hours Log'!$C$2:$C$323,"="&amp;'Time Breakdown'!$A$1)</f>
        <v>0</v>
      </c>
      <c r="T15">
        <f>SUMIFS('Hours Log'!AV$2:AV$323,'Hours Log'!$A$2:$A$323,"="&amp;'Time Breakdown'!$A15,'Hours Log'!$C$2:$C$323,"="&amp;'Time Breakdown'!$A$1)</f>
        <v>0</v>
      </c>
      <c r="U15">
        <f>SUMIFS('Hours Log'!AW$2:AW$323,'Hours Log'!$A$2:$A$323,"="&amp;'Time Breakdown'!$A15,'Hours Log'!$C$2:$C$323,"="&amp;'Time Breakdown'!$A$1)</f>
        <v>0</v>
      </c>
      <c r="V15">
        <f t="shared" si="0"/>
        <v>2088</v>
      </c>
    </row>
    <row r="16" spans="1:22" hidden="1" x14ac:dyDescent="0.25">
      <c r="A16" s="61" t="s">
        <v>163</v>
      </c>
      <c r="B16">
        <f>SUMIFS('Hours Log'!AD$2:AD$323,'Hours Log'!$A$2:$A$323,"="&amp;'Time Breakdown'!$A16,'Hours Log'!$C$2:$C$323,"="&amp;'Time Breakdown'!$A$1)</f>
        <v>0</v>
      </c>
      <c r="C16">
        <f>SUMIFS('Hours Log'!AE$2:AE$323,'Hours Log'!$A$2:$A$323,"="&amp;'Time Breakdown'!$A16,'Hours Log'!$C$2:$C$323,"="&amp;'Time Breakdown'!$A$1)</f>
        <v>0</v>
      </c>
      <c r="D16">
        <f>SUMIFS('Hours Log'!AF$2:AF$323,'Hours Log'!$A$2:$A$323,"="&amp;'Time Breakdown'!$A16,'Hours Log'!$C$2:$C$323,"="&amp;'Time Breakdown'!$A$1)</f>
        <v>0</v>
      </c>
      <c r="E16">
        <f>SUMIFS('Hours Log'!AG$2:AG$323,'Hours Log'!$A$2:$A$323,"="&amp;'Time Breakdown'!$A16,'Hours Log'!$C$2:$C$323,"="&amp;'Time Breakdown'!$A$1)</f>
        <v>0</v>
      </c>
      <c r="F16">
        <f>SUMIFS('Hours Log'!AH$2:AH$323,'Hours Log'!$A$2:$A$323,"="&amp;'Time Breakdown'!$A16,'Hours Log'!$C$2:$C$323,"="&amp;'Time Breakdown'!$A$1)</f>
        <v>0</v>
      </c>
      <c r="G16">
        <f>SUMIFS('Hours Log'!AI$2:AI$323,'Hours Log'!$A$2:$A$323,"="&amp;'Time Breakdown'!$A16,'Hours Log'!$C$2:$C$323,"="&amp;'Time Breakdown'!$A$1)</f>
        <v>0</v>
      </c>
      <c r="H16">
        <f>SUMIFS('Hours Log'!AJ$2:AJ$323,'Hours Log'!$A$2:$A$323,"="&amp;'Time Breakdown'!$A16,'Hours Log'!$C$2:$C$323,"="&amp;'Time Breakdown'!$A$1)</f>
        <v>0</v>
      </c>
      <c r="I16">
        <f>SUMIFS('Hours Log'!AK$2:AK$323,'Hours Log'!$A$2:$A$323,"="&amp;'Time Breakdown'!$A16,'Hours Log'!$C$2:$C$323,"="&amp;'Time Breakdown'!$A$1)</f>
        <v>100</v>
      </c>
      <c r="J16">
        <f>SUMIFS('Hours Log'!AL$2:AL$323,'Hours Log'!$A$2:$A$323,"="&amp;'Time Breakdown'!$A16,'Hours Log'!$C$2:$C$323,"="&amp;'Time Breakdown'!$A$1)</f>
        <v>0</v>
      </c>
      <c r="K16">
        <f>SUMIFS('Hours Log'!AM$2:AM$323,'Hours Log'!$A$2:$A$323,"="&amp;'Time Breakdown'!$A16,'Hours Log'!$C$2:$C$323,"="&amp;'Time Breakdown'!$A$1)</f>
        <v>0</v>
      </c>
      <c r="L16">
        <f>SUMIFS('Hours Log'!AN$2:AN$323,'Hours Log'!$A$2:$A$323,"="&amp;'Time Breakdown'!$A16,'Hours Log'!$C$2:$C$323,"="&amp;'Time Breakdown'!$A$1)</f>
        <v>0</v>
      </c>
      <c r="M16">
        <f>SUMIFS('Hours Log'!AO$2:AO$323,'Hours Log'!$A$2:$A$323,"="&amp;'Time Breakdown'!$A16,'Hours Log'!$C$2:$C$323,"="&amp;'Time Breakdown'!$A$1)</f>
        <v>0</v>
      </c>
      <c r="N16">
        <f>SUMIFS('Hours Log'!AP$2:AP$323,'Hours Log'!$A$2:$A$323,"="&amp;'Time Breakdown'!$A16,'Hours Log'!$C$2:$C$323,"="&amp;'Time Breakdown'!$A$1)</f>
        <v>0</v>
      </c>
      <c r="O16">
        <f>SUMIFS('Hours Log'!AQ$2:AQ$323,'Hours Log'!$A$2:$A$323,"="&amp;'Time Breakdown'!$A16,'Hours Log'!$C$2:$C$323,"="&amp;'Time Breakdown'!$A$1)</f>
        <v>0</v>
      </c>
      <c r="P16">
        <f>SUMIFS('Hours Log'!AR$2:AR$323,'Hours Log'!$A$2:$A$323,"="&amp;'Time Breakdown'!$A16,'Hours Log'!$C$2:$C$323,"="&amp;'Time Breakdown'!$A$1)</f>
        <v>0</v>
      </c>
      <c r="Q16">
        <f>SUMIFS('Hours Log'!AS$2:AS$323,'Hours Log'!$A$2:$A$323,"="&amp;'Time Breakdown'!$A16,'Hours Log'!$C$2:$C$323,"="&amp;'Time Breakdown'!$A$1)</f>
        <v>0</v>
      </c>
      <c r="R16">
        <f>SUMIFS('Hours Log'!AT$2:AT$323,'Hours Log'!$A$2:$A$323,"="&amp;'Time Breakdown'!$A16,'Hours Log'!$C$2:$C$323,"="&amp;'Time Breakdown'!$A$1)</f>
        <v>0</v>
      </c>
      <c r="S16">
        <f>SUMIFS('Hours Log'!AU$2:AU$323,'Hours Log'!$A$2:$A$323,"="&amp;'Time Breakdown'!$A16,'Hours Log'!$C$2:$C$323,"="&amp;'Time Breakdown'!$A$1)</f>
        <v>0</v>
      </c>
      <c r="T16">
        <f>SUMIFS('Hours Log'!AV$2:AV$323,'Hours Log'!$A$2:$A$323,"="&amp;'Time Breakdown'!$A16,'Hours Log'!$C$2:$C$323,"="&amp;'Time Breakdown'!$A$1)</f>
        <v>0</v>
      </c>
      <c r="U16">
        <f>SUMIFS('Hours Log'!AW$2:AW$323,'Hours Log'!$A$2:$A$323,"="&amp;'Time Breakdown'!$A16,'Hours Log'!$C$2:$C$323,"="&amp;'Time Breakdown'!$A$1)</f>
        <v>0</v>
      </c>
      <c r="V16">
        <f t="shared" si="0"/>
        <v>100</v>
      </c>
    </row>
    <row r="17" spans="1:22" hidden="1" x14ac:dyDescent="0.25">
      <c r="A17" s="61" t="s">
        <v>164</v>
      </c>
      <c r="B17">
        <f>SUMIFS('Hours Log'!AD$2:AD$323,'Hours Log'!$A$2:$A$323,"="&amp;'Time Breakdown'!$A17,'Hours Log'!$C$2:$C$323,"="&amp;'Time Breakdown'!$A$1)</f>
        <v>0</v>
      </c>
      <c r="C17">
        <f>SUMIFS('Hours Log'!AE$2:AE$323,'Hours Log'!$A$2:$A$323,"="&amp;'Time Breakdown'!$A17,'Hours Log'!$C$2:$C$323,"="&amp;'Time Breakdown'!$A$1)</f>
        <v>0</v>
      </c>
      <c r="D17">
        <f>SUMIFS('Hours Log'!AF$2:AF$323,'Hours Log'!$A$2:$A$323,"="&amp;'Time Breakdown'!$A17,'Hours Log'!$C$2:$C$323,"="&amp;'Time Breakdown'!$A$1)</f>
        <v>0</v>
      </c>
      <c r="E17">
        <f>SUMIFS('Hours Log'!AG$2:AG$323,'Hours Log'!$A$2:$A$323,"="&amp;'Time Breakdown'!$A17,'Hours Log'!$C$2:$C$323,"="&amp;'Time Breakdown'!$A$1)</f>
        <v>0</v>
      </c>
      <c r="F17">
        <f>SUMIFS('Hours Log'!AH$2:AH$323,'Hours Log'!$A$2:$A$323,"="&amp;'Time Breakdown'!$A17,'Hours Log'!$C$2:$C$323,"="&amp;'Time Breakdown'!$A$1)</f>
        <v>0</v>
      </c>
      <c r="G17">
        <f>SUMIFS('Hours Log'!AI$2:AI$323,'Hours Log'!$A$2:$A$323,"="&amp;'Time Breakdown'!$A17,'Hours Log'!$C$2:$C$323,"="&amp;'Time Breakdown'!$A$1)</f>
        <v>0</v>
      </c>
      <c r="H17">
        <f>SUMIFS('Hours Log'!AJ$2:AJ$323,'Hours Log'!$A$2:$A$323,"="&amp;'Time Breakdown'!$A17,'Hours Log'!$C$2:$C$323,"="&amp;'Time Breakdown'!$A$1)</f>
        <v>0</v>
      </c>
      <c r="I17">
        <f>SUMIFS('Hours Log'!AK$2:AK$323,'Hours Log'!$A$2:$A$323,"="&amp;'Time Breakdown'!$A17,'Hours Log'!$C$2:$C$323,"="&amp;'Time Breakdown'!$A$1)</f>
        <v>0</v>
      </c>
      <c r="J17">
        <f>SUMIFS('Hours Log'!AL$2:AL$323,'Hours Log'!$A$2:$A$323,"="&amp;'Time Breakdown'!$A17,'Hours Log'!$C$2:$C$323,"="&amp;'Time Breakdown'!$A$1)</f>
        <v>0</v>
      </c>
      <c r="K17">
        <f>SUMIFS('Hours Log'!AM$2:AM$323,'Hours Log'!$A$2:$A$323,"="&amp;'Time Breakdown'!$A17,'Hours Log'!$C$2:$C$323,"="&amp;'Time Breakdown'!$A$1)</f>
        <v>0</v>
      </c>
      <c r="L17">
        <f>SUMIFS('Hours Log'!AN$2:AN$323,'Hours Log'!$A$2:$A$323,"="&amp;'Time Breakdown'!$A17,'Hours Log'!$C$2:$C$323,"="&amp;'Time Breakdown'!$A$1)</f>
        <v>0</v>
      </c>
      <c r="M17">
        <f>SUMIFS('Hours Log'!AO$2:AO$323,'Hours Log'!$A$2:$A$323,"="&amp;'Time Breakdown'!$A17,'Hours Log'!$C$2:$C$323,"="&amp;'Time Breakdown'!$A$1)</f>
        <v>0</v>
      </c>
      <c r="N17">
        <f>SUMIFS('Hours Log'!AP$2:AP$323,'Hours Log'!$A$2:$A$323,"="&amp;'Time Breakdown'!$A17,'Hours Log'!$C$2:$C$323,"="&amp;'Time Breakdown'!$A$1)</f>
        <v>0</v>
      </c>
      <c r="O17">
        <f>SUMIFS('Hours Log'!AQ$2:AQ$323,'Hours Log'!$A$2:$A$323,"="&amp;'Time Breakdown'!$A17,'Hours Log'!$C$2:$C$323,"="&amp;'Time Breakdown'!$A$1)</f>
        <v>100</v>
      </c>
      <c r="P17">
        <f>SUMIFS('Hours Log'!AR$2:AR$323,'Hours Log'!$A$2:$A$323,"="&amp;'Time Breakdown'!$A17,'Hours Log'!$C$2:$C$323,"="&amp;'Time Breakdown'!$A$1)</f>
        <v>0</v>
      </c>
      <c r="Q17">
        <f>SUMIFS('Hours Log'!AS$2:AS$323,'Hours Log'!$A$2:$A$323,"="&amp;'Time Breakdown'!$A17,'Hours Log'!$C$2:$C$323,"="&amp;'Time Breakdown'!$A$1)</f>
        <v>0</v>
      </c>
      <c r="R17">
        <f>SUMIFS('Hours Log'!AT$2:AT$323,'Hours Log'!$A$2:$A$323,"="&amp;'Time Breakdown'!$A17,'Hours Log'!$C$2:$C$323,"="&amp;'Time Breakdown'!$A$1)</f>
        <v>0</v>
      </c>
      <c r="S17">
        <f>SUMIFS('Hours Log'!AU$2:AU$323,'Hours Log'!$A$2:$A$323,"="&amp;'Time Breakdown'!$A17,'Hours Log'!$C$2:$C$323,"="&amp;'Time Breakdown'!$A$1)</f>
        <v>0</v>
      </c>
      <c r="T17">
        <f>SUMIFS('Hours Log'!AV$2:AV$323,'Hours Log'!$A$2:$A$323,"="&amp;'Time Breakdown'!$A17,'Hours Log'!$C$2:$C$323,"="&amp;'Time Breakdown'!$A$1)</f>
        <v>0</v>
      </c>
      <c r="U17">
        <f>SUMIFS('Hours Log'!AW$2:AW$323,'Hours Log'!$A$2:$A$323,"="&amp;'Time Breakdown'!$A17,'Hours Log'!$C$2:$C$323,"="&amp;'Time Breakdown'!$A$1)</f>
        <v>0</v>
      </c>
      <c r="V17">
        <f t="shared" si="0"/>
        <v>100</v>
      </c>
    </row>
    <row r="18" spans="1:22" hidden="1" x14ac:dyDescent="0.25">
      <c r="A18" s="61" t="s">
        <v>165</v>
      </c>
      <c r="B18">
        <f>SUMIFS('Hours Log'!AD$2:AD$323,'Hours Log'!$A$2:$A$323,"="&amp;'Time Breakdown'!$A18,'Hours Log'!$C$2:$C$323,"="&amp;'Time Breakdown'!$A$1)</f>
        <v>0</v>
      </c>
      <c r="C18">
        <f>SUMIFS('Hours Log'!AE$2:AE$323,'Hours Log'!$A$2:$A$323,"="&amp;'Time Breakdown'!$A18,'Hours Log'!$C$2:$C$323,"="&amp;'Time Breakdown'!$A$1)</f>
        <v>0</v>
      </c>
      <c r="D18">
        <f>SUMIFS('Hours Log'!AF$2:AF$323,'Hours Log'!$A$2:$A$323,"="&amp;'Time Breakdown'!$A18,'Hours Log'!$C$2:$C$323,"="&amp;'Time Breakdown'!$A$1)</f>
        <v>0</v>
      </c>
      <c r="E18">
        <f>SUMIFS('Hours Log'!AG$2:AG$323,'Hours Log'!$A$2:$A$323,"="&amp;'Time Breakdown'!$A18,'Hours Log'!$C$2:$C$323,"="&amp;'Time Breakdown'!$A$1)</f>
        <v>0</v>
      </c>
      <c r="F18">
        <f>SUMIFS('Hours Log'!AH$2:AH$323,'Hours Log'!$A$2:$A$323,"="&amp;'Time Breakdown'!$A18,'Hours Log'!$C$2:$C$323,"="&amp;'Time Breakdown'!$A$1)</f>
        <v>0</v>
      </c>
      <c r="G18">
        <f>SUMIFS('Hours Log'!AI$2:AI$323,'Hours Log'!$A$2:$A$323,"="&amp;'Time Breakdown'!$A18,'Hours Log'!$C$2:$C$323,"="&amp;'Time Breakdown'!$A$1)</f>
        <v>0</v>
      </c>
      <c r="H18">
        <f>SUMIFS('Hours Log'!AJ$2:AJ$323,'Hours Log'!$A$2:$A$323,"="&amp;'Time Breakdown'!$A18,'Hours Log'!$C$2:$C$323,"="&amp;'Time Breakdown'!$A$1)</f>
        <v>0</v>
      </c>
      <c r="I18">
        <f>SUMIFS('Hours Log'!AK$2:AK$323,'Hours Log'!$A$2:$A$323,"="&amp;'Time Breakdown'!$A18,'Hours Log'!$C$2:$C$323,"="&amp;'Time Breakdown'!$A$1)</f>
        <v>100</v>
      </c>
      <c r="J18">
        <f>SUMIFS('Hours Log'!AL$2:AL$323,'Hours Log'!$A$2:$A$323,"="&amp;'Time Breakdown'!$A18,'Hours Log'!$C$2:$C$323,"="&amp;'Time Breakdown'!$A$1)</f>
        <v>0</v>
      </c>
      <c r="K18">
        <f>SUMIFS('Hours Log'!AM$2:AM$323,'Hours Log'!$A$2:$A$323,"="&amp;'Time Breakdown'!$A18,'Hours Log'!$C$2:$C$323,"="&amp;'Time Breakdown'!$A$1)</f>
        <v>0</v>
      </c>
      <c r="L18">
        <f>SUMIFS('Hours Log'!AN$2:AN$323,'Hours Log'!$A$2:$A$323,"="&amp;'Time Breakdown'!$A18,'Hours Log'!$C$2:$C$323,"="&amp;'Time Breakdown'!$A$1)</f>
        <v>0</v>
      </c>
      <c r="M18">
        <f>SUMIFS('Hours Log'!AO$2:AO$323,'Hours Log'!$A$2:$A$323,"="&amp;'Time Breakdown'!$A18,'Hours Log'!$C$2:$C$323,"="&amp;'Time Breakdown'!$A$1)</f>
        <v>0</v>
      </c>
      <c r="N18">
        <f>SUMIFS('Hours Log'!AP$2:AP$323,'Hours Log'!$A$2:$A$323,"="&amp;'Time Breakdown'!$A18,'Hours Log'!$C$2:$C$323,"="&amp;'Time Breakdown'!$A$1)</f>
        <v>0</v>
      </c>
      <c r="O18">
        <f>SUMIFS('Hours Log'!AQ$2:AQ$323,'Hours Log'!$A$2:$A$323,"="&amp;'Time Breakdown'!$A18,'Hours Log'!$C$2:$C$323,"="&amp;'Time Breakdown'!$A$1)</f>
        <v>0</v>
      </c>
      <c r="P18">
        <f>SUMIFS('Hours Log'!AR$2:AR$323,'Hours Log'!$A$2:$A$323,"="&amp;'Time Breakdown'!$A18,'Hours Log'!$C$2:$C$323,"="&amp;'Time Breakdown'!$A$1)</f>
        <v>0</v>
      </c>
      <c r="Q18">
        <f>SUMIFS('Hours Log'!AS$2:AS$323,'Hours Log'!$A$2:$A$323,"="&amp;'Time Breakdown'!$A18,'Hours Log'!$C$2:$C$323,"="&amp;'Time Breakdown'!$A$1)</f>
        <v>0</v>
      </c>
      <c r="R18">
        <f>SUMIFS('Hours Log'!AT$2:AT$323,'Hours Log'!$A$2:$A$323,"="&amp;'Time Breakdown'!$A18,'Hours Log'!$C$2:$C$323,"="&amp;'Time Breakdown'!$A$1)</f>
        <v>0</v>
      </c>
      <c r="S18">
        <f>SUMIFS('Hours Log'!AU$2:AU$323,'Hours Log'!$A$2:$A$323,"="&amp;'Time Breakdown'!$A18,'Hours Log'!$C$2:$C$323,"="&amp;'Time Breakdown'!$A$1)</f>
        <v>0</v>
      </c>
      <c r="T18">
        <f>SUMIFS('Hours Log'!AV$2:AV$323,'Hours Log'!$A$2:$A$323,"="&amp;'Time Breakdown'!$A18,'Hours Log'!$C$2:$C$323,"="&amp;'Time Breakdown'!$A$1)</f>
        <v>0</v>
      </c>
      <c r="U18">
        <f>SUMIFS('Hours Log'!AW$2:AW$323,'Hours Log'!$A$2:$A$323,"="&amp;'Time Breakdown'!$A18,'Hours Log'!$C$2:$C$323,"="&amp;'Time Breakdown'!$A$1)</f>
        <v>0</v>
      </c>
      <c r="V18">
        <f t="shared" si="0"/>
        <v>100</v>
      </c>
    </row>
    <row r="19" spans="1:22" hidden="1" x14ac:dyDescent="0.25">
      <c r="A19" s="61" t="s">
        <v>166</v>
      </c>
      <c r="B19">
        <f>SUMIFS('Hours Log'!AD$2:AD$323,'Hours Log'!$A$2:$A$323,"="&amp;'Time Breakdown'!$A19,'Hours Log'!$C$2:$C$323,"="&amp;'Time Breakdown'!$A$1)</f>
        <v>0</v>
      </c>
      <c r="C19">
        <f>SUMIFS('Hours Log'!AE$2:AE$323,'Hours Log'!$A$2:$A$323,"="&amp;'Time Breakdown'!$A19,'Hours Log'!$C$2:$C$323,"="&amp;'Time Breakdown'!$A$1)</f>
        <v>0</v>
      </c>
      <c r="D19">
        <f>SUMIFS('Hours Log'!AF$2:AF$323,'Hours Log'!$A$2:$A$323,"="&amp;'Time Breakdown'!$A19,'Hours Log'!$C$2:$C$323,"="&amp;'Time Breakdown'!$A$1)</f>
        <v>0</v>
      </c>
      <c r="E19">
        <f>SUMIFS('Hours Log'!AG$2:AG$323,'Hours Log'!$A$2:$A$323,"="&amp;'Time Breakdown'!$A19,'Hours Log'!$C$2:$C$323,"="&amp;'Time Breakdown'!$A$1)</f>
        <v>0</v>
      </c>
      <c r="F19">
        <f>SUMIFS('Hours Log'!AH$2:AH$323,'Hours Log'!$A$2:$A$323,"="&amp;'Time Breakdown'!$A19,'Hours Log'!$C$2:$C$323,"="&amp;'Time Breakdown'!$A$1)</f>
        <v>0</v>
      </c>
      <c r="G19">
        <f>SUMIFS('Hours Log'!AI$2:AI$323,'Hours Log'!$A$2:$A$323,"="&amp;'Time Breakdown'!$A19,'Hours Log'!$C$2:$C$323,"="&amp;'Time Breakdown'!$A$1)</f>
        <v>0</v>
      </c>
      <c r="H19">
        <f>SUMIFS('Hours Log'!AJ$2:AJ$323,'Hours Log'!$A$2:$A$323,"="&amp;'Time Breakdown'!$A19,'Hours Log'!$C$2:$C$323,"="&amp;'Time Breakdown'!$A$1)</f>
        <v>0</v>
      </c>
      <c r="I19">
        <f>SUMIFS('Hours Log'!AK$2:AK$323,'Hours Log'!$A$2:$A$323,"="&amp;'Time Breakdown'!$A19,'Hours Log'!$C$2:$C$323,"="&amp;'Time Breakdown'!$A$1)</f>
        <v>100</v>
      </c>
      <c r="J19">
        <f>SUMIFS('Hours Log'!AL$2:AL$323,'Hours Log'!$A$2:$A$323,"="&amp;'Time Breakdown'!$A19,'Hours Log'!$C$2:$C$323,"="&amp;'Time Breakdown'!$A$1)</f>
        <v>0</v>
      </c>
      <c r="K19">
        <f>SUMIFS('Hours Log'!AM$2:AM$323,'Hours Log'!$A$2:$A$323,"="&amp;'Time Breakdown'!$A19,'Hours Log'!$C$2:$C$323,"="&amp;'Time Breakdown'!$A$1)</f>
        <v>0</v>
      </c>
      <c r="L19">
        <f>SUMIFS('Hours Log'!AN$2:AN$323,'Hours Log'!$A$2:$A$323,"="&amp;'Time Breakdown'!$A19,'Hours Log'!$C$2:$C$323,"="&amp;'Time Breakdown'!$A$1)</f>
        <v>0</v>
      </c>
      <c r="M19">
        <f>SUMIFS('Hours Log'!AO$2:AO$323,'Hours Log'!$A$2:$A$323,"="&amp;'Time Breakdown'!$A19,'Hours Log'!$C$2:$C$323,"="&amp;'Time Breakdown'!$A$1)</f>
        <v>0</v>
      </c>
      <c r="N19">
        <f>SUMIFS('Hours Log'!AP$2:AP$323,'Hours Log'!$A$2:$A$323,"="&amp;'Time Breakdown'!$A19,'Hours Log'!$C$2:$C$323,"="&amp;'Time Breakdown'!$A$1)</f>
        <v>0</v>
      </c>
      <c r="O19">
        <f>SUMIFS('Hours Log'!AQ$2:AQ$323,'Hours Log'!$A$2:$A$323,"="&amp;'Time Breakdown'!$A19,'Hours Log'!$C$2:$C$323,"="&amp;'Time Breakdown'!$A$1)</f>
        <v>0</v>
      </c>
      <c r="P19">
        <f>SUMIFS('Hours Log'!AR$2:AR$323,'Hours Log'!$A$2:$A$323,"="&amp;'Time Breakdown'!$A19,'Hours Log'!$C$2:$C$323,"="&amp;'Time Breakdown'!$A$1)</f>
        <v>0</v>
      </c>
      <c r="Q19">
        <f>SUMIFS('Hours Log'!AS$2:AS$323,'Hours Log'!$A$2:$A$323,"="&amp;'Time Breakdown'!$A19,'Hours Log'!$C$2:$C$323,"="&amp;'Time Breakdown'!$A$1)</f>
        <v>0</v>
      </c>
      <c r="R19">
        <f>SUMIFS('Hours Log'!AT$2:AT$323,'Hours Log'!$A$2:$A$323,"="&amp;'Time Breakdown'!$A19,'Hours Log'!$C$2:$C$323,"="&amp;'Time Breakdown'!$A$1)</f>
        <v>0</v>
      </c>
      <c r="S19">
        <f>SUMIFS('Hours Log'!AU$2:AU$323,'Hours Log'!$A$2:$A$323,"="&amp;'Time Breakdown'!$A19,'Hours Log'!$C$2:$C$323,"="&amp;'Time Breakdown'!$A$1)</f>
        <v>0</v>
      </c>
      <c r="T19">
        <f>SUMIFS('Hours Log'!AV$2:AV$323,'Hours Log'!$A$2:$A$323,"="&amp;'Time Breakdown'!$A19,'Hours Log'!$C$2:$C$323,"="&amp;'Time Breakdown'!$A$1)</f>
        <v>0</v>
      </c>
      <c r="U19">
        <f>SUMIFS('Hours Log'!AW$2:AW$323,'Hours Log'!$A$2:$A$323,"="&amp;'Time Breakdown'!$A19,'Hours Log'!$C$2:$C$323,"="&amp;'Time Breakdown'!$A$1)</f>
        <v>0</v>
      </c>
      <c r="V19">
        <f t="shared" si="0"/>
        <v>100</v>
      </c>
    </row>
    <row r="20" spans="1:22" hidden="1" x14ac:dyDescent="0.25">
      <c r="A20" s="61" t="s">
        <v>167</v>
      </c>
      <c r="B20">
        <f>SUMIFS('Hours Log'!AD$2:AD$323,'Hours Log'!$A$2:$A$323,"="&amp;'Time Breakdown'!$A20,'Hours Log'!$C$2:$C$323,"="&amp;'Time Breakdown'!$A$1)</f>
        <v>0</v>
      </c>
      <c r="C20">
        <f>SUMIFS('Hours Log'!AE$2:AE$323,'Hours Log'!$A$2:$A$323,"="&amp;'Time Breakdown'!$A20,'Hours Log'!$C$2:$C$323,"="&amp;'Time Breakdown'!$A$1)</f>
        <v>0</v>
      </c>
      <c r="D20">
        <f>SUMIFS('Hours Log'!AF$2:AF$323,'Hours Log'!$A$2:$A$323,"="&amp;'Time Breakdown'!$A20,'Hours Log'!$C$2:$C$323,"="&amp;'Time Breakdown'!$A$1)</f>
        <v>0</v>
      </c>
      <c r="E20">
        <f>SUMIFS('Hours Log'!AG$2:AG$323,'Hours Log'!$A$2:$A$323,"="&amp;'Time Breakdown'!$A20,'Hours Log'!$C$2:$C$323,"="&amp;'Time Breakdown'!$A$1)</f>
        <v>0</v>
      </c>
      <c r="F20">
        <f>SUMIFS('Hours Log'!AH$2:AH$323,'Hours Log'!$A$2:$A$323,"="&amp;'Time Breakdown'!$A20,'Hours Log'!$C$2:$C$323,"="&amp;'Time Breakdown'!$A$1)</f>
        <v>0</v>
      </c>
      <c r="G20">
        <f>SUMIFS('Hours Log'!AI$2:AI$323,'Hours Log'!$A$2:$A$323,"="&amp;'Time Breakdown'!$A20,'Hours Log'!$C$2:$C$323,"="&amp;'Time Breakdown'!$A$1)</f>
        <v>0</v>
      </c>
      <c r="H20">
        <f>SUMIFS('Hours Log'!AJ$2:AJ$323,'Hours Log'!$A$2:$A$323,"="&amp;'Time Breakdown'!$A20,'Hours Log'!$C$2:$C$323,"="&amp;'Time Breakdown'!$A$1)</f>
        <v>0</v>
      </c>
      <c r="I20">
        <f>SUMIFS('Hours Log'!AK$2:AK$323,'Hours Log'!$A$2:$A$323,"="&amp;'Time Breakdown'!$A20,'Hours Log'!$C$2:$C$323,"="&amp;'Time Breakdown'!$A$1)</f>
        <v>0</v>
      </c>
      <c r="J20">
        <f>SUMIFS('Hours Log'!AL$2:AL$323,'Hours Log'!$A$2:$A$323,"="&amp;'Time Breakdown'!$A20,'Hours Log'!$C$2:$C$323,"="&amp;'Time Breakdown'!$A$1)</f>
        <v>50</v>
      </c>
      <c r="K20">
        <f>SUMIFS('Hours Log'!AM$2:AM$323,'Hours Log'!$A$2:$A$323,"="&amp;'Time Breakdown'!$A20,'Hours Log'!$C$2:$C$323,"="&amp;'Time Breakdown'!$A$1)</f>
        <v>0</v>
      </c>
      <c r="L20">
        <f>SUMIFS('Hours Log'!AN$2:AN$323,'Hours Log'!$A$2:$A$323,"="&amp;'Time Breakdown'!$A20,'Hours Log'!$C$2:$C$323,"="&amp;'Time Breakdown'!$A$1)</f>
        <v>0</v>
      </c>
      <c r="M20">
        <f>SUMIFS('Hours Log'!AO$2:AO$323,'Hours Log'!$A$2:$A$323,"="&amp;'Time Breakdown'!$A20,'Hours Log'!$C$2:$C$323,"="&amp;'Time Breakdown'!$A$1)</f>
        <v>0</v>
      </c>
      <c r="N20">
        <f>SUMIFS('Hours Log'!AP$2:AP$323,'Hours Log'!$A$2:$A$323,"="&amp;'Time Breakdown'!$A20,'Hours Log'!$C$2:$C$323,"="&amp;'Time Breakdown'!$A$1)</f>
        <v>0</v>
      </c>
      <c r="O20">
        <f>SUMIFS('Hours Log'!AQ$2:AQ$323,'Hours Log'!$A$2:$A$323,"="&amp;'Time Breakdown'!$A20,'Hours Log'!$C$2:$C$323,"="&amp;'Time Breakdown'!$A$1)</f>
        <v>0</v>
      </c>
      <c r="P20">
        <f>SUMIFS('Hours Log'!AR$2:AR$323,'Hours Log'!$A$2:$A$323,"="&amp;'Time Breakdown'!$A20,'Hours Log'!$C$2:$C$323,"="&amp;'Time Breakdown'!$A$1)</f>
        <v>0</v>
      </c>
      <c r="Q20">
        <f>SUMIFS('Hours Log'!AS$2:AS$323,'Hours Log'!$A$2:$A$323,"="&amp;'Time Breakdown'!$A20,'Hours Log'!$C$2:$C$323,"="&amp;'Time Breakdown'!$A$1)</f>
        <v>0</v>
      </c>
      <c r="R20">
        <f>SUMIFS('Hours Log'!AT$2:AT$323,'Hours Log'!$A$2:$A$323,"="&amp;'Time Breakdown'!$A20,'Hours Log'!$C$2:$C$323,"="&amp;'Time Breakdown'!$A$1)</f>
        <v>0</v>
      </c>
      <c r="S20">
        <f>SUMIFS('Hours Log'!AU$2:AU$323,'Hours Log'!$A$2:$A$323,"="&amp;'Time Breakdown'!$A20,'Hours Log'!$C$2:$C$323,"="&amp;'Time Breakdown'!$A$1)</f>
        <v>0</v>
      </c>
      <c r="T20">
        <f>SUMIFS('Hours Log'!AV$2:AV$323,'Hours Log'!$A$2:$A$323,"="&amp;'Time Breakdown'!$A20,'Hours Log'!$C$2:$C$323,"="&amp;'Time Breakdown'!$A$1)</f>
        <v>0</v>
      </c>
      <c r="U20">
        <f>SUMIFS('Hours Log'!AW$2:AW$323,'Hours Log'!$A$2:$A$323,"="&amp;'Time Breakdown'!$A20,'Hours Log'!$C$2:$C$323,"="&amp;'Time Breakdown'!$A$1)</f>
        <v>50</v>
      </c>
      <c r="V20">
        <f t="shared" si="0"/>
        <v>100</v>
      </c>
    </row>
    <row r="21" spans="1:22" hidden="1" x14ac:dyDescent="0.25">
      <c r="A21" s="61" t="s">
        <v>168</v>
      </c>
      <c r="B21">
        <f>SUMIFS('Hours Log'!AD$2:AD$323,'Hours Log'!$A$2:$A$323,"="&amp;'Time Breakdown'!$A21,'Hours Log'!$C$2:$C$323,"="&amp;'Time Breakdown'!$A$1)</f>
        <v>0</v>
      </c>
      <c r="C21">
        <f>SUMIFS('Hours Log'!AE$2:AE$323,'Hours Log'!$A$2:$A$323,"="&amp;'Time Breakdown'!$A21,'Hours Log'!$C$2:$C$323,"="&amp;'Time Breakdown'!$A$1)</f>
        <v>0</v>
      </c>
      <c r="D21">
        <f>SUMIFS('Hours Log'!AF$2:AF$323,'Hours Log'!$A$2:$A$323,"="&amp;'Time Breakdown'!$A21,'Hours Log'!$C$2:$C$323,"="&amp;'Time Breakdown'!$A$1)</f>
        <v>0</v>
      </c>
      <c r="E21">
        <f>SUMIFS('Hours Log'!AG$2:AG$323,'Hours Log'!$A$2:$A$323,"="&amp;'Time Breakdown'!$A21,'Hours Log'!$C$2:$C$323,"="&amp;'Time Breakdown'!$A$1)</f>
        <v>0</v>
      </c>
      <c r="F21">
        <f>SUMIFS('Hours Log'!AH$2:AH$323,'Hours Log'!$A$2:$A$323,"="&amp;'Time Breakdown'!$A21,'Hours Log'!$C$2:$C$323,"="&amp;'Time Breakdown'!$A$1)</f>
        <v>0</v>
      </c>
      <c r="G21">
        <f>SUMIFS('Hours Log'!AI$2:AI$323,'Hours Log'!$A$2:$A$323,"="&amp;'Time Breakdown'!$A21,'Hours Log'!$C$2:$C$323,"="&amp;'Time Breakdown'!$A$1)</f>
        <v>0</v>
      </c>
      <c r="H21">
        <f>SUMIFS('Hours Log'!AJ$2:AJ$323,'Hours Log'!$A$2:$A$323,"="&amp;'Time Breakdown'!$A21,'Hours Log'!$C$2:$C$323,"="&amp;'Time Breakdown'!$A$1)</f>
        <v>0</v>
      </c>
      <c r="I21">
        <f>SUMIFS('Hours Log'!AK$2:AK$323,'Hours Log'!$A$2:$A$323,"="&amp;'Time Breakdown'!$A21,'Hours Log'!$C$2:$C$323,"="&amp;'Time Breakdown'!$A$1)</f>
        <v>100</v>
      </c>
      <c r="J21">
        <f>SUMIFS('Hours Log'!AL$2:AL$323,'Hours Log'!$A$2:$A$323,"="&amp;'Time Breakdown'!$A21,'Hours Log'!$C$2:$C$323,"="&amp;'Time Breakdown'!$A$1)</f>
        <v>0</v>
      </c>
      <c r="K21">
        <f>SUMIFS('Hours Log'!AM$2:AM$323,'Hours Log'!$A$2:$A$323,"="&amp;'Time Breakdown'!$A21,'Hours Log'!$C$2:$C$323,"="&amp;'Time Breakdown'!$A$1)</f>
        <v>0</v>
      </c>
      <c r="L21">
        <f>SUMIFS('Hours Log'!AN$2:AN$323,'Hours Log'!$A$2:$A$323,"="&amp;'Time Breakdown'!$A21,'Hours Log'!$C$2:$C$323,"="&amp;'Time Breakdown'!$A$1)</f>
        <v>0</v>
      </c>
      <c r="M21">
        <f>SUMIFS('Hours Log'!AO$2:AO$323,'Hours Log'!$A$2:$A$323,"="&amp;'Time Breakdown'!$A21,'Hours Log'!$C$2:$C$323,"="&amp;'Time Breakdown'!$A$1)</f>
        <v>0</v>
      </c>
      <c r="N21">
        <f>SUMIFS('Hours Log'!AP$2:AP$323,'Hours Log'!$A$2:$A$323,"="&amp;'Time Breakdown'!$A21,'Hours Log'!$C$2:$C$323,"="&amp;'Time Breakdown'!$A$1)</f>
        <v>0</v>
      </c>
      <c r="O21">
        <f>SUMIFS('Hours Log'!AQ$2:AQ$323,'Hours Log'!$A$2:$A$323,"="&amp;'Time Breakdown'!$A21,'Hours Log'!$C$2:$C$323,"="&amp;'Time Breakdown'!$A$1)</f>
        <v>0</v>
      </c>
      <c r="P21">
        <f>SUMIFS('Hours Log'!AR$2:AR$323,'Hours Log'!$A$2:$A$323,"="&amp;'Time Breakdown'!$A21,'Hours Log'!$C$2:$C$323,"="&amp;'Time Breakdown'!$A$1)</f>
        <v>0</v>
      </c>
      <c r="Q21">
        <f>SUMIFS('Hours Log'!AS$2:AS$323,'Hours Log'!$A$2:$A$323,"="&amp;'Time Breakdown'!$A21,'Hours Log'!$C$2:$C$323,"="&amp;'Time Breakdown'!$A$1)</f>
        <v>0</v>
      </c>
      <c r="R21">
        <f>SUMIFS('Hours Log'!AT$2:AT$323,'Hours Log'!$A$2:$A$323,"="&amp;'Time Breakdown'!$A21,'Hours Log'!$C$2:$C$323,"="&amp;'Time Breakdown'!$A$1)</f>
        <v>0</v>
      </c>
      <c r="S21">
        <f>SUMIFS('Hours Log'!AU$2:AU$323,'Hours Log'!$A$2:$A$323,"="&amp;'Time Breakdown'!$A21,'Hours Log'!$C$2:$C$323,"="&amp;'Time Breakdown'!$A$1)</f>
        <v>0</v>
      </c>
      <c r="T21">
        <f>SUMIFS('Hours Log'!AV$2:AV$323,'Hours Log'!$A$2:$A$323,"="&amp;'Time Breakdown'!$A21,'Hours Log'!$C$2:$C$323,"="&amp;'Time Breakdown'!$A$1)</f>
        <v>0</v>
      </c>
      <c r="U21">
        <f>SUMIFS('Hours Log'!AW$2:AW$323,'Hours Log'!$A$2:$A$323,"="&amp;'Time Breakdown'!$A21,'Hours Log'!$C$2:$C$323,"="&amp;'Time Breakdown'!$A$1)</f>
        <v>0</v>
      </c>
      <c r="V21">
        <f t="shared" si="0"/>
        <v>100</v>
      </c>
    </row>
    <row r="22" spans="1:22" hidden="1" x14ac:dyDescent="0.25">
      <c r="A22" s="61" t="s">
        <v>55</v>
      </c>
      <c r="B22">
        <f>SUMIFS('Hours Log'!AD$2:AD$323,'Hours Log'!$A$2:$A$323,"="&amp;'Time Breakdown'!$A22,'Hours Log'!$C$2:$C$323,"="&amp;'Time Breakdown'!$A$1)</f>
        <v>0</v>
      </c>
      <c r="C22">
        <f>SUMIFS('Hours Log'!AE$2:AE$323,'Hours Log'!$A$2:$A$323,"="&amp;'Time Breakdown'!$A22,'Hours Log'!$C$2:$C$323,"="&amp;'Time Breakdown'!$A$1)</f>
        <v>0</v>
      </c>
      <c r="D22">
        <f>SUMIFS('Hours Log'!AF$2:AF$323,'Hours Log'!$A$2:$A$323,"="&amp;'Time Breakdown'!$A22,'Hours Log'!$C$2:$C$323,"="&amp;'Time Breakdown'!$A$1)</f>
        <v>0</v>
      </c>
      <c r="E22">
        <f>SUMIFS('Hours Log'!AG$2:AG$323,'Hours Log'!$A$2:$A$323,"="&amp;'Time Breakdown'!$A22,'Hours Log'!$C$2:$C$323,"="&amp;'Time Breakdown'!$A$1)</f>
        <v>0</v>
      </c>
      <c r="F22">
        <f>SUMIFS('Hours Log'!AH$2:AH$323,'Hours Log'!$A$2:$A$323,"="&amp;'Time Breakdown'!$A22,'Hours Log'!$C$2:$C$323,"="&amp;'Time Breakdown'!$A$1)</f>
        <v>0</v>
      </c>
      <c r="G22">
        <f>SUMIFS('Hours Log'!AI$2:AI$323,'Hours Log'!$A$2:$A$323,"="&amp;'Time Breakdown'!$A22,'Hours Log'!$C$2:$C$323,"="&amp;'Time Breakdown'!$A$1)</f>
        <v>10.666666666666666</v>
      </c>
      <c r="H22">
        <f>SUMIFS('Hours Log'!AJ$2:AJ$323,'Hours Log'!$A$2:$A$323,"="&amp;'Time Breakdown'!$A22,'Hours Log'!$C$2:$C$323,"="&amp;'Time Breakdown'!$A$1)</f>
        <v>741.29650016758421</v>
      </c>
      <c r="I22">
        <f>SUMIFS('Hours Log'!AK$2:AK$323,'Hours Log'!$A$2:$A$323,"="&amp;'Time Breakdown'!$A22,'Hours Log'!$C$2:$C$323,"="&amp;'Time Breakdown'!$A$1)</f>
        <v>0</v>
      </c>
      <c r="J22">
        <f>SUMIFS('Hours Log'!AL$2:AL$323,'Hours Log'!$A$2:$A$323,"="&amp;'Time Breakdown'!$A22,'Hours Log'!$C$2:$C$323,"="&amp;'Time Breakdown'!$A$1)</f>
        <v>0</v>
      </c>
      <c r="K22">
        <f>SUMIFS('Hours Log'!AM$2:AM$323,'Hours Log'!$A$2:$A$323,"="&amp;'Time Breakdown'!$A22,'Hours Log'!$C$2:$C$323,"="&amp;'Time Breakdown'!$A$1)</f>
        <v>0</v>
      </c>
      <c r="L22">
        <f>SUMIFS('Hours Log'!AN$2:AN$323,'Hours Log'!$A$2:$A$323,"="&amp;'Time Breakdown'!$A22,'Hours Log'!$C$2:$C$323,"="&amp;'Time Breakdown'!$A$1)</f>
        <v>55.493725275251364</v>
      </c>
      <c r="M22">
        <f>SUMIFS('Hours Log'!AO$2:AO$323,'Hours Log'!$A$2:$A$323,"="&amp;'Time Breakdown'!$A22,'Hours Log'!$C$2:$C$323,"="&amp;'Time Breakdown'!$A$1)</f>
        <v>73.881914190490932</v>
      </c>
      <c r="N22">
        <f>SUMIFS('Hours Log'!AP$2:AP$323,'Hours Log'!$A$2:$A$323,"="&amp;'Time Breakdown'!$A22,'Hours Log'!$C$2:$C$323,"="&amp;'Time Breakdown'!$A$1)</f>
        <v>125.56112422214353</v>
      </c>
      <c r="O22">
        <f>SUMIFS('Hours Log'!AQ$2:AQ$323,'Hours Log'!$A$2:$A$323,"="&amp;'Time Breakdown'!$A22,'Hours Log'!$C$2:$C$323,"="&amp;'Time Breakdown'!$A$1)</f>
        <v>0</v>
      </c>
      <c r="P22">
        <f>SUMIFS('Hours Log'!AR$2:AR$323,'Hours Log'!$A$2:$A$323,"="&amp;'Time Breakdown'!$A22,'Hours Log'!$C$2:$C$323,"="&amp;'Time Breakdown'!$A$1)</f>
        <v>0</v>
      </c>
      <c r="Q22">
        <f>SUMIFS('Hours Log'!AS$2:AS$323,'Hours Log'!$A$2:$A$323,"="&amp;'Time Breakdown'!$A22,'Hours Log'!$C$2:$C$323,"="&amp;'Time Breakdown'!$A$1)</f>
        <v>139.56888994145942</v>
      </c>
      <c r="R22">
        <f>SUMIFS('Hours Log'!AT$2:AT$323,'Hours Log'!$A$2:$A$323,"="&amp;'Time Breakdown'!$A22,'Hours Log'!$C$2:$C$323,"="&amp;'Time Breakdown'!$A$1)</f>
        <v>0</v>
      </c>
      <c r="S22">
        <f>SUMIFS('Hours Log'!AU$2:AU$323,'Hours Log'!$A$2:$A$323,"="&amp;'Time Breakdown'!$A22,'Hours Log'!$C$2:$C$323,"="&amp;'Time Breakdown'!$A$1)</f>
        <v>0</v>
      </c>
      <c r="T22">
        <f>SUMIFS('Hours Log'!AV$2:AV$323,'Hours Log'!$A$2:$A$323,"="&amp;'Time Breakdown'!$A22,'Hours Log'!$C$2:$C$323,"="&amp;'Time Breakdown'!$A$1)</f>
        <v>0</v>
      </c>
      <c r="U22">
        <f>SUMIFS('Hours Log'!AW$2:AW$323,'Hours Log'!$A$2:$A$323,"="&amp;'Time Breakdown'!$A22,'Hours Log'!$C$2:$C$323,"="&amp;'Time Breakdown'!$A$1)</f>
        <v>941.5311795364039</v>
      </c>
      <c r="V22">
        <f t="shared" si="0"/>
        <v>2088</v>
      </c>
    </row>
    <row r="23" spans="1:22" hidden="1" x14ac:dyDescent="0.25">
      <c r="A23" s="61" t="s">
        <v>74</v>
      </c>
      <c r="B23">
        <f>SUMIFS('Hours Log'!AD$2:AD$323,'Hours Log'!$A$2:$A$323,"="&amp;'Time Breakdown'!$A23,'Hours Log'!$C$2:$C$323,"="&amp;'Time Breakdown'!$A$1)</f>
        <v>0</v>
      </c>
      <c r="C23">
        <f>SUMIFS('Hours Log'!AE$2:AE$323,'Hours Log'!$A$2:$A$323,"="&amp;'Time Breakdown'!$A23,'Hours Log'!$C$2:$C$323,"="&amp;'Time Breakdown'!$A$1)</f>
        <v>0</v>
      </c>
      <c r="D23">
        <f>SUMIFS('Hours Log'!AF$2:AF$323,'Hours Log'!$A$2:$A$323,"="&amp;'Time Breakdown'!$A23,'Hours Log'!$C$2:$C$323,"="&amp;'Time Breakdown'!$A$1)</f>
        <v>0</v>
      </c>
      <c r="E23">
        <f>SUMIFS('Hours Log'!AG$2:AG$323,'Hours Log'!$A$2:$A$323,"="&amp;'Time Breakdown'!$A23,'Hours Log'!$C$2:$C$323,"="&amp;'Time Breakdown'!$A$1)</f>
        <v>0</v>
      </c>
      <c r="F23">
        <f>SUMIFS('Hours Log'!AH$2:AH$323,'Hours Log'!$A$2:$A$323,"="&amp;'Time Breakdown'!$A23,'Hours Log'!$C$2:$C$323,"="&amp;'Time Breakdown'!$A$1)</f>
        <v>0</v>
      </c>
      <c r="G23">
        <f>SUMIFS('Hours Log'!AI$2:AI$323,'Hours Log'!$A$2:$A$323,"="&amp;'Time Breakdown'!$A23,'Hours Log'!$C$2:$C$323,"="&amp;'Time Breakdown'!$A$1)</f>
        <v>0</v>
      </c>
      <c r="H23">
        <f>SUMIFS('Hours Log'!AJ$2:AJ$323,'Hours Log'!$A$2:$A$323,"="&amp;'Time Breakdown'!$A23,'Hours Log'!$C$2:$C$323,"="&amp;'Time Breakdown'!$A$1)</f>
        <v>143.9078740548492</v>
      </c>
      <c r="I23">
        <f>SUMIFS('Hours Log'!AK$2:AK$323,'Hours Log'!$A$2:$A$323,"="&amp;'Time Breakdown'!$A23,'Hours Log'!$C$2:$C$323,"="&amp;'Time Breakdown'!$A$1)</f>
        <v>929.61251526212129</v>
      </c>
      <c r="J23">
        <f>SUMIFS('Hours Log'!AL$2:AL$323,'Hours Log'!$A$2:$A$323,"="&amp;'Time Breakdown'!$A23,'Hours Log'!$C$2:$C$323,"="&amp;'Time Breakdown'!$A$1)</f>
        <v>0</v>
      </c>
      <c r="K23">
        <f>SUMIFS('Hours Log'!AM$2:AM$323,'Hours Log'!$A$2:$A$323,"="&amp;'Time Breakdown'!$A23,'Hours Log'!$C$2:$C$323,"="&amp;'Time Breakdown'!$A$1)</f>
        <v>987.19684623435728</v>
      </c>
      <c r="L23">
        <f>SUMIFS('Hours Log'!AN$2:AN$323,'Hours Log'!$A$2:$A$323,"="&amp;'Time Breakdown'!$A23,'Hours Log'!$C$2:$C$323,"="&amp;'Time Breakdown'!$A$1)</f>
        <v>0</v>
      </c>
      <c r="M23">
        <f>SUMIFS('Hours Log'!AO$2:AO$323,'Hours Log'!$A$2:$A$323,"="&amp;'Time Breakdown'!$A23,'Hours Log'!$C$2:$C$323,"="&amp;'Time Breakdown'!$A$1)</f>
        <v>0</v>
      </c>
      <c r="N23">
        <f>SUMIFS('Hours Log'!AP$2:AP$323,'Hours Log'!$A$2:$A$323,"="&amp;'Time Breakdown'!$A23,'Hours Log'!$C$2:$C$323,"="&amp;'Time Breakdown'!$A$1)</f>
        <v>0</v>
      </c>
      <c r="O23">
        <f>SUMIFS('Hours Log'!AQ$2:AQ$323,'Hours Log'!$A$2:$A$323,"="&amp;'Time Breakdown'!$A23,'Hours Log'!$C$2:$C$323,"="&amp;'Time Breakdown'!$A$1)</f>
        <v>0</v>
      </c>
      <c r="P23">
        <f>SUMIFS('Hours Log'!AR$2:AR$323,'Hours Log'!$A$2:$A$323,"="&amp;'Time Breakdown'!$A23,'Hours Log'!$C$2:$C$323,"="&amp;'Time Breakdown'!$A$1)</f>
        <v>0</v>
      </c>
      <c r="Q23">
        <f>SUMIFS('Hours Log'!AS$2:AS$323,'Hours Log'!$A$2:$A$323,"="&amp;'Time Breakdown'!$A23,'Hours Log'!$C$2:$C$323,"="&amp;'Time Breakdown'!$A$1)</f>
        <v>27.282764448672228</v>
      </c>
      <c r="R23">
        <f>SUMIFS('Hours Log'!AT$2:AT$323,'Hours Log'!$A$2:$A$323,"="&amp;'Time Breakdown'!$A23,'Hours Log'!$C$2:$C$323,"="&amp;'Time Breakdown'!$A$1)</f>
        <v>0</v>
      </c>
      <c r="S23">
        <f>SUMIFS('Hours Log'!AU$2:AU$323,'Hours Log'!$A$2:$A$323,"="&amp;'Time Breakdown'!$A23,'Hours Log'!$C$2:$C$323,"="&amp;'Time Breakdown'!$A$1)</f>
        <v>0</v>
      </c>
      <c r="T23">
        <f>SUMIFS('Hours Log'!AV$2:AV$323,'Hours Log'!$A$2:$A$323,"="&amp;'Time Breakdown'!$A23,'Hours Log'!$C$2:$C$323,"="&amp;'Time Breakdown'!$A$1)</f>
        <v>0</v>
      </c>
      <c r="U23">
        <f>SUMIFS('Hours Log'!AW$2:AW$323,'Hours Log'!$A$2:$A$323,"="&amp;'Time Breakdown'!$A23,'Hours Log'!$C$2:$C$323,"="&amp;'Time Breakdown'!$A$1)</f>
        <v>0</v>
      </c>
      <c r="V23">
        <f t="shared" si="0"/>
        <v>2088</v>
      </c>
    </row>
    <row r="24" spans="1:22" hidden="1" x14ac:dyDescent="0.25">
      <c r="A24" s="61" t="s">
        <v>169</v>
      </c>
      <c r="B24">
        <f>SUMIFS('Hours Log'!AD$2:AD$323,'Hours Log'!$A$2:$A$323,"="&amp;'Time Breakdown'!$A24,'Hours Log'!$C$2:$C$323,"="&amp;'Time Breakdown'!$A$1)</f>
        <v>0</v>
      </c>
      <c r="C24">
        <f>SUMIFS('Hours Log'!AE$2:AE$323,'Hours Log'!$A$2:$A$323,"="&amp;'Time Breakdown'!$A24,'Hours Log'!$C$2:$C$323,"="&amp;'Time Breakdown'!$A$1)</f>
        <v>33.548387096774192</v>
      </c>
      <c r="D24">
        <f>SUMIFS('Hours Log'!AF$2:AF$323,'Hours Log'!$A$2:$A$323,"="&amp;'Time Breakdown'!$A24,'Hours Log'!$C$2:$C$323,"="&amp;'Time Breakdown'!$A$1)</f>
        <v>0</v>
      </c>
      <c r="E24">
        <f>SUMIFS('Hours Log'!AG$2:AG$323,'Hours Log'!$A$2:$A$323,"="&amp;'Time Breakdown'!$A24,'Hours Log'!$C$2:$C$323,"="&amp;'Time Breakdown'!$A$1)</f>
        <v>0</v>
      </c>
      <c r="F24">
        <f>SUMIFS('Hours Log'!AH$2:AH$323,'Hours Log'!$A$2:$A$323,"="&amp;'Time Breakdown'!$A24,'Hours Log'!$C$2:$C$323,"="&amp;'Time Breakdown'!$A$1)</f>
        <v>0</v>
      </c>
      <c r="G24">
        <f>SUMIFS('Hours Log'!AI$2:AI$323,'Hours Log'!$A$2:$A$323,"="&amp;'Time Breakdown'!$A24,'Hours Log'!$C$2:$C$323,"="&amp;'Time Breakdown'!$A$1)</f>
        <v>0</v>
      </c>
      <c r="H24">
        <f>SUMIFS('Hours Log'!AJ$2:AJ$323,'Hours Log'!$A$2:$A$323,"="&amp;'Time Breakdown'!$A24,'Hours Log'!$C$2:$C$323,"="&amp;'Time Breakdown'!$A$1)</f>
        <v>0</v>
      </c>
      <c r="I24">
        <f>SUMIFS('Hours Log'!AK$2:AK$323,'Hours Log'!$A$2:$A$323,"="&amp;'Time Breakdown'!$A24,'Hours Log'!$C$2:$C$323,"="&amp;'Time Breakdown'!$A$1)</f>
        <v>886.63594470046075</v>
      </c>
      <c r="J24">
        <f>SUMIFS('Hours Log'!AL$2:AL$323,'Hours Log'!$A$2:$A$323,"="&amp;'Time Breakdown'!$A24,'Hours Log'!$C$2:$C$323,"="&amp;'Time Breakdown'!$A$1)</f>
        <v>29.714285714285712</v>
      </c>
      <c r="K24">
        <f>SUMIFS('Hours Log'!AM$2:AM$323,'Hours Log'!$A$2:$A$323,"="&amp;'Time Breakdown'!$A24,'Hours Log'!$C$2:$C$323,"="&amp;'Time Breakdown'!$A$1)</f>
        <v>0</v>
      </c>
      <c r="L24">
        <f>SUMIFS('Hours Log'!AN$2:AN$323,'Hours Log'!$A$2:$A$323,"="&amp;'Time Breakdown'!$A24,'Hours Log'!$C$2:$C$323,"="&amp;'Time Breakdown'!$A$1)</f>
        <v>0</v>
      </c>
      <c r="M24">
        <f>SUMIFS('Hours Log'!AO$2:AO$323,'Hours Log'!$A$2:$A$323,"="&amp;'Time Breakdown'!$A24,'Hours Log'!$C$2:$C$323,"="&amp;'Time Breakdown'!$A$1)</f>
        <v>0</v>
      </c>
      <c r="N24">
        <f>SUMIFS('Hours Log'!AP$2:AP$323,'Hours Log'!$A$2:$A$323,"="&amp;'Time Breakdown'!$A24,'Hours Log'!$C$2:$C$323,"="&amp;'Time Breakdown'!$A$1)</f>
        <v>0</v>
      </c>
      <c r="O24">
        <f>SUMIFS('Hours Log'!AQ$2:AQ$323,'Hours Log'!$A$2:$A$323,"="&amp;'Time Breakdown'!$A24,'Hours Log'!$C$2:$C$323,"="&amp;'Time Breakdown'!$A$1)</f>
        <v>80.516129032258064</v>
      </c>
      <c r="P24">
        <f>SUMIFS('Hours Log'!AR$2:AR$323,'Hours Log'!$A$2:$A$323,"="&amp;'Time Breakdown'!$A24,'Hours Log'!$C$2:$C$323,"="&amp;'Time Breakdown'!$A$1)</f>
        <v>0</v>
      </c>
      <c r="Q24">
        <f>SUMIFS('Hours Log'!AS$2:AS$323,'Hours Log'!$A$2:$A$323,"="&amp;'Time Breakdown'!$A24,'Hours Log'!$C$2:$C$323,"="&amp;'Time Breakdown'!$A$1)</f>
        <v>0</v>
      </c>
      <c r="R24">
        <f>SUMIFS('Hours Log'!AT$2:AT$323,'Hours Log'!$A$2:$A$323,"="&amp;'Time Breakdown'!$A24,'Hours Log'!$C$2:$C$323,"="&amp;'Time Breakdown'!$A$1)</f>
        <v>7.1889400921658995</v>
      </c>
      <c r="S24">
        <f>SUMIFS('Hours Log'!AU$2:AU$323,'Hours Log'!$A$2:$A$323,"="&amp;'Time Breakdown'!$A24,'Hours Log'!$C$2:$C$323,"="&amp;'Time Breakdown'!$A$1)</f>
        <v>0</v>
      </c>
      <c r="T24">
        <f>SUMIFS('Hours Log'!AV$2:AV$323,'Hours Log'!$A$2:$A$323,"="&amp;'Time Breakdown'!$A24,'Hours Log'!$C$2:$C$323,"="&amp;'Time Breakdown'!$A$1)</f>
        <v>46.967741935483865</v>
      </c>
      <c r="U24">
        <f>SUMIFS('Hours Log'!AW$2:AW$323,'Hours Log'!$A$2:$A$323,"="&amp;'Time Breakdown'!$A24,'Hours Log'!$C$2:$C$323,"="&amp;'Time Breakdown'!$A$1)</f>
        <v>995.42857142857144</v>
      </c>
      <c r="V24">
        <f t="shared" si="0"/>
        <v>2080</v>
      </c>
    </row>
    <row r="25" spans="1:22" hidden="1" x14ac:dyDescent="0.25">
      <c r="A25" s="61" t="s">
        <v>170</v>
      </c>
      <c r="B25">
        <f>SUMIFS('Hours Log'!AD$2:AD$323,'Hours Log'!$A$2:$A$323,"="&amp;'Time Breakdown'!$A25,'Hours Log'!$C$2:$C$323,"="&amp;'Time Breakdown'!$A$1)</f>
        <v>0</v>
      </c>
      <c r="C25">
        <f>SUMIFS('Hours Log'!AE$2:AE$323,'Hours Log'!$A$2:$A$323,"="&amp;'Time Breakdown'!$A25,'Hours Log'!$C$2:$C$323,"="&amp;'Time Breakdown'!$A$1)</f>
        <v>0</v>
      </c>
      <c r="D25">
        <f>SUMIFS('Hours Log'!AF$2:AF$323,'Hours Log'!$A$2:$A$323,"="&amp;'Time Breakdown'!$A25,'Hours Log'!$C$2:$C$323,"="&amp;'Time Breakdown'!$A$1)</f>
        <v>0</v>
      </c>
      <c r="E25">
        <f>SUMIFS('Hours Log'!AG$2:AG$323,'Hours Log'!$A$2:$A$323,"="&amp;'Time Breakdown'!$A25,'Hours Log'!$C$2:$C$323,"="&amp;'Time Breakdown'!$A$1)</f>
        <v>0</v>
      </c>
      <c r="F25">
        <f>SUMIFS('Hours Log'!AH$2:AH$323,'Hours Log'!$A$2:$A$323,"="&amp;'Time Breakdown'!$A25,'Hours Log'!$C$2:$C$323,"="&amp;'Time Breakdown'!$A$1)</f>
        <v>0</v>
      </c>
      <c r="G25">
        <f>SUMIFS('Hours Log'!AI$2:AI$323,'Hours Log'!$A$2:$A$323,"="&amp;'Time Breakdown'!$A25,'Hours Log'!$C$2:$C$323,"="&amp;'Time Breakdown'!$A$1)</f>
        <v>0</v>
      </c>
      <c r="H25">
        <f>SUMIFS('Hours Log'!AJ$2:AJ$323,'Hours Log'!$A$2:$A$323,"="&amp;'Time Breakdown'!$A25,'Hours Log'!$C$2:$C$323,"="&amp;'Time Breakdown'!$A$1)</f>
        <v>0</v>
      </c>
      <c r="I25">
        <f>SUMIFS('Hours Log'!AK$2:AK$323,'Hours Log'!$A$2:$A$323,"="&amp;'Time Breakdown'!$A25,'Hours Log'!$C$2:$C$323,"="&amp;'Time Breakdown'!$A$1)</f>
        <v>100</v>
      </c>
      <c r="J25">
        <f>SUMIFS('Hours Log'!AL$2:AL$323,'Hours Log'!$A$2:$A$323,"="&amp;'Time Breakdown'!$A25,'Hours Log'!$C$2:$C$323,"="&amp;'Time Breakdown'!$A$1)</f>
        <v>0</v>
      </c>
      <c r="K25">
        <f>SUMIFS('Hours Log'!AM$2:AM$323,'Hours Log'!$A$2:$A$323,"="&amp;'Time Breakdown'!$A25,'Hours Log'!$C$2:$C$323,"="&amp;'Time Breakdown'!$A$1)</f>
        <v>0</v>
      </c>
      <c r="L25">
        <f>SUMIFS('Hours Log'!AN$2:AN$323,'Hours Log'!$A$2:$A$323,"="&amp;'Time Breakdown'!$A25,'Hours Log'!$C$2:$C$323,"="&amp;'Time Breakdown'!$A$1)</f>
        <v>0</v>
      </c>
      <c r="M25">
        <f>SUMIFS('Hours Log'!AO$2:AO$323,'Hours Log'!$A$2:$A$323,"="&amp;'Time Breakdown'!$A25,'Hours Log'!$C$2:$C$323,"="&amp;'Time Breakdown'!$A$1)</f>
        <v>0</v>
      </c>
      <c r="N25">
        <f>SUMIFS('Hours Log'!AP$2:AP$323,'Hours Log'!$A$2:$A$323,"="&amp;'Time Breakdown'!$A25,'Hours Log'!$C$2:$C$323,"="&amp;'Time Breakdown'!$A$1)</f>
        <v>0</v>
      </c>
      <c r="O25">
        <f>SUMIFS('Hours Log'!AQ$2:AQ$323,'Hours Log'!$A$2:$A$323,"="&amp;'Time Breakdown'!$A25,'Hours Log'!$C$2:$C$323,"="&amp;'Time Breakdown'!$A$1)</f>
        <v>0</v>
      </c>
      <c r="P25">
        <f>SUMIFS('Hours Log'!AR$2:AR$323,'Hours Log'!$A$2:$A$323,"="&amp;'Time Breakdown'!$A25,'Hours Log'!$C$2:$C$323,"="&amp;'Time Breakdown'!$A$1)</f>
        <v>0</v>
      </c>
      <c r="Q25">
        <f>SUMIFS('Hours Log'!AS$2:AS$323,'Hours Log'!$A$2:$A$323,"="&amp;'Time Breakdown'!$A25,'Hours Log'!$C$2:$C$323,"="&amp;'Time Breakdown'!$A$1)</f>
        <v>0</v>
      </c>
      <c r="R25">
        <f>SUMIFS('Hours Log'!AT$2:AT$323,'Hours Log'!$A$2:$A$323,"="&amp;'Time Breakdown'!$A25,'Hours Log'!$C$2:$C$323,"="&amp;'Time Breakdown'!$A$1)</f>
        <v>0</v>
      </c>
      <c r="S25">
        <f>SUMIFS('Hours Log'!AU$2:AU$323,'Hours Log'!$A$2:$A$323,"="&amp;'Time Breakdown'!$A25,'Hours Log'!$C$2:$C$323,"="&amp;'Time Breakdown'!$A$1)</f>
        <v>0</v>
      </c>
      <c r="T25">
        <f>SUMIFS('Hours Log'!AV$2:AV$323,'Hours Log'!$A$2:$A$323,"="&amp;'Time Breakdown'!$A25,'Hours Log'!$C$2:$C$323,"="&amp;'Time Breakdown'!$A$1)</f>
        <v>0</v>
      </c>
      <c r="U25">
        <f>SUMIFS('Hours Log'!AW$2:AW$323,'Hours Log'!$A$2:$A$323,"="&amp;'Time Breakdown'!$A25,'Hours Log'!$C$2:$C$323,"="&amp;'Time Breakdown'!$A$1)</f>
        <v>0</v>
      </c>
      <c r="V25">
        <f t="shared" si="0"/>
        <v>100</v>
      </c>
    </row>
    <row r="26" spans="1:22" hidden="1" x14ac:dyDescent="0.25">
      <c r="A26" s="61" t="s">
        <v>171</v>
      </c>
      <c r="B26">
        <f>SUMIFS('Hours Log'!AD$2:AD$323,'Hours Log'!$A$2:$A$323,"="&amp;'Time Breakdown'!$A26,'Hours Log'!$C$2:$C$323,"="&amp;'Time Breakdown'!$A$1)</f>
        <v>0</v>
      </c>
      <c r="C26">
        <f>SUMIFS('Hours Log'!AE$2:AE$323,'Hours Log'!$A$2:$A$323,"="&amp;'Time Breakdown'!$A26,'Hours Log'!$C$2:$C$323,"="&amp;'Time Breakdown'!$A$1)</f>
        <v>0</v>
      </c>
      <c r="D26">
        <f>SUMIFS('Hours Log'!AF$2:AF$323,'Hours Log'!$A$2:$A$323,"="&amp;'Time Breakdown'!$A26,'Hours Log'!$C$2:$C$323,"="&amp;'Time Breakdown'!$A$1)</f>
        <v>0</v>
      </c>
      <c r="E26">
        <f>SUMIFS('Hours Log'!AG$2:AG$323,'Hours Log'!$A$2:$A$323,"="&amp;'Time Breakdown'!$A26,'Hours Log'!$C$2:$C$323,"="&amp;'Time Breakdown'!$A$1)</f>
        <v>0</v>
      </c>
      <c r="F26">
        <f>SUMIFS('Hours Log'!AH$2:AH$323,'Hours Log'!$A$2:$A$323,"="&amp;'Time Breakdown'!$A26,'Hours Log'!$C$2:$C$323,"="&amp;'Time Breakdown'!$A$1)</f>
        <v>0</v>
      </c>
      <c r="G26">
        <f>SUMIFS('Hours Log'!AI$2:AI$323,'Hours Log'!$A$2:$A$323,"="&amp;'Time Breakdown'!$A26,'Hours Log'!$C$2:$C$323,"="&amp;'Time Breakdown'!$A$1)</f>
        <v>0</v>
      </c>
      <c r="H26">
        <f>SUMIFS('Hours Log'!AJ$2:AJ$323,'Hours Log'!$A$2:$A$323,"="&amp;'Time Breakdown'!$A26,'Hours Log'!$C$2:$C$323,"="&amp;'Time Breakdown'!$A$1)</f>
        <v>0</v>
      </c>
      <c r="I26">
        <f>SUMIFS('Hours Log'!AK$2:AK$323,'Hours Log'!$A$2:$A$323,"="&amp;'Time Breakdown'!$A26,'Hours Log'!$C$2:$C$323,"="&amp;'Time Breakdown'!$A$1)</f>
        <v>100</v>
      </c>
      <c r="J26">
        <f>SUMIFS('Hours Log'!AL$2:AL$323,'Hours Log'!$A$2:$A$323,"="&amp;'Time Breakdown'!$A26,'Hours Log'!$C$2:$C$323,"="&amp;'Time Breakdown'!$A$1)</f>
        <v>0</v>
      </c>
      <c r="K26">
        <f>SUMIFS('Hours Log'!AM$2:AM$323,'Hours Log'!$A$2:$A$323,"="&amp;'Time Breakdown'!$A26,'Hours Log'!$C$2:$C$323,"="&amp;'Time Breakdown'!$A$1)</f>
        <v>0</v>
      </c>
      <c r="L26">
        <f>SUMIFS('Hours Log'!AN$2:AN$323,'Hours Log'!$A$2:$A$323,"="&amp;'Time Breakdown'!$A26,'Hours Log'!$C$2:$C$323,"="&amp;'Time Breakdown'!$A$1)</f>
        <v>0</v>
      </c>
      <c r="M26">
        <f>SUMIFS('Hours Log'!AO$2:AO$323,'Hours Log'!$A$2:$A$323,"="&amp;'Time Breakdown'!$A26,'Hours Log'!$C$2:$C$323,"="&amp;'Time Breakdown'!$A$1)</f>
        <v>0</v>
      </c>
      <c r="N26">
        <f>SUMIFS('Hours Log'!AP$2:AP$323,'Hours Log'!$A$2:$A$323,"="&amp;'Time Breakdown'!$A26,'Hours Log'!$C$2:$C$323,"="&amp;'Time Breakdown'!$A$1)</f>
        <v>0</v>
      </c>
      <c r="O26">
        <f>SUMIFS('Hours Log'!AQ$2:AQ$323,'Hours Log'!$A$2:$A$323,"="&amp;'Time Breakdown'!$A26,'Hours Log'!$C$2:$C$323,"="&amp;'Time Breakdown'!$A$1)</f>
        <v>0</v>
      </c>
      <c r="P26">
        <f>SUMIFS('Hours Log'!AR$2:AR$323,'Hours Log'!$A$2:$A$323,"="&amp;'Time Breakdown'!$A26,'Hours Log'!$C$2:$C$323,"="&amp;'Time Breakdown'!$A$1)</f>
        <v>0</v>
      </c>
      <c r="Q26">
        <f>SUMIFS('Hours Log'!AS$2:AS$323,'Hours Log'!$A$2:$A$323,"="&amp;'Time Breakdown'!$A26,'Hours Log'!$C$2:$C$323,"="&amp;'Time Breakdown'!$A$1)</f>
        <v>0</v>
      </c>
      <c r="R26">
        <f>SUMIFS('Hours Log'!AT$2:AT$323,'Hours Log'!$A$2:$A$323,"="&amp;'Time Breakdown'!$A26,'Hours Log'!$C$2:$C$323,"="&amp;'Time Breakdown'!$A$1)</f>
        <v>0</v>
      </c>
      <c r="S26">
        <f>SUMIFS('Hours Log'!AU$2:AU$323,'Hours Log'!$A$2:$A$323,"="&amp;'Time Breakdown'!$A26,'Hours Log'!$C$2:$C$323,"="&amp;'Time Breakdown'!$A$1)</f>
        <v>0</v>
      </c>
      <c r="T26">
        <f>SUMIFS('Hours Log'!AV$2:AV$323,'Hours Log'!$A$2:$A$323,"="&amp;'Time Breakdown'!$A26,'Hours Log'!$C$2:$C$323,"="&amp;'Time Breakdown'!$A$1)</f>
        <v>0</v>
      </c>
      <c r="U26">
        <f>SUMIFS('Hours Log'!AW$2:AW$323,'Hours Log'!$A$2:$A$323,"="&amp;'Time Breakdown'!$A26,'Hours Log'!$C$2:$C$323,"="&amp;'Time Breakdown'!$A$1)</f>
        <v>0</v>
      </c>
      <c r="V26">
        <f t="shared" si="0"/>
        <v>100</v>
      </c>
    </row>
    <row r="27" spans="1:22" hidden="1" x14ac:dyDescent="0.25">
      <c r="A27" s="61" t="s">
        <v>172</v>
      </c>
      <c r="B27">
        <f>SUMIFS('Hours Log'!AD$2:AD$323,'Hours Log'!$A$2:$A$323,"="&amp;'Time Breakdown'!$A27,'Hours Log'!$C$2:$C$323,"="&amp;'Time Breakdown'!$A$1)</f>
        <v>0</v>
      </c>
      <c r="C27">
        <f>SUMIFS('Hours Log'!AE$2:AE$323,'Hours Log'!$A$2:$A$323,"="&amp;'Time Breakdown'!$A27,'Hours Log'!$C$2:$C$323,"="&amp;'Time Breakdown'!$A$1)</f>
        <v>0</v>
      </c>
      <c r="D27">
        <f>SUMIFS('Hours Log'!AF$2:AF$323,'Hours Log'!$A$2:$A$323,"="&amp;'Time Breakdown'!$A27,'Hours Log'!$C$2:$C$323,"="&amp;'Time Breakdown'!$A$1)</f>
        <v>0</v>
      </c>
      <c r="E27">
        <f>SUMIFS('Hours Log'!AG$2:AG$323,'Hours Log'!$A$2:$A$323,"="&amp;'Time Breakdown'!$A27,'Hours Log'!$C$2:$C$323,"="&amp;'Time Breakdown'!$A$1)</f>
        <v>0</v>
      </c>
      <c r="F27">
        <f>SUMIFS('Hours Log'!AH$2:AH$323,'Hours Log'!$A$2:$A$323,"="&amp;'Time Breakdown'!$A27,'Hours Log'!$C$2:$C$323,"="&amp;'Time Breakdown'!$A$1)</f>
        <v>0</v>
      </c>
      <c r="G27">
        <f>SUMIFS('Hours Log'!AI$2:AI$323,'Hours Log'!$A$2:$A$323,"="&amp;'Time Breakdown'!$A27,'Hours Log'!$C$2:$C$323,"="&amp;'Time Breakdown'!$A$1)</f>
        <v>0</v>
      </c>
      <c r="H27">
        <f>SUMIFS('Hours Log'!AJ$2:AJ$323,'Hours Log'!$A$2:$A$323,"="&amp;'Time Breakdown'!$A27,'Hours Log'!$C$2:$C$323,"="&amp;'Time Breakdown'!$A$1)</f>
        <v>0</v>
      </c>
      <c r="I27">
        <f>SUMIFS('Hours Log'!AK$2:AK$323,'Hours Log'!$A$2:$A$323,"="&amp;'Time Breakdown'!$A27,'Hours Log'!$C$2:$C$323,"="&amp;'Time Breakdown'!$A$1)</f>
        <v>100</v>
      </c>
      <c r="J27">
        <f>SUMIFS('Hours Log'!AL$2:AL$323,'Hours Log'!$A$2:$A$323,"="&amp;'Time Breakdown'!$A27,'Hours Log'!$C$2:$C$323,"="&amp;'Time Breakdown'!$A$1)</f>
        <v>0</v>
      </c>
      <c r="K27">
        <f>SUMIFS('Hours Log'!AM$2:AM$323,'Hours Log'!$A$2:$A$323,"="&amp;'Time Breakdown'!$A27,'Hours Log'!$C$2:$C$323,"="&amp;'Time Breakdown'!$A$1)</f>
        <v>0</v>
      </c>
      <c r="L27">
        <f>SUMIFS('Hours Log'!AN$2:AN$323,'Hours Log'!$A$2:$A$323,"="&amp;'Time Breakdown'!$A27,'Hours Log'!$C$2:$C$323,"="&amp;'Time Breakdown'!$A$1)</f>
        <v>0</v>
      </c>
      <c r="M27">
        <f>SUMIFS('Hours Log'!AO$2:AO$323,'Hours Log'!$A$2:$A$323,"="&amp;'Time Breakdown'!$A27,'Hours Log'!$C$2:$C$323,"="&amp;'Time Breakdown'!$A$1)</f>
        <v>0</v>
      </c>
      <c r="N27">
        <f>SUMIFS('Hours Log'!AP$2:AP$323,'Hours Log'!$A$2:$A$323,"="&amp;'Time Breakdown'!$A27,'Hours Log'!$C$2:$C$323,"="&amp;'Time Breakdown'!$A$1)</f>
        <v>0</v>
      </c>
      <c r="O27">
        <f>SUMIFS('Hours Log'!AQ$2:AQ$323,'Hours Log'!$A$2:$A$323,"="&amp;'Time Breakdown'!$A27,'Hours Log'!$C$2:$C$323,"="&amp;'Time Breakdown'!$A$1)</f>
        <v>0</v>
      </c>
      <c r="P27">
        <f>SUMIFS('Hours Log'!AR$2:AR$323,'Hours Log'!$A$2:$A$323,"="&amp;'Time Breakdown'!$A27,'Hours Log'!$C$2:$C$323,"="&amp;'Time Breakdown'!$A$1)</f>
        <v>0</v>
      </c>
      <c r="Q27">
        <f>SUMIFS('Hours Log'!AS$2:AS$323,'Hours Log'!$A$2:$A$323,"="&amp;'Time Breakdown'!$A27,'Hours Log'!$C$2:$C$323,"="&amp;'Time Breakdown'!$A$1)</f>
        <v>0</v>
      </c>
      <c r="R27">
        <f>SUMIFS('Hours Log'!AT$2:AT$323,'Hours Log'!$A$2:$A$323,"="&amp;'Time Breakdown'!$A27,'Hours Log'!$C$2:$C$323,"="&amp;'Time Breakdown'!$A$1)</f>
        <v>0</v>
      </c>
      <c r="S27">
        <f>SUMIFS('Hours Log'!AU$2:AU$323,'Hours Log'!$A$2:$A$323,"="&amp;'Time Breakdown'!$A27,'Hours Log'!$C$2:$C$323,"="&amp;'Time Breakdown'!$A$1)</f>
        <v>0</v>
      </c>
      <c r="T27">
        <f>SUMIFS('Hours Log'!AV$2:AV$323,'Hours Log'!$A$2:$A$323,"="&amp;'Time Breakdown'!$A27,'Hours Log'!$C$2:$C$323,"="&amp;'Time Breakdown'!$A$1)</f>
        <v>0</v>
      </c>
      <c r="U27">
        <f>SUMIFS('Hours Log'!AW$2:AW$323,'Hours Log'!$A$2:$A$323,"="&amp;'Time Breakdown'!$A27,'Hours Log'!$C$2:$C$323,"="&amp;'Time Breakdown'!$A$1)</f>
        <v>0</v>
      </c>
      <c r="V27">
        <f t="shared" si="0"/>
        <v>100</v>
      </c>
    </row>
    <row r="28" spans="1:22" hidden="1" x14ac:dyDescent="0.25">
      <c r="A28" s="61" t="s">
        <v>56</v>
      </c>
      <c r="B28">
        <f>SUMIFS('Hours Log'!AD$2:AD$323,'Hours Log'!$A$2:$A$323,"="&amp;'Time Breakdown'!$A28,'Hours Log'!$C$2:$C$323,"="&amp;'Time Breakdown'!$A$1)</f>
        <v>0</v>
      </c>
      <c r="C28">
        <f>SUMIFS('Hours Log'!AE$2:AE$323,'Hours Log'!$A$2:$A$323,"="&amp;'Time Breakdown'!$A28,'Hours Log'!$C$2:$C$323,"="&amp;'Time Breakdown'!$A$1)</f>
        <v>0</v>
      </c>
      <c r="D28">
        <f>SUMIFS('Hours Log'!AF$2:AF$323,'Hours Log'!$A$2:$A$323,"="&amp;'Time Breakdown'!$A28,'Hours Log'!$C$2:$C$323,"="&amp;'Time Breakdown'!$A$1)</f>
        <v>0</v>
      </c>
      <c r="E28">
        <f>SUMIFS('Hours Log'!AG$2:AG$323,'Hours Log'!$A$2:$A$323,"="&amp;'Time Breakdown'!$A28,'Hours Log'!$C$2:$C$323,"="&amp;'Time Breakdown'!$A$1)</f>
        <v>0</v>
      </c>
      <c r="F28">
        <f>SUMIFS('Hours Log'!AH$2:AH$323,'Hours Log'!$A$2:$A$323,"="&amp;'Time Breakdown'!$A28,'Hours Log'!$C$2:$C$323,"="&amp;'Time Breakdown'!$A$1)</f>
        <v>315.17366103430624</v>
      </c>
      <c r="G28">
        <f>SUMIFS('Hours Log'!AI$2:AI$323,'Hours Log'!$A$2:$A$323,"="&amp;'Time Breakdown'!$A28,'Hours Log'!$C$2:$C$323,"="&amp;'Time Breakdown'!$A$1)</f>
        <v>0</v>
      </c>
      <c r="H28">
        <f>SUMIFS('Hours Log'!AJ$2:AJ$323,'Hours Log'!$A$2:$A$323,"="&amp;'Time Breakdown'!$A28,'Hours Log'!$C$2:$C$323,"="&amp;'Time Breakdown'!$A$1)</f>
        <v>0</v>
      </c>
      <c r="I28">
        <f>SUMIFS('Hours Log'!AK$2:AK$323,'Hours Log'!$A$2:$A$323,"="&amp;'Time Breakdown'!$A28,'Hours Log'!$C$2:$C$323,"="&amp;'Time Breakdown'!$A$1)</f>
        <v>0</v>
      </c>
      <c r="J28">
        <f>SUMIFS('Hours Log'!AL$2:AL$323,'Hours Log'!$A$2:$A$323,"="&amp;'Time Breakdown'!$A28,'Hours Log'!$C$2:$C$323,"="&amp;'Time Breakdown'!$A$1)</f>
        <v>0</v>
      </c>
      <c r="K28">
        <f>SUMIFS('Hours Log'!AM$2:AM$323,'Hours Log'!$A$2:$A$323,"="&amp;'Time Breakdown'!$A28,'Hours Log'!$C$2:$C$323,"="&amp;'Time Breakdown'!$A$1)</f>
        <v>0</v>
      </c>
      <c r="L28">
        <f>SUMIFS('Hours Log'!AN$2:AN$323,'Hours Log'!$A$2:$A$323,"="&amp;'Time Breakdown'!$A28,'Hours Log'!$C$2:$C$323,"="&amp;'Time Breakdown'!$A$1)</f>
        <v>655.56310291858676</v>
      </c>
      <c r="M28">
        <f>SUMIFS('Hours Log'!AO$2:AO$323,'Hours Log'!$A$2:$A$323,"="&amp;'Time Breakdown'!$A28,'Hours Log'!$C$2:$C$323,"="&amp;'Time Breakdown'!$A$1)</f>
        <v>0</v>
      </c>
      <c r="N28">
        <f>SUMIFS('Hours Log'!AP$2:AP$323,'Hours Log'!$A$2:$A$323,"="&amp;'Time Breakdown'!$A28,'Hours Log'!$C$2:$C$323,"="&amp;'Time Breakdown'!$A$1)</f>
        <v>0</v>
      </c>
      <c r="O28">
        <f>SUMIFS('Hours Log'!AQ$2:AQ$323,'Hours Log'!$A$2:$A$323,"="&amp;'Time Breakdown'!$A28,'Hours Log'!$C$2:$C$323,"="&amp;'Time Breakdown'!$A$1)</f>
        <v>0</v>
      </c>
      <c r="P28">
        <f>SUMIFS('Hours Log'!AR$2:AR$323,'Hours Log'!$A$2:$A$323,"="&amp;'Time Breakdown'!$A28,'Hours Log'!$C$2:$C$323,"="&amp;'Time Breakdown'!$A$1)</f>
        <v>0</v>
      </c>
      <c r="Q28">
        <f>SUMIFS('Hours Log'!AS$2:AS$323,'Hours Log'!$A$2:$A$323,"="&amp;'Time Breakdown'!$A28,'Hours Log'!$C$2:$C$323,"="&amp;'Time Breakdown'!$A$1)</f>
        <v>1117.2632360471071</v>
      </c>
      <c r="R28">
        <f>SUMIFS('Hours Log'!AT$2:AT$323,'Hours Log'!$A$2:$A$323,"="&amp;'Time Breakdown'!$A28,'Hours Log'!$C$2:$C$323,"="&amp;'Time Breakdown'!$A$1)</f>
        <v>0</v>
      </c>
      <c r="S28">
        <f>SUMIFS('Hours Log'!AU$2:AU$323,'Hours Log'!$A$2:$A$323,"="&amp;'Time Breakdown'!$A28,'Hours Log'!$C$2:$C$323,"="&amp;'Time Breakdown'!$A$1)</f>
        <v>0</v>
      </c>
      <c r="T28">
        <f>SUMIFS('Hours Log'!AV$2:AV$323,'Hours Log'!$A$2:$A$323,"="&amp;'Time Breakdown'!$A28,'Hours Log'!$C$2:$C$323,"="&amp;'Time Breakdown'!$A$1)</f>
        <v>0</v>
      </c>
      <c r="U28">
        <f>SUMIFS('Hours Log'!AW$2:AW$323,'Hours Log'!$A$2:$A$323,"="&amp;'Time Breakdown'!$A28,'Hours Log'!$C$2:$C$323,"="&amp;'Time Breakdown'!$A$1)</f>
        <v>0</v>
      </c>
      <c r="V28">
        <f t="shared" si="0"/>
        <v>2088</v>
      </c>
    </row>
    <row r="29" spans="1:22" hidden="1" x14ac:dyDescent="0.25">
      <c r="A29" s="61" t="s">
        <v>75</v>
      </c>
      <c r="B29">
        <f>SUMIFS('Hours Log'!AD$2:AD$323,'Hours Log'!$A$2:$A$323,"="&amp;'Time Breakdown'!$A29,'Hours Log'!$C$2:$C$323,"="&amp;'Time Breakdown'!$A$1)</f>
        <v>0</v>
      </c>
      <c r="C29">
        <f>SUMIFS('Hours Log'!AE$2:AE$323,'Hours Log'!$A$2:$A$323,"="&amp;'Time Breakdown'!$A29,'Hours Log'!$C$2:$C$323,"="&amp;'Time Breakdown'!$A$1)</f>
        <v>0</v>
      </c>
      <c r="D29">
        <f>SUMIFS('Hours Log'!AF$2:AF$323,'Hours Log'!$A$2:$A$323,"="&amp;'Time Breakdown'!$A29,'Hours Log'!$C$2:$C$323,"="&amp;'Time Breakdown'!$A$1)</f>
        <v>0</v>
      </c>
      <c r="E29">
        <f>SUMIFS('Hours Log'!AG$2:AG$323,'Hours Log'!$A$2:$A$323,"="&amp;'Time Breakdown'!$A29,'Hours Log'!$C$2:$C$323,"="&amp;'Time Breakdown'!$A$1)</f>
        <v>0</v>
      </c>
      <c r="F29">
        <f>SUMIFS('Hours Log'!AH$2:AH$323,'Hours Log'!$A$2:$A$323,"="&amp;'Time Breakdown'!$A29,'Hours Log'!$C$2:$C$323,"="&amp;'Time Breakdown'!$A$1)</f>
        <v>0</v>
      </c>
      <c r="G29">
        <f>SUMIFS('Hours Log'!AI$2:AI$323,'Hours Log'!$A$2:$A$323,"="&amp;'Time Breakdown'!$A29,'Hours Log'!$C$2:$C$323,"="&amp;'Time Breakdown'!$A$1)</f>
        <v>0</v>
      </c>
      <c r="H29">
        <f>SUMIFS('Hours Log'!AJ$2:AJ$323,'Hours Log'!$A$2:$A$323,"="&amp;'Time Breakdown'!$A29,'Hours Log'!$C$2:$C$323,"="&amp;'Time Breakdown'!$A$1)</f>
        <v>0</v>
      </c>
      <c r="I29">
        <f>SUMIFS('Hours Log'!AK$2:AK$323,'Hours Log'!$A$2:$A$323,"="&amp;'Time Breakdown'!$A29,'Hours Log'!$C$2:$C$323,"="&amp;'Time Breakdown'!$A$1)</f>
        <v>36.999999999999993</v>
      </c>
      <c r="J29">
        <f>SUMIFS('Hours Log'!AL$2:AL$323,'Hours Log'!$A$2:$A$323,"="&amp;'Time Breakdown'!$A29,'Hours Log'!$C$2:$C$323,"="&amp;'Time Breakdown'!$A$1)</f>
        <v>0</v>
      </c>
      <c r="K29">
        <f>SUMIFS('Hours Log'!AM$2:AM$323,'Hours Log'!$A$2:$A$323,"="&amp;'Time Breakdown'!$A29,'Hours Log'!$C$2:$C$323,"="&amp;'Time Breakdown'!$A$1)</f>
        <v>0</v>
      </c>
      <c r="L29">
        <f>SUMIFS('Hours Log'!AN$2:AN$323,'Hours Log'!$A$2:$A$323,"="&amp;'Time Breakdown'!$A29,'Hours Log'!$C$2:$C$323,"="&amp;'Time Breakdown'!$A$1)</f>
        <v>120</v>
      </c>
      <c r="M29">
        <f>SUMIFS('Hours Log'!AO$2:AO$323,'Hours Log'!$A$2:$A$323,"="&amp;'Time Breakdown'!$A29,'Hours Log'!$C$2:$C$323,"="&amp;'Time Breakdown'!$A$1)</f>
        <v>0</v>
      </c>
      <c r="N29">
        <f>SUMIFS('Hours Log'!AP$2:AP$323,'Hours Log'!$A$2:$A$323,"="&amp;'Time Breakdown'!$A29,'Hours Log'!$C$2:$C$323,"="&amp;'Time Breakdown'!$A$1)</f>
        <v>0</v>
      </c>
      <c r="O29">
        <f>SUMIFS('Hours Log'!AQ$2:AQ$323,'Hours Log'!$A$2:$A$323,"="&amp;'Time Breakdown'!$A29,'Hours Log'!$C$2:$C$323,"="&amp;'Time Breakdown'!$A$1)</f>
        <v>0</v>
      </c>
      <c r="P29">
        <f>SUMIFS('Hours Log'!AR$2:AR$323,'Hours Log'!$A$2:$A$323,"="&amp;'Time Breakdown'!$A29,'Hours Log'!$C$2:$C$323,"="&amp;'Time Breakdown'!$A$1)</f>
        <v>0</v>
      </c>
      <c r="Q29">
        <f>SUMIFS('Hours Log'!AS$2:AS$323,'Hours Log'!$A$2:$A$323,"="&amp;'Time Breakdown'!$A29,'Hours Log'!$C$2:$C$323,"="&amp;'Time Breakdown'!$A$1)</f>
        <v>120</v>
      </c>
      <c r="R29">
        <f>SUMIFS('Hours Log'!AT$2:AT$323,'Hours Log'!$A$2:$A$323,"="&amp;'Time Breakdown'!$A29,'Hours Log'!$C$2:$C$323,"="&amp;'Time Breakdown'!$A$1)</f>
        <v>0</v>
      </c>
      <c r="S29">
        <f>SUMIFS('Hours Log'!AU$2:AU$323,'Hours Log'!$A$2:$A$323,"="&amp;'Time Breakdown'!$A29,'Hours Log'!$C$2:$C$323,"="&amp;'Time Breakdown'!$A$1)</f>
        <v>0</v>
      </c>
      <c r="T29">
        <f>SUMIFS('Hours Log'!AV$2:AV$323,'Hours Log'!$A$2:$A$323,"="&amp;'Time Breakdown'!$A29,'Hours Log'!$C$2:$C$323,"="&amp;'Time Breakdown'!$A$1)</f>
        <v>0</v>
      </c>
      <c r="U29">
        <f>SUMIFS('Hours Log'!AW$2:AW$323,'Hours Log'!$A$2:$A$323,"="&amp;'Time Breakdown'!$A29,'Hours Log'!$C$2:$C$323,"="&amp;'Time Breakdown'!$A$1)</f>
        <v>504</v>
      </c>
      <c r="V29">
        <f t="shared" si="0"/>
        <v>781</v>
      </c>
    </row>
    <row r="30" spans="1:22" hidden="1" x14ac:dyDescent="0.25">
      <c r="A30" s="61" t="s">
        <v>173</v>
      </c>
      <c r="B30">
        <f>SUMIFS('Hours Log'!AD$2:AD$323,'Hours Log'!$A$2:$A$323,"="&amp;'Time Breakdown'!$A30,'Hours Log'!$C$2:$C$323,"="&amp;'Time Breakdown'!$A$1)</f>
        <v>0</v>
      </c>
      <c r="C30">
        <f>SUMIFS('Hours Log'!AE$2:AE$323,'Hours Log'!$A$2:$A$323,"="&amp;'Time Breakdown'!$A30,'Hours Log'!$C$2:$C$323,"="&amp;'Time Breakdown'!$A$1)</f>
        <v>0</v>
      </c>
      <c r="D30">
        <f>SUMIFS('Hours Log'!AF$2:AF$323,'Hours Log'!$A$2:$A$323,"="&amp;'Time Breakdown'!$A30,'Hours Log'!$C$2:$C$323,"="&amp;'Time Breakdown'!$A$1)</f>
        <v>0</v>
      </c>
      <c r="E30">
        <f>SUMIFS('Hours Log'!AG$2:AG$323,'Hours Log'!$A$2:$A$323,"="&amp;'Time Breakdown'!$A30,'Hours Log'!$C$2:$C$323,"="&amp;'Time Breakdown'!$A$1)</f>
        <v>0</v>
      </c>
      <c r="F30">
        <f>SUMIFS('Hours Log'!AH$2:AH$323,'Hours Log'!$A$2:$A$323,"="&amp;'Time Breakdown'!$A30,'Hours Log'!$C$2:$C$323,"="&amp;'Time Breakdown'!$A$1)</f>
        <v>0</v>
      </c>
      <c r="G30">
        <f>SUMIFS('Hours Log'!AI$2:AI$323,'Hours Log'!$A$2:$A$323,"="&amp;'Time Breakdown'!$A30,'Hours Log'!$C$2:$C$323,"="&amp;'Time Breakdown'!$A$1)</f>
        <v>0</v>
      </c>
      <c r="H30">
        <f>SUMIFS('Hours Log'!AJ$2:AJ$323,'Hours Log'!$A$2:$A$323,"="&amp;'Time Breakdown'!$A30,'Hours Log'!$C$2:$C$323,"="&amp;'Time Breakdown'!$A$1)</f>
        <v>0</v>
      </c>
      <c r="I30">
        <f>SUMIFS('Hours Log'!AK$2:AK$323,'Hours Log'!$A$2:$A$323,"="&amp;'Time Breakdown'!$A30,'Hours Log'!$C$2:$C$323,"="&amp;'Time Breakdown'!$A$1)</f>
        <v>100</v>
      </c>
      <c r="J30">
        <f>SUMIFS('Hours Log'!AL$2:AL$323,'Hours Log'!$A$2:$A$323,"="&amp;'Time Breakdown'!$A30,'Hours Log'!$C$2:$C$323,"="&amp;'Time Breakdown'!$A$1)</f>
        <v>0</v>
      </c>
      <c r="K30">
        <f>SUMIFS('Hours Log'!AM$2:AM$323,'Hours Log'!$A$2:$A$323,"="&amp;'Time Breakdown'!$A30,'Hours Log'!$C$2:$C$323,"="&amp;'Time Breakdown'!$A$1)</f>
        <v>0</v>
      </c>
      <c r="L30">
        <f>SUMIFS('Hours Log'!AN$2:AN$323,'Hours Log'!$A$2:$A$323,"="&amp;'Time Breakdown'!$A30,'Hours Log'!$C$2:$C$323,"="&amp;'Time Breakdown'!$A$1)</f>
        <v>0</v>
      </c>
      <c r="M30">
        <f>SUMIFS('Hours Log'!AO$2:AO$323,'Hours Log'!$A$2:$A$323,"="&amp;'Time Breakdown'!$A30,'Hours Log'!$C$2:$C$323,"="&amp;'Time Breakdown'!$A$1)</f>
        <v>0</v>
      </c>
      <c r="N30">
        <f>SUMIFS('Hours Log'!AP$2:AP$323,'Hours Log'!$A$2:$A$323,"="&amp;'Time Breakdown'!$A30,'Hours Log'!$C$2:$C$323,"="&amp;'Time Breakdown'!$A$1)</f>
        <v>0</v>
      </c>
      <c r="O30">
        <f>SUMIFS('Hours Log'!AQ$2:AQ$323,'Hours Log'!$A$2:$A$323,"="&amp;'Time Breakdown'!$A30,'Hours Log'!$C$2:$C$323,"="&amp;'Time Breakdown'!$A$1)</f>
        <v>0</v>
      </c>
      <c r="P30">
        <f>SUMIFS('Hours Log'!AR$2:AR$323,'Hours Log'!$A$2:$A$323,"="&amp;'Time Breakdown'!$A30,'Hours Log'!$C$2:$C$323,"="&amp;'Time Breakdown'!$A$1)</f>
        <v>0</v>
      </c>
      <c r="Q30">
        <f>SUMIFS('Hours Log'!AS$2:AS$323,'Hours Log'!$A$2:$A$323,"="&amp;'Time Breakdown'!$A30,'Hours Log'!$C$2:$C$323,"="&amp;'Time Breakdown'!$A$1)</f>
        <v>0</v>
      </c>
      <c r="R30">
        <f>SUMIFS('Hours Log'!AT$2:AT$323,'Hours Log'!$A$2:$A$323,"="&amp;'Time Breakdown'!$A30,'Hours Log'!$C$2:$C$323,"="&amp;'Time Breakdown'!$A$1)</f>
        <v>0</v>
      </c>
      <c r="S30">
        <f>SUMIFS('Hours Log'!AU$2:AU$323,'Hours Log'!$A$2:$A$323,"="&amp;'Time Breakdown'!$A30,'Hours Log'!$C$2:$C$323,"="&amp;'Time Breakdown'!$A$1)</f>
        <v>0</v>
      </c>
      <c r="T30">
        <f>SUMIFS('Hours Log'!AV$2:AV$323,'Hours Log'!$A$2:$A$323,"="&amp;'Time Breakdown'!$A30,'Hours Log'!$C$2:$C$323,"="&amp;'Time Breakdown'!$A$1)</f>
        <v>0</v>
      </c>
      <c r="U30">
        <f>SUMIFS('Hours Log'!AW$2:AW$323,'Hours Log'!$A$2:$A$323,"="&amp;'Time Breakdown'!$A30,'Hours Log'!$C$2:$C$323,"="&amp;'Time Breakdown'!$A$1)</f>
        <v>0</v>
      </c>
      <c r="V30">
        <f t="shared" si="0"/>
        <v>100</v>
      </c>
    </row>
    <row r="31" spans="1:22" hidden="1" x14ac:dyDescent="0.25">
      <c r="A31" s="61" t="s">
        <v>174</v>
      </c>
      <c r="B31">
        <f>SUMIFS('Hours Log'!AD$2:AD$323,'Hours Log'!$A$2:$A$323,"="&amp;'Time Breakdown'!$A31,'Hours Log'!$C$2:$C$323,"="&amp;'Time Breakdown'!$A$1)</f>
        <v>0</v>
      </c>
      <c r="C31">
        <f>SUMIFS('Hours Log'!AE$2:AE$323,'Hours Log'!$A$2:$A$323,"="&amp;'Time Breakdown'!$A31,'Hours Log'!$C$2:$C$323,"="&amp;'Time Breakdown'!$A$1)</f>
        <v>0</v>
      </c>
      <c r="D31">
        <f>SUMIFS('Hours Log'!AF$2:AF$323,'Hours Log'!$A$2:$A$323,"="&amp;'Time Breakdown'!$A31,'Hours Log'!$C$2:$C$323,"="&amp;'Time Breakdown'!$A$1)</f>
        <v>0</v>
      </c>
      <c r="E31">
        <f>SUMIFS('Hours Log'!AG$2:AG$323,'Hours Log'!$A$2:$A$323,"="&amp;'Time Breakdown'!$A31,'Hours Log'!$C$2:$C$323,"="&amp;'Time Breakdown'!$A$1)</f>
        <v>0</v>
      </c>
      <c r="F31">
        <f>SUMIFS('Hours Log'!AH$2:AH$323,'Hours Log'!$A$2:$A$323,"="&amp;'Time Breakdown'!$A31,'Hours Log'!$C$2:$C$323,"="&amp;'Time Breakdown'!$A$1)</f>
        <v>0</v>
      </c>
      <c r="G31">
        <f>SUMIFS('Hours Log'!AI$2:AI$323,'Hours Log'!$A$2:$A$323,"="&amp;'Time Breakdown'!$A31,'Hours Log'!$C$2:$C$323,"="&amp;'Time Breakdown'!$A$1)</f>
        <v>0</v>
      </c>
      <c r="H31">
        <f>SUMIFS('Hours Log'!AJ$2:AJ$323,'Hours Log'!$A$2:$A$323,"="&amp;'Time Breakdown'!$A31,'Hours Log'!$C$2:$C$323,"="&amp;'Time Breakdown'!$A$1)</f>
        <v>0</v>
      </c>
      <c r="I31">
        <f>SUMIFS('Hours Log'!AK$2:AK$323,'Hours Log'!$A$2:$A$323,"="&amp;'Time Breakdown'!$A31,'Hours Log'!$C$2:$C$323,"="&amp;'Time Breakdown'!$A$1)</f>
        <v>100</v>
      </c>
      <c r="J31">
        <f>SUMIFS('Hours Log'!AL$2:AL$323,'Hours Log'!$A$2:$A$323,"="&amp;'Time Breakdown'!$A31,'Hours Log'!$C$2:$C$323,"="&amp;'Time Breakdown'!$A$1)</f>
        <v>0</v>
      </c>
      <c r="K31">
        <f>SUMIFS('Hours Log'!AM$2:AM$323,'Hours Log'!$A$2:$A$323,"="&amp;'Time Breakdown'!$A31,'Hours Log'!$C$2:$C$323,"="&amp;'Time Breakdown'!$A$1)</f>
        <v>0</v>
      </c>
      <c r="L31">
        <f>SUMIFS('Hours Log'!AN$2:AN$323,'Hours Log'!$A$2:$A$323,"="&amp;'Time Breakdown'!$A31,'Hours Log'!$C$2:$C$323,"="&amp;'Time Breakdown'!$A$1)</f>
        <v>0</v>
      </c>
      <c r="M31">
        <f>SUMIFS('Hours Log'!AO$2:AO$323,'Hours Log'!$A$2:$A$323,"="&amp;'Time Breakdown'!$A31,'Hours Log'!$C$2:$C$323,"="&amp;'Time Breakdown'!$A$1)</f>
        <v>0</v>
      </c>
      <c r="N31">
        <f>SUMIFS('Hours Log'!AP$2:AP$323,'Hours Log'!$A$2:$A$323,"="&amp;'Time Breakdown'!$A31,'Hours Log'!$C$2:$C$323,"="&amp;'Time Breakdown'!$A$1)</f>
        <v>0</v>
      </c>
      <c r="O31">
        <f>SUMIFS('Hours Log'!AQ$2:AQ$323,'Hours Log'!$A$2:$A$323,"="&amp;'Time Breakdown'!$A31,'Hours Log'!$C$2:$C$323,"="&amp;'Time Breakdown'!$A$1)</f>
        <v>0</v>
      </c>
      <c r="P31">
        <f>SUMIFS('Hours Log'!AR$2:AR$323,'Hours Log'!$A$2:$A$323,"="&amp;'Time Breakdown'!$A31,'Hours Log'!$C$2:$C$323,"="&amp;'Time Breakdown'!$A$1)</f>
        <v>0</v>
      </c>
      <c r="Q31">
        <f>SUMIFS('Hours Log'!AS$2:AS$323,'Hours Log'!$A$2:$A$323,"="&amp;'Time Breakdown'!$A31,'Hours Log'!$C$2:$C$323,"="&amp;'Time Breakdown'!$A$1)</f>
        <v>0</v>
      </c>
      <c r="R31">
        <f>SUMIFS('Hours Log'!AT$2:AT$323,'Hours Log'!$A$2:$A$323,"="&amp;'Time Breakdown'!$A31,'Hours Log'!$C$2:$C$323,"="&amp;'Time Breakdown'!$A$1)</f>
        <v>0</v>
      </c>
      <c r="S31">
        <f>SUMIFS('Hours Log'!AU$2:AU$323,'Hours Log'!$A$2:$A$323,"="&amp;'Time Breakdown'!$A31,'Hours Log'!$C$2:$C$323,"="&amp;'Time Breakdown'!$A$1)</f>
        <v>0</v>
      </c>
      <c r="T31">
        <f>SUMIFS('Hours Log'!AV$2:AV$323,'Hours Log'!$A$2:$A$323,"="&amp;'Time Breakdown'!$A31,'Hours Log'!$C$2:$C$323,"="&amp;'Time Breakdown'!$A$1)</f>
        <v>0</v>
      </c>
      <c r="U31">
        <f>SUMIFS('Hours Log'!AW$2:AW$323,'Hours Log'!$A$2:$A$323,"="&amp;'Time Breakdown'!$A31,'Hours Log'!$C$2:$C$323,"="&amp;'Time Breakdown'!$A$1)</f>
        <v>0</v>
      </c>
      <c r="V31">
        <f t="shared" si="0"/>
        <v>100</v>
      </c>
    </row>
    <row r="32" spans="1:22" hidden="1" x14ac:dyDescent="0.25">
      <c r="A32" s="61" t="s">
        <v>61</v>
      </c>
      <c r="B32">
        <f>SUMIFS('Hours Log'!AD$2:AD$323,'Hours Log'!$A$2:$A$323,"="&amp;'Time Breakdown'!$A32,'Hours Log'!$C$2:$C$323,"="&amp;'Time Breakdown'!$A$1)</f>
        <v>0</v>
      </c>
      <c r="C32">
        <f>SUMIFS('Hours Log'!AE$2:AE$323,'Hours Log'!$A$2:$A$323,"="&amp;'Time Breakdown'!$A32,'Hours Log'!$C$2:$C$323,"="&amp;'Time Breakdown'!$A$1)</f>
        <v>0</v>
      </c>
      <c r="D32">
        <f>SUMIFS('Hours Log'!AF$2:AF$323,'Hours Log'!$A$2:$A$323,"="&amp;'Time Breakdown'!$A32,'Hours Log'!$C$2:$C$323,"="&amp;'Time Breakdown'!$A$1)</f>
        <v>0</v>
      </c>
      <c r="E32">
        <f>SUMIFS('Hours Log'!AG$2:AG$323,'Hours Log'!$A$2:$A$323,"="&amp;'Time Breakdown'!$A32,'Hours Log'!$C$2:$C$323,"="&amp;'Time Breakdown'!$A$1)</f>
        <v>0</v>
      </c>
      <c r="F32">
        <f>SUMIFS('Hours Log'!AH$2:AH$323,'Hours Log'!$A$2:$A$323,"="&amp;'Time Breakdown'!$A32,'Hours Log'!$C$2:$C$323,"="&amp;'Time Breakdown'!$A$1)</f>
        <v>0</v>
      </c>
      <c r="G32">
        <f>SUMIFS('Hours Log'!AI$2:AI$323,'Hours Log'!$A$2:$A$323,"="&amp;'Time Breakdown'!$A32,'Hours Log'!$C$2:$C$323,"="&amp;'Time Breakdown'!$A$1)</f>
        <v>0</v>
      </c>
      <c r="H32">
        <f>SUMIFS('Hours Log'!AJ$2:AJ$323,'Hours Log'!$A$2:$A$323,"="&amp;'Time Breakdown'!$A32,'Hours Log'!$C$2:$C$323,"="&amp;'Time Breakdown'!$A$1)</f>
        <v>966.46700767263417</v>
      </c>
      <c r="I32">
        <f>SUMIFS('Hours Log'!AK$2:AK$323,'Hours Log'!$A$2:$A$323,"="&amp;'Time Breakdown'!$A32,'Hours Log'!$C$2:$C$323,"="&amp;'Time Breakdown'!$A$1)</f>
        <v>0</v>
      </c>
      <c r="J32">
        <f>SUMIFS('Hours Log'!AL$2:AL$323,'Hours Log'!$A$2:$A$323,"="&amp;'Time Breakdown'!$A32,'Hours Log'!$C$2:$C$323,"="&amp;'Time Breakdown'!$A$1)</f>
        <v>0</v>
      </c>
      <c r="K32">
        <f>SUMIFS('Hours Log'!AM$2:AM$323,'Hours Log'!$A$2:$A$323,"="&amp;'Time Breakdown'!$A32,'Hours Log'!$C$2:$C$323,"="&amp;'Time Breakdown'!$A$1)</f>
        <v>0</v>
      </c>
      <c r="L32">
        <f>SUMIFS('Hours Log'!AN$2:AN$323,'Hours Log'!$A$2:$A$323,"="&amp;'Time Breakdown'!$A32,'Hours Log'!$C$2:$C$323,"="&amp;'Time Breakdown'!$A$1)</f>
        <v>0</v>
      </c>
      <c r="M32">
        <f>SUMIFS('Hours Log'!AO$2:AO$323,'Hours Log'!$A$2:$A$323,"="&amp;'Time Breakdown'!$A32,'Hours Log'!$C$2:$C$323,"="&amp;'Time Breakdown'!$A$1)</f>
        <v>0</v>
      </c>
      <c r="N32">
        <f>SUMIFS('Hours Log'!AP$2:AP$323,'Hours Log'!$A$2:$A$323,"="&amp;'Time Breakdown'!$A32,'Hours Log'!$C$2:$C$323,"="&amp;'Time Breakdown'!$A$1)</f>
        <v>0</v>
      </c>
      <c r="O32">
        <f>SUMIFS('Hours Log'!AQ$2:AQ$323,'Hours Log'!$A$2:$A$323,"="&amp;'Time Breakdown'!$A32,'Hours Log'!$C$2:$C$323,"="&amp;'Time Breakdown'!$A$1)</f>
        <v>0</v>
      </c>
      <c r="P32">
        <f>SUMIFS('Hours Log'!AR$2:AR$323,'Hours Log'!$A$2:$A$323,"="&amp;'Time Breakdown'!$A32,'Hours Log'!$C$2:$C$323,"="&amp;'Time Breakdown'!$A$1)</f>
        <v>0</v>
      </c>
      <c r="Q32">
        <f>SUMIFS('Hours Log'!AS$2:AS$323,'Hours Log'!$A$2:$A$323,"="&amp;'Time Breakdown'!$A32,'Hours Log'!$C$2:$C$323,"="&amp;'Time Breakdown'!$A$1)</f>
        <v>658.1057149500117</v>
      </c>
      <c r="R32">
        <f>SUMIFS('Hours Log'!AT$2:AT$323,'Hours Log'!$A$2:$A$323,"="&amp;'Time Breakdown'!$A32,'Hours Log'!$C$2:$C$323,"="&amp;'Time Breakdown'!$A$1)</f>
        <v>0</v>
      </c>
      <c r="S32">
        <f>SUMIFS('Hours Log'!AU$2:AU$323,'Hours Log'!$A$2:$A$323,"="&amp;'Time Breakdown'!$A32,'Hours Log'!$C$2:$C$323,"="&amp;'Time Breakdown'!$A$1)</f>
        <v>463.42727737735407</v>
      </c>
      <c r="T32">
        <f>SUMIFS('Hours Log'!AV$2:AV$323,'Hours Log'!$A$2:$A$323,"="&amp;'Time Breakdown'!$A32,'Hours Log'!$C$2:$C$323,"="&amp;'Time Breakdown'!$A$1)</f>
        <v>0</v>
      </c>
      <c r="U32">
        <f>SUMIFS('Hours Log'!AW$2:AW$323,'Hours Log'!$A$2:$A$323,"="&amp;'Time Breakdown'!$A32,'Hours Log'!$C$2:$C$323,"="&amp;'Time Breakdown'!$A$1)</f>
        <v>0</v>
      </c>
      <c r="V32">
        <f t="shared" si="0"/>
        <v>2088</v>
      </c>
    </row>
    <row r="33" spans="1:22" hidden="1" x14ac:dyDescent="0.25">
      <c r="A33" s="61" t="s">
        <v>175</v>
      </c>
      <c r="B33">
        <f>SUMIFS('Hours Log'!AD$2:AD$323,'Hours Log'!$A$2:$A$323,"="&amp;'Time Breakdown'!$A33,'Hours Log'!$C$2:$C$323,"="&amp;'Time Breakdown'!$A$1)</f>
        <v>0</v>
      </c>
      <c r="C33">
        <f>SUMIFS('Hours Log'!AE$2:AE$323,'Hours Log'!$A$2:$A$323,"="&amp;'Time Breakdown'!$A33,'Hours Log'!$C$2:$C$323,"="&amp;'Time Breakdown'!$A$1)</f>
        <v>0</v>
      </c>
      <c r="D33">
        <f>SUMIFS('Hours Log'!AF$2:AF$323,'Hours Log'!$A$2:$A$323,"="&amp;'Time Breakdown'!$A33,'Hours Log'!$C$2:$C$323,"="&amp;'Time Breakdown'!$A$1)</f>
        <v>0</v>
      </c>
      <c r="E33">
        <f>SUMIFS('Hours Log'!AG$2:AG$323,'Hours Log'!$A$2:$A$323,"="&amp;'Time Breakdown'!$A33,'Hours Log'!$C$2:$C$323,"="&amp;'Time Breakdown'!$A$1)</f>
        <v>0</v>
      </c>
      <c r="F33">
        <f>SUMIFS('Hours Log'!AH$2:AH$323,'Hours Log'!$A$2:$A$323,"="&amp;'Time Breakdown'!$A33,'Hours Log'!$C$2:$C$323,"="&amp;'Time Breakdown'!$A$1)</f>
        <v>0</v>
      </c>
      <c r="G33">
        <f>SUMIFS('Hours Log'!AI$2:AI$323,'Hours Log'!$A$2:$A$323,"="&amp;'Time Breakdown'!$A33,'Hours Log'!$C$2:$C$323,"="&amp;'Time Breakdown'!$A$1)</f>
        <v>0</v>
      </c>
      <c r="H33">
        <f>SUMIFS('Hours Log'!AJ$2:AJ$323,'Hours Log'!$A$2:$A$323,"="&amp;'Time Breakdown'!$A33,'Hours Log'!$C$2:$C$323,"="&amp;'Time Breakdown'!$A$1)</f>
        <v>0</v>
      </c>
      <c r="I33">
        <f>SUMIFS('Hours Log'!AK$2:AK$323,'Hours Log'!$A$2:$A$323,"="&amp;'Time Breakdown'!$A33,'Hours Log'!$C$2:$C$323,"="&amp;'Time Breakdown'!$A$1)</f>
        <v>480</v>
      </c>
      <c r="J33">
        <f>SUMIFS('Hours Log'!AL$2:AL$323,'Hours Log'!$A$2:$A$323,"="&amp;'Time Breakdown'!$A33,'Hours Log'!$C$2:$C$323,"="&amp;'Time Breakdown'!$A$1)</f>
        <v>0</v>
      </c>
      <c r="K33">
        <f>SUMIFS('Hours Log'!AM$2:AM$323,'Hours Log'!$A$2:$A$323,"="&amp;'Time Breakdown'!$A33,'Hours Log'!$C$2:$C$323,"="&amp;'Time Breakdown'!$A$1)</f>
        <v>0</v>
      </c>
      <c r="L33">
        <f>SUMIFS('Hours Log'!AN$2:AN$323,'Hours Log'!$A$2:$A$323,"="&amp;'Time Breakdown'!$A33,'Hours Log'!$C$2:$C$323,"="&amp;'Time Breakdown'!$A$1)</f>
        <v>0</v>
      </c>
      <c r="M33">
        <f>SUMIFS('Hours Log'!AO$2:AO$323,'Hours Log'!$A$2:$A$323,"="&amp;'Time Breakdown'!$A33,'Hours Log'!$C$2:$C$323,"="&amp;'Time Breakdown'!$A$1)</f>
        <v>0</v>
      </c>
      <c r="N33">
        <f>SUMIFS('Hours Log'!AP$2:AP$323,'Hours Log'!$A$2:$A$323,"="&amp;'Time Breakdown'!$A33,'Hours Log'!$C$2:$C$323,"="&amp;'Time Breakdown'!$A$1)</f>
        <v>0</v>
      </c>
      <c r="O33">
        <f>SUMIFS('Hours Log'!AQ$2:AQ$323,'Hours Log'!$A$2:$A$323,"="&amp;'Time Breakdown'!$A33,'Hours Log'!$C$2:$C$323,"="&amp;'Time Breakdown'!$A$1)</f>
        <v>12</v>
      </c>
      <c r="P33">
        <f>SUMIFS('Hours Log'!AR$2:AR$323,'Hours Log'!$A$2:$A$323,"="&amp;'Time Breakdown'!$A33,'Hours Log'!$C$2:$C$323,"="&amp;'Time Breakdown'!$A$1)</f>
        <v>0</v>
      </c>
      <c r="Q33">
        <f>SUMIFS('Hours Log'!AS$2:AS$323,'Hours Log'!$A$2:$A$323,"="&amp;'Time Breakdown'!$A33,'Hours Log'!$C$2:$C$323,"="&amp;'Time Breakdown'!$A$1)</f>
        <v>0</v>
      </c>
      <c r="R33">
        <f>SUMIFS('Hours Log'!AT$2:AT$323,'Hours Log'!$A$2:$A$323,"="&amp;'Time Breakdown'!$A33,'Hours Log'!$C$2:$C$323,"="&amp;'Time Breakdown'!$A$1)</f>
        <v>0</v>
      </c>
      <c r="S33">
        <f>SUMIFS('Hours Log'!AU$2:AU$323,'Hours Log'!$A$2:$A$323,"="&amp;'Time Breakdown'!$A33,'Hours Log'!$C$2:$C$323,"="&amp;'Time Breakdown'!$A$1)</f>
        <v>0</v>
      </c>
      <c r="T33">
        <f>SUMIFS('Hours Log'!AV$2:AV$323,'Hours Log'!$A$2:$A$323,"="&amp;'Time Breakdown'!$A33,'Hours Log'!$C$2:$C$323,"="&amp;'Time Breakdown'!$A$1)</f>
        <v>0</v>
      </c>
      <c r="U33">
        <f>SUMIFS('Hours Log'!AW$2:AW$323,'Hours Log'!$A$2:$A$323,"="&amp;'Time Breakdown'!$A33,'Hours Log'!$C$2:$C$323,"="&amp;'Time Breakdown'!$A$1)</f>
        <v>0</v>
      </c>
      <c r="V33">
        <f t="shared" si="0"/>
        <v>492</v>
      </c>
    </row>
    <row r="34" spans="1:22" hidden="1" x14ac:dyDescent="0.25">
      <c r="A34" s="61" t="s">
        <v>176</v>
      </c>
      <c r="B34">
        <f>SUMIFS('Hours Log'!AD$2:AD$323,'Hours Log'!$A$2:$A$323,"="&amp;'Time Breakdown'!$A34,'Hours Log'!$C$2:$C$323,"="&amp;'Time Breakdown'!$A$1)</f>
        <v>0</v>
      </c>
      <c r="C34">
        <f>SUMIFS('Hours Log'!AE$2:AE$323,'Hours Log'!$A$2:$A$323,"="&amp;'Time Breakdown'!$A34,'Hours Log'!$C$2:$C$323,"="&amp;'Time Breakdown'!$A$1)</f>
        <v>0</v>
      </c>
      <c r="D34">
        <f>SUMIFS('Hours Log'!AF$2:AF$323,'Hours Log'!$A$2:$A$323,"="&amp;'Time Breakdown'!$A34,'Hours Log'!$C$2:$C$323,"="&amp;'Time Breakdown'!$A$1)</f>
        <v>0</v>
      </c>
      <c r="E34">
        <f>SUMIFS('Hours Log'!AG$2:AG$323,'Hours Log'!$A$2:$A$323,"="&amp;'Time Breakdown'!$A34,'Hours Log'!$C$2:$C$323,"="&amp;'Time Breakdown'!$A$1)</f>
        <v>0</v>
      </c>
      <c r="F34">
        <f>SUMIFS('Hours Log'!AH$2:AH$323,'Hours Log'!$A$2:$A$323,"="&amp;'Time Breakdown'!$A34,'Hours Log'!$C$2:$C$323,"="&amp;'Time Breakdown'!$A$1)</f>
        <v>0</v>
      </c>
      <c r="G34">
        <f>SUMIFS('Hours Log'!AI$2:AI$323,'Hours Log'!$A$2:$A$323,"="&amp;'Time Breakdown'!$A34,'Hours Log'!$C$2:$C$323,"="&amp;'Time Breakdown'!$A$1)</f>
        <v>0</v>
      </c>
      <c r="H34">
        <f>SUMIFS('Hours Log'!AJ$2:AJ$323,'Hours Log'!$A$2:$A$323,"="&amp;'Time Breakdown'!$A34,'Hours Log'!$C$2:$C$323,"="&amp;'Time Breakdown'!$A$1)</f>
        <v>0</v>
      </c>
      <c r="I34">
        <f>SUMIFS('Hours Log'!AK$2:AK$323,'Hours Log'!$A$2:$A$323,"="&amp;'Time Breakdown'!$A34,'Hours Log'!$C$2:$C$323,"="&amp;'Time Breakdown'!$A$1)</f>
        <v>0</v>
      </c>
      <c r="J34">
        <f>SUMIFS('Hours Log'!AL$2:AL$323,'Hours Log'!$A$2:$A$323,"="&amp;'Time Breakdown'!$A34,'Hours Log'!$C$2:$C$323,"="&amp;'Time Breakdown'!$A$1)</f>
        <v>0</v>
      </c>
      <c r="K34">
        <f>SUMIFS('Hours Log'!AM$2:AM$323,'Hours Log'!$A$2:$A$323,"="&amp;'Time Breakdown'!$A34,'Hours Log'!$C$2:$C$323,"="&amp;'Time Breakdown'!$A$1)</f>
        <v>0</v>
      </c>
      <c r="L34">
        <f>SUMIFS('Hours Log'!AN$2:AN$323,'Hours Log'!$A$2:$A$323,"="&amp;'Time Breakdown'!$A34,'Hours Log'!$C$2:$C$323,"="&amp;'Time Breakdown'!$A$1)</f>
        <v>0</v>
      </c>
      <c r="M34">
        <f>SUMIFS('Hours Log'!AO$2:AO$323,'Hours Log'!$A$2:$A$323,"="&amp;'Time Breakdown'!$A34,'Hours Log'!$C$2:$C$323,"="&amp;'Time Breakdown'!$A$1)</f>
        <v>0</v>
      </c>
      <c r="N34">
        <f>SUMIFS('Hours Log'!AP$2:AP$323,'Hours Log'!$A$2:$A$323,"="&amp;'Time Breakdown'!$A34,'Hours Log'!$C$2:$C$323,"="&amp;'Time Breakdown'!$A$1)</f>
        <v>0</v>
      </c>
      <c r="O34">
        <f>SUMIFS('Hours Log'!AQ$2:AQ$323,'Hours Log'!$A$2:$A$323,"="&amp;'Time Breakdown'!$A34,'Hours Log'!$C$2:$C$323,"="&amp;'Time Breakdown'!$A$1)</f>
        <v>0</v>
      </c>
      <c r="P34">
        <f>SUMIFS('Hours Log'!AR$2:AR$323,'Hours Log'!$A$2:$A$323,"="&amp;'Time Breakdown'!$A34,'Hours Log'!$C$2:$C$323,"="&amp;'Time Breakdown'!$A$1)</f>
        <v>0</v>
      </c>
      <c r="Q34">
        <f>SUMIFS('Hours Log'!AS$2:AS$323,'Hours Log'!$A$2:$A$323,"="&amp;'Time Breakdown'!$A34,'Hours Log'!$C$2:$C$323,"="&amp;'Time Breakdown'!$A$1)</f>
        <v>0</v>
      </c>
      <c r="R34">
        <f>SUMIFS('Hours Log'!AT$2:AT$323,'Hours Log'!$A$2:$A$323,"="&amp;'Time Breakdown'!$A34,'Hours Log'!$C$2:$C$323,"="&amp;'Time Breakdown'!$A$1)</f>
        <v>0</v>
      </c>
      <c r="S34">
        <f>SUMIFS('Hours Log'!AU$2:AU$323,'Hours Log'!$A$2:$A$323,"="&amp;'Time Breakdown'!$A34,'Hours Log'!$C$2:$C$323,"="&amp;'Time Breakdown'!$A$1)</f>
        <v>0</v>
      </c>
      <c r="T34">
        <f>SUMIFS('Hours Log'!AV$2:AV$323,'Hours Log'!$A$2:$A$323,"="&amp;'Time Breakdown'!$A34,'Hours Log'!$C$2:$C$323,"="&amp;'Time Breakdown'!$A$1)</f>
        <v>100</v>
      </c>
      <c r="U34">
        <f>SUMIFS('Hours Log'!AW$2:AW$323,'Hours Log'!$A$2:$A$323,"="&amp;'Time Breakdown'!$A34,'Hours Log'!$C$2:$C$323,"="&amp;'Time Breakdown'!$A$1)</f>
        <v>0</v>
      </c>
      <c r="V34">
        <f t="shared" si="0"/>
        <v>100</v>
      </c>
    </row>
    <row r="35" spans="1:22" hidden="1" x14ac:dyDescent="0.25">
      <c r="A35" s="61" t="s">
        <v>177</v>
      </c>
      <c r="B35">
        <f>SUMIFS('Hours Log'!AD$2:AD$323,'Hours Log'!$A$2:$A$323,"="&amp;'Time Breakdown'!$A35,'Hours Log'!$C$2:$C$323,"="&amp;'Time Breakdown'!$A$1)</f>
        <v>0</v>
      </c>
      <c r="C35">
        <f>SUMIFS('Hours Log'!AE$2:AE$323,'Hours Log'!$A$2:$A$323,"="&amp;'Time Breakdown'!$A35,'Hours Log'!$C$2:$C$323,"="&amp;'Time Breakdown'!$A$1)</f>
        <v>0</v>
      </c>
      <c r="D35">
        <f>SUMIFS('Hours Log'!AF$2:AF$323,'Hours Log'!$A$2:$A$323,"="&amp;'Time Breakdown'!$A35,'Hours Log'!$C$2:$C$323,"="&amp;'Time Breakdown'!$A$1)</f>
        <v>0</v>
      </c>
      <c r="E35">
        <f>SUMIFS('Hours Log'!AG$2:AG$323,'Hours Log'!$A$2:$A$323,"="&amp;'Time Breakdown'!$A35,'Hours Log'!$C$2:$C$323,"="&amp;'Time Breakdown'!$A$1)</f>
        <v>0</v>
      </c>
      <c r="F35">
        <f>SUMIFS('Hours Log'!AH$2:AH$323,'Hours Log'!$A$2:$A$323,"="&amp;'Time Breakdown'!$A35,'Hours Log'!$C$2:$C$323,"="&amp;'Time Breakdown'!$A$1)</f>
        <v>0</v>
      </c>
      <c r="G35">
        <f>SUMIFS('Hours Log'!AI$2:AI$323,'Hours Log'!$A$2:$A$323,"="&amp;'Time Breakdown'!$A35,'Hours Log'!$C$2:$C$323,"="&amp;'Time Breakdown'!$A$1)</f>
        <v>0</v>
      </c>
      <c r="H35">
        <f>SUMIFS('Hours Log'!AJ$2:AJ$323,'Hours Log'!$A$2:$A$323,"="&amp;'Time Breakdown'!$A35,'Hours Log'!$C$2:$C$323,"="&amp;'Time Breakdown'!$A$1)</f>
        <v>0</v>
      </c>
      <c r="I35">
        <f>SUMIFS('Hours Log'!AK$2:AK$323,'Hours Log'!$A$2:$A$323,"="&amp;'Time Breakdown'!$A35,'Hours Log'!$C$2:$C$323,"="&amp;'Time Breakdown'!$A$1)</f>
        <v>758.57721746960829</v>
      </c>
      <c r="J35">
        <f>SUMIFS('Hours Log'!AL$2:AL$323,'Hours Log'!$A$2:$A$323,"="&amp;'Time Breakdown'!$A35,'Hours Log'!$C$2:$C$323,"="&amp;'Time Breakdown'!$A$1)</f>
        <v>492.60693381359749</v>
      </c>
      <c r="K35">
        <f>SUMIFS('Hours Log'!AM$2:AM$323,'Hours Log'!$A$2:$A$323,"="&amp;'Time Breakdown'!$A35,'Hours Log'!$C$2:$C$323,"="&amp;'Time Breakdown'!$A$1)</f>
        <v>0</v>
      </c>
      <c r="L35">
        <f>SUMIFS('Hours Log'!AN$2:AN$323,'Hours Log'!$A$2:$A$323,"="&amp;'Time Breakdown'!$A35,'Hours Log'!$C$2:$C$323,"="&amp;'Time Breakdown'!$A$1)</f>
        <v>0</v>
      </c>
      <c r="M35">
        <f>SUMIFS('Hours Log'!AO$2:AO$323,'Hours Log'!$A$2:$A$323,"="&amp;'Time Breakdown'!$A35,'Hours Log'!$C$2:$C$323,"="&amp;'Time Breakdown'!$A$1)</f>
        <v>0</v>
      </c>
      <c r="N35">
        <f>SUMIFS('Hours Log'!AP$2:AP$323,'Hours Log'!$A$2:$A$323,"="&amp;'Time Breakdown'!$A35,'Hours Log'!$C$2:$C$323,"="&amp;'Time Breakdown'!$A$1)</f>
        <v>0</v>
      </c>
      <c r="O35">
        <f>SUMIFS('Hours Log'!AQ$2:AQ$323,'Hours Log'!$A$2:$A$323,"="&amp;'Time Breakdown'!$A35,'Hours Log'!$C$2:$C$323,"="&amp;'Time Breakdown'!$A$1)</f>
        <v>0</v>
      </c>
      <c r="P35">
        <f>SUMIFS('Hours Log'!AR$2:AR$323,'Hours Log'!$A$2:$A$323,"="&amp;'Time Breakdown'!$A35,'Hours Log'!$C$2:$C$323,"="&amp;'Time Breakdown'!$A$1)</f>
        <v>0</v>
      </c>
      <c r="Q35">
        <f>SUMIFS('Hours Log'!AS$2:AS$323,'Hours Log'!$A$2:$A$323,"="&amp;'Time Breakdown'!$A35,'Hours Log'!$C$2:$C$323,"="&amp;'Time Breakdown'!$A$1)</f>
        <v>0</v>
      </c>
      <c r="R35">
        <f>SUMIFS('Hours Log'!AT$2:AT$323,'Hours Log'!$A$2:$A$323,"="&amp;'Time Breakdown'!$A35,'Hours Log'!$C$2:$C$323,"="&amp;'Time Breakdown'!$A$1)</f>
        <v>0</v>
      </c>
      <c r="S35">
        <f>SUMIFS('Hours Log'!AU$2:AU$323,'Hours Log'!$A$2:$A$323,"="&amp;'Time Breakdown'!$A35,'Hours Log'!$C$2:$C$323,"="&amp;'Time Breakdown'!$A$1)</f>
        <v>0</v>
      </c>
      <c r="T35">
        <f>SUMIFS('Hours Log'!AV$2:AV$323,'Hours Log'!$A$2:$A$323,"="&amp;'Time Breakdown'!$A35,'Hours Log'!$C$2:$C$323,"="&amp;'Time Breakdown'!$A$1)</f>
        <v>0</v>
      </c>
      <c r="U35">
        <f>SUMIFS('Hours Log'!AW$2:AW$323,'Hours Log'!$A$2:$A$323,"="&amp;'Time Breakdown'!$A35,'Hours Log'!$C$2:$C$323,"="&amp;'Time Breakdown'!$A$1)</f>
        <v>828.81584871679422</v>
      </c>
      <c r="V35">
        <f t="shared" si="0"/>
        <v>2080</v>
      </c>
    </row>
    <row r="36" spans="1:22" hidden="1" x14ac:dyDescent="0.25">
      <c r="A36" s="61" t="s">
        <v>178</v>
      </c>
      <c r="B36">
        <f>SUMIFS('Hours Log'!AD$2:AD$323,'Hours Log'!$A$2:$A$323,"="&amp;'Time Breakdown'!$A36,'Hours Log'!$C$2:$C$323,"="&amp;'Time Breakdown'!$A$1)</f>
        <v>0</v>
      </c>
      <c r="C36">
        <f>SUMIFS('Hours Log'!AE$2:AE$323,'Hours Log'!$A$2:$A$323,"="&amp;'Time Breakdown'!$A36,'Hours Log'!$C$2:$C$323,"="&amp;'Time Breakdown'!$A$1)</f>
        <v>0</v>
      </c>
      <c r="D36">
        <f>SUMIFS('Hours Log'!AF$2:AF$323,'Hours Log'!$A$2:$A$323,"="&amp;'Time Breakdown'!$A36,'Hours Log'!$C$2:$C$323,"="&amp;'Time Breakdown'!$A$1)</f>
        <v>0</v>
      </c>
      <c r="E36">
        <f>SUMIFS('Hours Log'!AG$2:AG$323,'Hours Log'!$A$2:$A$323,"="&amp;'Time Breakdown'!$A36,'Hours Log'!$C$2:$C$323,"="&amp;'Time Breakdown'!$A$1)</f>
        <v>0</v>
      </c>
      <c r="F36">
        <f>SUMIFS('Hours Log'!AH$2:AH$323,'Hours Log'!$A$2:$A$323,"="&amp;'Time Breakdown'!$A36,'Hours Log'!$C$2:$C$323,"="&amp;'Time Breakdown'!$A$1)</f>
        <v>0</v>
      </c>
      <c r="G36">
        <f>SUMIFS('Hours Log'!AI$2:AI$323,'Hours Log'!$A$2:$A$323,"="&amp;'Time Breakdown'!$A36,'Hours Log'!$C$2:$C$323,"="&amp;'Time Breakdown'!$A$1)</f>
        <v>0</v>
      </c>
      <c r="H36">
        <f>SUMIFS('Hours Log'!AJ$2:AJ$323,'Hours Log'!$A$2:$A$323,"="&amp;'Time Breakdown'!$A36,'Hours Log'!$C$2:$C$323,"="&amp;'Time Breakdown'!$A$1)</f>
        <v>0</v>
      </c>
      <c r="I36">
        <f>SUMIFS('Hours Log'!AK$2:AK$323,'Hours Log'!$A$2:$A$323,"="&amp;'Time Breakdown'!$A36,'Hours Log'!$C$2:$C$323,"="&amp;'Time Breakdown'!$A$1)</f>
        <v>100</v>
      </c>
      <c r="J36">
        <f>SUMIFS('Hours Log'!AL$2:AL$323,'Hours Log'!$A$2:$A$323,"="&amp;'Time Breakdown'!$A36,'Hours Log'!$C$2:$C$323,"="&amp;'Time Breakdown'!$A$1)</f>
        <v>0</v>
      </c>
      <c r="K36">
        <f>SUMIFS('Hours Log'!AM$2:AM$323,'Hours Log'!$A$2:$A$323,"="&amp;'Time Breakdown'!$A36,'Hours Log'!$C$2:$C$323,"="&amp;'Time Breakdown'!$A$1)</f>
        <v>0</v>
      </c>
      <c r="L36">
        <f>SUMIFS('Hours Log'!AN$2:AN$323,'Hours Log'!$A$2:$A$323,"="&amp;'Time Breakdown'!$A36,'Hours Log'!$C$2:$C$323,"="&amp;'Time Breakdown'!$A$1)</f>
        <v>0</v>
      </c>
      <c r="M36">
        <f>SUMIFS('Hours Log'!AO$2:AO$323,'Hours Log'!$A$2:$A$323,"="&amp;'Time Breakdown'!$A36,'Hours Log'!$C$2:$C$323,"="&amp;'Time Breakdown'!$A$1)</f>
        <v>0</v>
      </c>
      <c r="N36">
        <f>SUMIFS('Hours Log'!AP$2:AP$323,'Hours Log'!$A$2:$A$323,"="&amp;'Time Breakdown'!$A36,'Hours Log'!$C$2:$C$323,"="&amp;'Time Breakdown'!$A$1)</f>
        <v>0</v>
      </c>
      <c r="O36">
        <f>SUMIFS('Hours Log'!AQ$2:AQ$323,'Hours Log'!$A$2:$A$323,"="&amp;'Time Breakdown'!$A36,'Hours Log'!$C$2:$C$323,"="&amp;'Time Breakdown'!$A$1)</f>
        <v>0</v>
      </c>
      <c r="P36">
        <f>SUMIFS('Hours Log'!AR$2:AR$323,'Hours Log'!$A$2:$A$323,"="&amp;'Time Breakdown'!$A36,'Hours Log'!$C$2:$C$323,"="&amp;'Time Breakdown'!$A$1)</f>
        <v>0</v>
      </c>
      <c r="Q36">
        <f>SUMIFS('Hours Log'!AS$2:AS$323,'Hours Log'!$A$2:$A$323,"="&amp;'Time Breakdown'!$A36,'Hours Log'!$C$2:$C$323,"="&amp;'Time Breakdown'!$A$1)</f>
        <v>0</v>
      </c>
      <c r="R36">
        <f>SUMIFS('Hours Log'!AT$2:AT$323,'Hours Log'!$A$2:$A$323,"="&amp;'Time Breakdown'!$A36,'Hours Log'!$C$2:$C$323,"="&amp;'Time Breakdown'!$A$1)</f>
        <v>0</v>
      </c>
      <c r="S36">
        <f>SUMIFS('Hours Log'!AU$2:AU$323,'Hours Log'!$A$2:$A$323,"="&amp;'Time Breakdown'!$A36,'Hours Log'!$C$2:$C$323,"="&amp;'Time Breakdown'!$A$1)</f>
        <v>0</v>
      </c>
      <c r="T36">
        <f>SUMIFS('Hours Log'!AV$2:AV$323,'Hours Log'!$A$2:$A$323,"="&amp;'Time Breakdown'!$A36,'Hours Log'!$C$2:$C$323,"="&amp;'Time Breakdown'!$A$1)</f>
        <v>0</v>
      </c>
      <c r="U36">
        <f>SUMIFS('Hours Log'!AW$2:AW$323,'Hours Log'!$A$2:$A$323,"="&amp;'Time Breakdown'!$A36,'Hours Log'!$C$2:$C$323,"="&amp;'Time Breakdown'!$A$1)</f>
        <v>0</v>
      </c>
      <c r="V36">
        <f t="shared" si="0"/>
        <v>100</v>
      </c>
    </row>
    <row r="37" spans="1:22" hidden="1" x14ac:dyDescent="0.25">
      <c r="A37" s="61" t="s">
        <v>179</v>
      </c>
      <c r="B37">
        <f>SUMIFS('Hours Log'!AD$2:AD$323,'Hours Log'!$A$2:$A$323,"="&amp;'Time Breakdown'!$A37,'Hours Log'!$C$2:$C$323,"="&amp;'Time Breakdown'!$A$1)</f>
        <v>0</v>
      </c>
      <c r="C37">
        <f>SUMIFS('Hours Log'!AE$2:AE$323,'Hours Log'!$A$2:$A$323,"="&amp;'Time Breakdown'!$A37,'Hours Log'!$C$2:$C$323,"="&amp;'Time Breakdown'!$A$1)</f>
        <v>0</v>
      </c>
      <c r="D37">
        <f>SUMIFS('Hours Log'!AF$2:AF$323,'Hours Log'!$A$2:$A$323,"="&amp;'Time Breakdown'!$A37,'Hours Log'!$C$2:$C$323,"="&amp;'Time Breakdown'!$A$1)</f>
        <v>0</v>
      </c>
      <c r="E37">
        <f>SUMIFS('Hours Log'!AG$2:AG$323,'Hours Log'!$A$2:$A$323,"="&amp;'Time Breakdown'!$A37,'Hours Log'!$C$2:$C$323,"="&amp;'Time Breakdown'!$A$1)</f>
        <v>0</v>
      </c>
      <c r="F37">
        <f>SUMIFS('Hours Log'!AH$2:AH$323,'Hours Log'!$A$2:$A$323,"="&amp;'Time Breakdown'!$A37,'Hours Log'!$C$2:$C$323,"="&amp;'Time Breakdown'!$A$1)</f>
        <v>0</v>
      </c>
      <c r="G37">
        <f>SUMIFS('Hours Log'!AI$2:AI$323,'Hours Log'!$A$2:$A$323,"="&amp;'Time Breakdown'!$A37,'Hours Log'!$C$2:$C$323,"="&amp;'Time Breakdown'!$A$1)</f>
        <v>0</v>
      </c>
      <c r="H37">
        <f>SUMIFS('Hours Log'!AJ$2:AJ$323,'Hours Log'!$A$2:$A$323,"="&amp;'Time Breakdown'!$A37,'Hours Log'!$C$2:$C$323,"="&amp;'Time Breakdown'!$A$1)</f>
        <v>0</v>
      </c>
      <c r="I37">
        <f>SUMIFS('Hours Log'!AK$2:AK$323,'Hours Log'!$A$2:$A$323,"="&amp;'Time Breakdown'!$A37,'Hours Log'!$C$2:$C$323,"="&amp;'Time Breakdown'!$A$1)</f>
        <v>100</v>
      </c>
      <c r="J37">
        <f>SUMIFS('Hours Log'!AL$2:AL$323,'Hours Log'!$A$2:$A$323,"="&amp;'Time Breakdown'!$A37,'Hours Log'!$C$2:$C$323,"="&amp;'Time Breakdown'!$A$1)</f>
        <v>0</v>
      </c>
      <c r="K37">
        <f>SUMIFS('Hours Log'!AM$2:AM$323,'Hours Log'!$A$2:$A$323,"="&amp;'Time Breakdown'!$A37,'Hours Log'!$C$2:$C$323,"="&amp;'Time Breakdown'!$A$1)</f>
        <v>0</v>
      </c>
      <c r="L37">
        <f>SUMIFS('Hours Log'!AN$2:AN$323,'Hours Log'!$A$2:$A$323,"="&amp;'Time Breakdown'!$A37,'Hours Log'!$C$2:$C$323,"="&amp;'Time Breakdown'!$A$1)</f>
        <v>0</v>
      </c>
      <c r="M37">
        <f>SUMIFS('Hours Log'!AO$2:AO$323,'Hours Log'!$A$2:$A$323,"="&amp;'Time Breakdown'!$A37,'Hours Log'!$C$2:$C$323,"="&amp;'Time Breakdown'!$A$1)</f>
        <v>0</v>
      </c>
      <c r="N37">
        <f>SUMIFS('Hours Log'!AP$2:AP$323,'Hours Log'!$A$2:$A$323,"="&amp;'Time Breakdown'!$A37,'Hours Log'!$C$2:$C$323,"="&amp;'Time Breakdown'!$A$1)</f>
        <v>0</v>
      </c>
      <c r="O37">
        <f>SUMIFS('Hours Log'!AQ$2:AQ$323,'Hours Log'!$A$2:$A$323,"="&amp;'Time Breakdown'!$A37,'Hours Log'!$C$2:$C$323,"="&amp;'Time Breakdown'!$A$1)</f>
        <v>0</v>
      </c>
      <c r="P37">
        <f>SUMIFS('Hours Log'!AR$2:AR$323,'Hours Log'!$A$2:$A$323,"="&amp;'Time Breakdown'!$A37,'Hours Log'!$C$2:$C$323,"="&amp;'Time Breakdown'!$A$1)</f>
        <v>0</v>
      </c>
      <c r="Q37">
        <f>SUMIFS('Hours Log'!AS$2:AS$323,'Hours Log'!$A$2:$A$323,"="&amp;'Time Breakdown'!$A37,'Hours Log'!$C$2:$C$323,"="&amp;'Time Breakdown'!$A$1)</f>
        <v>0</v>
      </c>
      <c r="R37">
        <f>SUMIFS('Hours Log'!AT$2:AT$323,'Hours Log'!$A$2:$A$323,"="&amp;'Time Breakdown'!$A37,'Hours Log'!$C$2:$C$323,"="&amp;'Time Breakdown'!$A$1)</f>
        <v>0</v>
      </c>
      <c r="S37">
        <f>SUMIFS('Hours Log'!AU$2:AU$323,'Hours Log'!$A$2:$A$323,"="&amp;'Time Breakdown'!$A37,'Hours Log'!$C$2:$C$323,"="&amp;'Time Breakdown'!$A$1)</f>
        <v>0</v>
      </c>
      <c r="T37">
        <f>SUMIFS('Hours Log'!AV$2:AV$323,'Hours Log'!$A$2:$A$323,"="&amp;'Time Breakdown'!$A37,'Hours Log'!$C$2:$C$323,"="&amp;'Time Breakdown'!$A$1)</f>
        <v>0</v>
      </c>
      <c r="U37">
        <f>SUMIFS('Hours Log'!AW$2:AW$323,'Hours Log'!$A$2:$A$323,"="&amp;'Time Breakdown'!$A37,'Hours Log'!$C$2:$C$323,"="&amp;'Time Breakdown'!$A$1)</f>
        <v>0</v>
      </c>
      <c r="V37">
        <f t="shared" si="0"/>
        <v>100</v>
      </c>
    </row>
    <row r="38" spans="1:22" hidden="1" x14ac:dyDescent="0.25">
      <c r="A38" s="61" t="s">
        <v>180</v>
      </c>
      <c r="B38">
        <f>SUMIFS('Hours Log'!AD$2:AD$323,'Hours Log'!$A$2:$A$323,"="&amp;'Time Breakdown'!$A38,'Hours Log'!$C$2:$C$323,"="&amp;'Time Breakdown'!$A$1)</f>
        <v>0</v>
      </c>
      <c r="C38">
        <f>SUMIFS('Hours Log'!AE$2:AE$323,'Hours Log'!$A$2:$A$323,"="&amp;'Time Breakdown'!$A38,'Hours Log'!$C$2:$C$323,"="&amp;'Time Breakdown'!$A$1)</f>
        <v>0</v>
      </c>
      <c r="D38">
        <f>SUMIFS('Hours Log'!AF$2:AF$323,'Hours Log'!$A$2:$A$323,"="&amp;'Time Breakdown'!$A38,'Hours Log'!$C$2:$C$323,"="&amp;'Time Breakdown'!$A$1)</f>
        <v>0</v>
      </c>
      <c r="E38">
        <f>SUMIFS('Hours Log'!AG$2:AG$323,'Hours Log'!$A$2:$A$323,"="&amp;'Time Breakdown'!$A38,'Hours Log'!$C$2:$C$323,"="&amp;'Time Breakdown'!$A$1)</f>
        <v>0</v>
      </c>
      <c r="F38">
        <f>SUMIFS('Hours Log'!AH$2:AH$323,'Hours Log'!$A$2:$A$323,"="&amp;'Time Breakdown'!$A38,'Hours Log'!$C$2:$C$323,"="&amp;'Time Breakdown'!$A$1)</f>
        <v>0</v>
      </c>
      <c r="G38">
        <f>SUMIFS('Hours Log'!AI$2:AI$323,'Hours Log'!$A$2:$A$323,"="&amp;'Time Breakdown'!$A38,'Hours Log'!$C$2:$C$323,"="&amp;'Time Breakdown'!$A$1)</f>
        <v>0</v>
      </c>
      <c r="H38">
        <f>SUMIFS('Hours Log'!AJ$2:AJ$323,'Hours Log'!$A$2:$A$323,"="&amp;'Time Breakdown'!$A38,'Hours Log'!$C$2:$C$323,"="&amp;'Time Breakdown'!$A$1)</f>
        <v>0</v>
      </c>
      <c r="I38">
        <f>SUMIFS('Hours Log'!AK$2:AK$323,'Hours Log'!$A$2:$A$323,"="&amp;'Time Breakdown'!$A38,'Hours Log'!$C$2:$C$323,"="&amp;'Time Breakdown'!$A$1)</f>
        <v>93.42</v>
      </c>
      <c r="J38">
        <f>SUMIFS('Hours Log'!AL$2:AL$323,'Hours Log'!$A$2:$A$323,"="&amp;'Time Breakdown'!$A38,'Hours Log'!$C$2:$C$323,"="&amp;'Time Breakdown'!$A$1)</f>
        <v>0</v>
      </c>
      <c r="K38">
        <f>SUMIFS('Hours Log'!AM$2:AM$323,'Hours Log'!$A$2:$A$323,"="&amp;'Time Breakdown'!$A38,'Hours Log'!$C$2:$C$323,"="&amp;'Time Breakdown'!$A$1)</f>
        <v>0</v>
      </c>
      <c r="L38">
        <f>SUMIFS('Hours Log'!AN$2:AN$323,'Hours Log'!$A$2:$A$323,"="&amp;'Time Breakdown'!$A38,'Hours Log'!$C$2:$C$323,"="&amp;'Time Breakdown'!$A$1)</f>
        <v>0</v>
      </c>
      <c r="M38">
        <f>SUMIFS('Hours Log'!AO$2:AO$323,'Hours Log'!$A$2:$A$323,"="&amp;'Time Breakdown'!$A38,'Hours Log'!$C$2:$C$323,"="&amp;'Time Breakdown'!$A$1)</f>
        <v>0</v>
      </c>
      <c r="N38">
        <f>SUMIFS('Hours Log'!AP$2:AP$323,'Hours Log'!$A$2:$A$323,"="&amp;'Time Breakdown'!$A38,'Hours Log'!$C$2:$C$323,"="&amp;'Time Breakdown'!$A$1)</f>
        <v>0</v>
      </c>
      <c r="O38">
        <f>SUMIFS('Hours Log'!AQ$2:AQ$323,'Hours Log'!$A$2:$A$323,"="&amp;'Time Breakdown'!$A38,'Hours Log'!$C$2:$C$323,"="&amp;'Time Breakdown'!$A$1)</f>
        <v>0.85000000000000009</v>
      </c>
      <c r="P38">
        <f>SUMIFS('Hours Log'!AR$2:AR$323,'Hours Log'!$A$2:$A$323,"="&amp;'Time Breakdown'!$A38,'Hours Log'!$C$2:$C$323,"="&amp;'Time Breakdown'!$A$1)</f>
        <v>0</v>
      </c>
      <c r="Q38">
        <f>SUMIFS('Hours Log'!AS$2:AS$323,'Hours Log'!$A$2:$A$323,"="&amp;'Time Breakdown'!$A38,'Hours Log'!$C$2:$C$323,"="&amp;'Time Breakdown'!$A$1)</f>
        <v>0</v>
      </c>
      <c r="R38">
        <f>SUMIFS('Hours Log'!AT$2:AT$323,'Hours Log'!$A$2:$A$323,"="&amp;'Time Breakdown'!$A38,'Hours Log'!$C$2:$C$323,"="&amp;'Time Breakdown'!$A$1)</f>
        <v>0</v>
      </c>
      <c r="S38">
        <f>SUMIFS('Hours Log'!AU$2:AU$323,'Hours Log'!$A$2:$A$323,"="&amp;'Time Breakdown'!$A38,'Hours Log'!$C$2:$C$323,"="&amp;'Time Breakdown'!$A$1)</f>
        <v>0</v>
      </c>
      <c r="T38">
        <f>SUMIFS('Hours Log'!AV$2:AV$323,'Hours Log'!$A$2:$A$323,"="&amp;'Time Breakdown'!$A38,'Hours Log'!$C$2:$C$323,"="&amp;'Time Breakdown'!$A$1)</f>
        <v>0</v>
      </c>
      <c r="U38">
        <f>SUMIFS('Hours Log'!AW$2:AW$323,'Hours Log'!$A$2:$A$323,"="&amp;'Time Breakdown'!$A38,'Hours Log'!$C$2:$C$323,"="&amp;'Time Breakdown'!$A$1)</f>
        <v>5.73</v>
      </c>
      <c r="V38">
        <f t="shared" si="0"/>
        <v>100</v>
      </c>
    </row>
    <row r="39" spans="1:22" hidden="1" x14ac:dyDescent="0.25">
      <c r="A39" s="61" t="s">
        <v>181</v>
      </c>
      <c r="B39">
        <f>SUMIFS('Hours Log'!AD$2:AD$323,'Hours Log'!$A$2:$A$323,"="&amp;'Time Breakdown'!$A39,'Hours Log'!$C$2:$C$323,"="&amp;'Time Breakdown'!$A$1)</f>
        <v>0</v>
      </c>
      <c r="C39">
        <f>SUMIFS('Hours Log'!AE$2:AE$323,'Hours Log'!$A$2:$A$323,"="&amp;'Time Breakdown'!$A39,'Hours Log'!$C$2:$C$323,"="&amp;'Time Breakdown'!$A$1)</f>
        <v>0</v>
      </c>
      <c r="D39">
        <f>SUMIFS('Hours Log'!AF$2:AF$323,'Hours Log'!$A$2:$A$323,"="&amp;'Time Breakdown'!$A39,'Hours Log'!$C$2:$C$323,"="&amp;'Time Breakdown'!$A$1)</f>
        <v>0</v>
      </c>
      <c r="E39">
        <f>SUMIFS('Hours Log'!AG$2:AG$323,'Hours Log'!$A$2:$A$323,"="&amp;'Time Breakdown'!$A39,'Hours Log'!$C$2:$C$323,"="&amp;'Time Breakdown'!$A$1)</f>
        <v>0</v>
      </c>
      <c r="F39">
        <f>SUMIFS('Hours Log'!AH$2:AH$323,'Hours Log'!$A$2:$A$323,"="&amp;'Time Breakdown'!$A39,'Hours Log'!$C$2:$C$323,"="&amp;'Time Breakdown'!$A$1)</f>
        <v>0</v>
      </c>
      <c r="G39">
        <f>SUMIFS('Hours Log'!AI$2:AI$323,'Hours Log'!$A$2:$A$323,"="&amp;'Time Breakdown'!$A39,'Hours Log'!$C$2:$C$323,"="&amp;'Time Breakdown'!$A$1)</f>
        <v>0</v>
      </c>
      <c r="H39">
        <f>SUMIFS('Hours Log'!AJ$2:AJ$323,'Hours Log'!$A$2:$A$323,"="&amp;'Time Breakdown'!$A39,'Hours Log'!$C$2:$C$323,"="&amp;'Time Breakdown'!$A$1)</f>
        <v>0</v>
      </c>
      <c r="I39">
        <f>SUMIFS('Hours Log'!AK$2:AK$323,'Hours Log'!$A$2:$A$323,"="&amp;'Time Breakdown'!$A39,'Hours Log'!$C$2:$C$323,"="&amp;'Time Breakdown'!$A$1)</f>
        <v>100</v>
      </c>
      <c r="J39">
        <f>SUMIFS('Hours Log'!AL$2:AL$323,'Hours Log'!$A$2:$A$323,"="&amp;'Time Breakdown'!$A39,'Hours Log'!$C$2:$C$323,"="&amp;'Time Breakdown'!$A$1)</f>
        <v>0</v>
      </c>
      <c r="K39">
        <f>SUMIFS('Hours Log'!AM$2:AM$323,'Hours Log'!$A$2:$A$323,"="&amp;'Time Breakdown'!$A39,'Hours Log'!$C$2:$C$323,"="&amp;'Time Breakdown'!$A$1)</f>
        <v>0</v>
      </c>
      <c r="L39">
        <f>SUMIFS('Hours Log'!AN$2:AN$323,'Hours Log'!$A$2:$A$323,"="&amp;'Time Breakdown'!$A39,'Hours Log'!$C$2:$C$323,"="&amp;'Time Breakdown'!$A$1)</f>
        <v>0</v>
      </c>
      <c r="M39">
        <f>SUMIFS('Hours Log'!AO$2:AO$323,'Hours Log'!$A$2:$A$323,"="&amp;'Time Breakdown'!$A39,'Hours Log'!$C$2:$C$323,"="&amp;'Time Breakdown'!$A$1)</f>
        <v>0</v>
      </c>
      <c r="N39">
        <f>SUMIFS('Hours Log'!AP$2:AP$323,'Hours Log'!$A$2:$A$323,"="&amp;'Time Breakdown'!$A39,'Hours Log'!$C$2:$C$323,"="&amp;'Time Breakdown'!$A$1)</f>
        <v>0</v>
      </c>
      <c r="O39">
        <f>SUMIFS('Hours Log'!AQ$2:AQ$323,'Hours Log'!$A$2:$A$323,"="&amp;'Time Breakdown'!$A39,'Hours Log'!$C$2:$C$323,"="&amp;'Time Breakdown'!$A$1)</f>
        <v>0</v>
      </c>
      <c r="P39">
        <f>SUMIFS('Hours Log'!AR$2:AR$323,'Hours Log'!$A$2:$A$323,"="&amp;'Time Breakdown'!$A39,'Hours Log'!$C$2:$C$323,"="&amp;'Time Breakdown'!$A$1)</f>
        <v>0</v>
      </c>
      <c r="Q39">
        <f>SUMIFS('Hours Log'!AS$2:AS$323,'Hours Log'!$A$2:$A$323,"="&amp;'Time Breakdown'!$A39,'Hours Log'!$C$2:$C$323,"="&amp;'Time Breakdown'!$A$1)</f>
        <v>0</v>
      </c>
      <c r="R39">
        <f>SUMIFS('Hours Log'!AT$2:AT$323,'Hours Log'!$A$2:$A$323,"="&amp;'Time Breakdown'!$A39,'Hours Log'!$C$2:$C$323,"="&amp;'Time Breakdown'!$A$1)</f>
        <v>0</v>
      </c>
      <c r="S39">
        <f>SUMIFS('Hours Log'!AU$2:AU$323,'Hours Log'!$A$2:$A$323,"="&amp;'Time Breakdown'!$A39,'Hours Log'!$C$2:$C$323,"="&amp;'Time Breakdown'!$A$1)</f>
        <v>0</v>
      </c>
      <c r="T39">
        <f>SUMIFS('Hours Log'!AV$2:AV$323,'Hours Log'!$A$2:$A$323,"="&amp;'Time Breakdown'!$A39,'Hours Log'!$C$2:$C$323,"="&amp;'Time Breakdown'!$A$1)</f>
        <v>0</v>
      </c>
      <c r="U39">
        <f>SUMIFS('Hours Log'!AW$2:AW$323,'Hours Log'!$A$2:$A$323,"="&amp;'Time Breakdown'!$A39,'Hours Log'!$C$2:$C$323,"="&amp;'Time Breakdown'!$A$1)</f>
        <v>0</v>
      </c>
      <c r="V39">
        <f t="shared" si="0"/>
        <v>100</v>
      </c>
    </row>
    <row r="40" spans="1:22" hidden="1" x14ac:dyDescent="0.25">
      <c r="A40" s="61" t="s">
        <v>182</v>
      </c>
      <c r="B40">
        <f>SUMIFS('Hours Log'!AD$2:AD$323,'Hours Log'!$A$2:$A$323,"="&amp;'Time Breakdown'!$A40,'Hours Log'!$C$2:$C$323,"="&amp;'Time Breakdown'!$A$1)</f>
        <v>0</v>
      </c>
      <c r="C40">
        <f>SUMIFS('Hours Log'!AE$2:AE$323,'Hours Log'!$A$2:$A$323,"="&amp;'Time Breakdown'!$A40,'Hours Log'!$C$2:$C$323,"="&amp;'Time Breakdown'!$A$1)</f>
        <v>5.8399625643425361</v>
      </c>
      <c r="D40">
        <f>SUMIFS('Hours Log'!AF$2:AF$323,'Hours Log'!$A$2:$A$323,"="&amp;'Time Breakdown'!$A40,'Hours Log'!$C$2:$C$323,"="&amp;'Time Breakdown'!$A$1)</f>
        <v>0</v>
      </c>
      <c r="E40">
        <f>SUMIFS('Hours Log'!AG$2:AG$323,'Hours Log'!$A$2:$A$323,"="&amp;'Time Breakdown'!$A40,'Hours Log'!$C$2:$C$323,"="&amp;'Time Breakdown'!$A$1)</f>
        <v>0</v>
      </c>
      <c r="F40">
        <f>SUMIFS('Hours Log'!AH$2:AH$323,'Hours Log'!$A$2:$A$323,"="&amp;'Time Breakdown'!$A40,'Hours Log'!$C$2:$C$323,"="&amp;'Time Breakdown'!$A$1)</f>
        <v>0</v>
      </c>
      <c r="G40">
        <f>SUMIFS('Hours Log'!AI$2:AI$323,'Hours Log'!$A$2:$A$323,"="&amp;'Time Breakdown'!$A40,'Hours Log'!$C$2:$C$323,"="&amp;'Time Breakdown'!$A$1)</f>
        <v>0</v>
      </c>
      <c r="H40">
        <f>SUMIFS('Hours Log'!AJ$2:AJ$323,'Hours Log'!$A$2:$A$323,"="&amp;'Time Breakdown'!$A40,'Hours Log'!$C$2:$C$323,"="&amp;'Time Breakdown'!$A$1)</f>
        <v>0</v>
      </c>
      <c r="I40">
        <f>SUMIFS('Hours Log'!AK$2:AK$323,'Hours Log'!$A$2:$A$323,"="&amp;'Time Breakdown'!$A40,'Hours Log'!$C$2:$C$323,"="&amp;'Time Breakdown'!$A$1)</f>
        <v>481.31024801123067</v>
      </c>
      <c r="J40">
        <f>SUMIFS('Hours Log'!AL$2:AL$323,'Hours Log'!$A$2:$A$323,"="&amp;'Time Breakdown'!$A40,'Hours Log'!$C$2:$C$323,"="&amp;'Time Breakdown'!$A$1)</f>
        <v>0</v>
      </c>
      <c r="K40">
        <f>SUMIFS('Hours Log'!AM$2:AM$323,'Hours Log'!$A$2:$A$323,"="&amp;'Time Breakdown'!$A40,'Hours Log'!$C$2:$C$323,"="&amp;'Time Breakdown'!$A$1)</f>
        <v>588.86289190453908</v>
      </c>
      <c r="L40">
        <f>SUMIFS('Hours Log'!AN$2:AN$323,'Hours Log'!$A$2:$A$323,"="&amp;'Time Breakdown'!$A40,'Hours Log'!$C$2:$C$323,"="&amp;'Time Breakdown'!$A$1)</f>
        <v>0</v>
      </c>
      <c r="M40">
        <f>SUMIFS('Hours Log'!AO$2:AO$323,'Hours Log'!$A$2:$A$323,"="&amp;'Time Breakdown'!$A40,'Hours Log'!$C$2:$C$323,"="&amp;'Time Breakdown'!$A$1)</f>
        <v>0</v>
      </c>
      <c r="N40">
        <f>SUMIFS('Hours Log'!AP$2:AP$323,'Hours Log'!$A$2:$A$323,"="&amp;'Time Breakdown'!$A40,'Hours Log'!$C$2:$C$323,"="&amp;'Time Breakdown'!$A$1)</f>
        <v>0</v>
      </c>
      <c r="O40">
        <f>SUMIFS('Hours Log'!AQ$2:AQ$323,'Hours Log'!$A$2:$A$323,"="&amp;'Time Breakdown'!$A40,'Hours Log'!$C$2:$C$323,"="&amp;'Time Breakdown'!$A$1)</f>
        <v>25.306504445484325</v>
      </c>
      <c r="P40">
        <f>SUMIFS('Hours Log'!AR$2:AR$323,'Hours Log'!$A$2:$A$323,"="&amp;'Time Breakdown'!$A40,'Hours Log'!$C$2:$C$323,"="&amp;'Time Breakdown'!$A$1)</f>
        <v>0</v>
      </c>
      <c r="Q40">
        <f>SUMIFS('Hours Log'!AS$2:AS$323,'Hours Log'!$A$2:$A$323,"="&amp;'Time Breakdown'!$A40,'Hours Log'!$C$2:$C$323,"="&amp;'Time Breakdown'!$A$1)</f>
        <v>0</v>
      </c>
      <c r="R40">
        <f>SUMIFS('Hours Log'!AT$2:AT$323,'Hours Log'!$A$2:$A$323,"="&amp;'Time Breakdown'!$A40,'Hours Log'!$C$2:$C$323,"="&amp;'Time Breakdown'!$A$1)</f>
        <v>0</v>
      </c>
      <c r="S40">
        <f>SUMIFS('Hours Log'!AU$2:AU$323,'Hours Log'!$A$2:$A$323,"="&amp;'Time Breakdown'!$A40,'Hours Log'!$C$2:$C$323,"="&amp;'Time Breakdown'!$A$1)</f>
        <v>0</v>
      </c>
      <c r="T40">
        <f>SUMIFS('Hours Log'!AV$2:AV$323,'Hours Log'!$A$2:$A$323,"="&amp;'Time Breakdown'!$A40,'Hours Log'!$C$2:$C$323,"="&amp;'Time Breakdown'!$A$1)</f>
        <v>0</v>
      </c>
      <c r="U40">
        <f>SUMIFS('Hours Log'!AW$2:AW$323,'Hours Log'!$A$2:$A$323,"="&amp;'Time Breakdown'!$A40,'Hours Log'!$C$2:$C$323,"="&amp;'Time Breakdown'!$A$1)</f>
        <v>978.68039307440336</v>
      </c>
      <c r="V40">
        <f t="shared" si="0"/>
        <v>2080</v>
      </c>
    </row>
    <row r="41" spans="1:22" hidden="1" x14ac:dyDescent="0.25">
      <c r="A41" s="61" t="s">
        <v>183</v>
      </c>
      <c r="B41">
        <f>SUMIFS('Hours Log'!AD$2:AD$323,'Hours Log'!$A$2:$A$323,"="&amp;'Time Breakdown'!$A41,'Hours Log'!$C$2:$C$323,"="&amp;'Time Breakdown'!$A$1)</f>
        <v>0</v>
      </c>
      <c r="C41">
        <f>SUMIFS('Hours Log'!AE$2:AE$323,'Hours Log'!$A$2:$A$323,"="&amp;'Time Breakdown'!$A41,'Hours Log'!$C$2:$C$323,"="&amp;'Time Breakdown'!$A$1)</f>
        <v>0</v>
      </c>
      <c r="D41">
        <f>SUMIFS('Hours Log'!AF$2:AF$323,'Hours Log'!$A$2:$A$323,"="&amp;'Time Breakdown'!$A41,'Hours Log'!$C$2:$C$323,"="&amp;'Time Breakdown'!$A$1)</f>
        <v>0</v>
      </c>
      <c r="E41">
        <f>SUMIFS('Hours Log'!AG$2:AG$323,'Hours Log'!$A$2:$A$323,"="&amp;'Time Breakdown'!$A41,'Hours Log'!$C$2:$C$323,"="&amp;'Time Breakdown'!$A$1)</f>
        <v>0</v>
      </c>
      <c r="F41">
        <f>SUMIFS('Hours Log'!AH$2:AH$323,'Hours Log'!$A$2:$A$323,"="&amp;'Time Breakdown'!$A41,'Hours Log'!$C$2:$C$323,"="&amp;'Time Breakdown'!$A$1)</f>
        <v>0</v>
      </c>
      <c r="G41">
        <f>SUMIFS('Hours Log'!AI$2:AI$323,'Hours Log'!$A$2:$A$323,"="&amp;'Time Breakdown'!$A41,'Hours Log'!$C$2:$C$323,"="&amp;'Time Breakdown'!$A$1)</f>
        <v>0</v>
      </c>
      <c r="H41">
        <f>SUMIFS('Hours Log'!AJ$2:AJ$323,'Hours Log'!$A$2:$A$323,"="&amp;'Time Breakdown'!$A41,'Hours Log'!$C$2:$C$323,"="&amp;'Time Breakdown'!$A$1)</f>
        <v>0</v>
      </c>
      <c r="I41">
        <f>SUMIFS('Hours Log'!AK$2:AK$323,'Hours Log'!$A$2:$A$323,"="&amp;'Time Breakdown'!$A41,'Hours Log'!$C$2:$C$323,"="&amp;'Time Breakdown'!$A$1)</f>
        <v>1.26</v>
      </c>
      <c r="J41">
        <f>SUMIFS('Hours Log'!AL$2:AL$323,'Hours Log'!$A$2:$A$323,"="&amp;'Time Breakdown'!$A41,'Hours Log'!$C$2:$C$323,"="&amp;'Time Breakdown'!$A$1)</f>
        <v>0</v>
      </c>
      <c r="K41">
        <f>SUMIFS('Hours Log'!AM$2:AM$323,'Hours Log'!$A$2:$A$323,"="&amp;'Time Breakdown'!$A41,'Hours Log'!$C$2:$C$323,"="&amp;'Time Breakdown'!$A$1)</f>
        <v>0</v>
      </c>
      <c r="L41">
        <f>SUMIFS('Hours Log'!AN$2:AN$323,'Hours Log'!$A$2:$A$323,"="&amp;'Time Breakdown'!$A41,'Hours Log'!$C$2:$C$323,"="&amp;'Time Breakdown'!$A$1)</f>
        <v>0</v>
      </c>
      <c r="M41">
        <f>SUMIFS('Hours Log'!AO$2:AO$323,'Hours Log'!$A$2:$A$323,"="&amp;'Time Breakdown'!$A41,'Hours Log'!$C$2:$C$323,"="&amp;'Time Breakdown'!$A$1)</f>
        <v>0</v>
      </c>
      <c r="N41">
        <f>SUMIFS('Hours Log'!AP$2:AP$323,'Hours Log'!$A$2:$A$323,"="&amp;'Time Breakdown'!$A41,'Hours Log'!$C$2:$C$323,"="&amp;'Time Breakdown'!$A$1)</f>
        <v>0</v>
      </c>
      <c r="O41">
        <f>SUMIFS('Hours Log'!AQ$2:AQ$323,'Hours Log'!$A$2:$A$323,"="&amp;'Time Breakdown'!$A41,'Hours Log'!$C$2:$C$323,"="&amp;'Time Breakdown'!$A$1)</f>
        <v>0</v>
      </c>
      <c r="P41">
        <f>SUMIFS('Hours Log'!AR$2:AR$323,'Hours Log'!$A$2:$A$323,"="&amp;'Time Breakdown'!$A41,'Hours Log'!$C$2:$C$323,"="&amp;'Time Breakdown'!$A$1)</f>
        <v>0</v>
      </c>
      <c r="Q41">
        <f>SUMIFS('Hours Log'!AS$2:AS$323,'Hours Log'!$A$2:$A$323,"="&amp;'Time Breakdown'!$A41,'Hours Log'!$C$2:$C$323,"="&amp;'Time Breakdown'!$A$1)</f>
        <v>0</v>
      </c>
      <c r="R41">
        <f>SUMIFS('Hours Log'!AT$2:AT$323,'Hours Log'!$A$2:$A$323,"="&amp;'Time Breakdown'!$A41,'Hours Log'!$C$2:$C$323,"="&amp;'Time Breakdown'!$A$1)</f>
        <v>0</v>
      </c>
      <c r="S41">
        <f>SUMIFS('Hours Log'!AU$2:AU$323,'Hours Log'!$A$2:$A$323,"="&amp;'Time Breakdown'!$A41,'Hours Log'!$C$2:$C$323,"="&amp;'Time Breakdown'!$A$1)</f>
        <v>0</v>
      </c>
      <c r="T41">
        <f>SUMIFS('Hours Log'!AV$2:AV$323,'Hours Log'!$A$2:$A$323,"="&amp;'Time Breakdown'!$A41,'Hours Log'!$C$2:$C$323,"="&amp;'Time Breakdown'!$A$1)</f>
        <v>0</v>
      </c>
      <c r="U41">
        <f>SUMIFS('Hours Log'!AW$2:AW$323,'Hours Log'!$A$2:$A$323,"="&amp;'Time Breakdown'!$A41,'Hours Log'!$C$2:$C$323,"="&amp;'Time Breakdown'!$A$1)</f>
        <v>98.74</v>
      </c>
      <c r="V41">
        <f t="shared" si="0"/>
        <v>100</v>
      </c>
    </row>
    <row r="42" spans="1:22" hidden="1" x14ac:dyDescent="0.25">
      <c r="A42" s="61" t="s">
        <v>58</v>
      </c>
      <c r="B42">
        <f>SUMIFS('Hours Log'!AD$2:AD$323,'Hours Log'!$A$2:$A$323,"="&amp;'Time Breakdown'!$A42,'Hours Log'!$C$2:$C$323,"="&amp;'Time Breakdown'!$A$1)</f>
        <v>0</v>
      </c>
      <c r="C42">
        <f>SUMIFS('Hours Log'!AE$2:AE$323,'Hours Log'!$A$2:$A$323,"="&amp;'Time Breakdown'!$A42,'Hours Log'!$C$2:$C$323,"="&amp;'Time Breakdown'!$A$1)</f>
        <v>144.00424800803128</v>
      </c>
      <c r="D42">
        <f>SUMIFS('Hours Log'!AF$2:AF$323,'Hours Log'!$A$2:$A$323,"="&amp;'Time Breakdown'!$A42,'Hours Log'!$C$2:$C$323,"="&amp;'Time Breakdown'!$A$1)</f>
        <v>0</v>
      </c>
      <c r="E42">
        <f>SUMIFS('Hours Log'!AG$2:AG$323,'Hours Log'!$A$2:$A$323,"="&amp;'Time Breakdown'!$A42,'Hours Log'!$C$2:$C$323,"="&amp;'Time Breakdown'!$A$1)</f>
        <v>0</v>
      </c>
      <c r="F42">
        <f>SUMIFS('Hours Log'!AH$2:AH$323,'Hours Log'!$A$2:$A$323,"="&amp;'Time Breakdown'!$A42,'Hours Log'!$C$2:$C$323,"="&amp;'Time Breakdown'!$A$1)</f>
        <v>0</v>
      </c>
      <c r="G42">
        <f>SUMIFS('Hours Log'!AI$2:AI$323,'Hours Log'!$A$2:$A$323,"="&amp;'Time Breakdown'!$A42,'Hours Log'!$C$2:$C$323,"="&amp;'Time Breakdown'!$A$1)</f>
        <v>0</v>
      </c>
      <c r="H42">
        <f>SUMIFS('Hours Log'!AJ$2:AJ$323,'Hours Log'!$A$2:$A$323,"="&amp;'Time Breakdown'!$A42,'Hours Log'!$C$2:$C$323,"="&amp;'Time Breakdown'!$A$1)</f>
        <v>32.944943500509339</v>
      </c>
      <c r="I42">
        <f>SUMIFS('Hours Log'!AK$2:AK$323,'Hours Log'!$A$2:$A$323,"="&amp;'Time Breakdown'!$A42,'Hours Log'!$C$2:$C$323,"="&amp;'Time Breakdown'!$A$1)</f>
        <v>912.23029988138455</v>
      </c>
      <c r="J42">
        <f>SUMIFS('Hours Log'!AL$2:AL$323,'Hours Log'!$A$2:$A$323,"="&amp;'Time Breakdown'!$A42,'Hours Log'!$C$2:$C$323,"="&amp;'Time Breakdown'!$A$1)</f>
        <v>212.57937630886192</v>
      </c>
      <c r="K42">
        <f>SUMIFS('Hours Log'!AM$2:AM$323,'Hours Log'!$A$2:$A$323,"="&amp;'Time Breakdown'!$A42,'Hours Log'!$C$2:$C$323,"="&amp;'Time Breakdown'!$A$1)</f>
        <v>387.99806431596636</v>
      </c>
      <c r="L42">
        <f>SUMIFS('Hours Log'!AN$2:AN$323,'Hours Log'!$A$2:$A$323,"="&amp;'Time Breakdown'!$A42,'Hours Log'!$C$2:$C$323,"="&amp;'Time Breakdown'!$A$1)</f>
        <v>0</v>
      </c>
      <c r="M42">
        <f>SUMIFS('Hours Log'!AO$2:AO$323,'Hours Log'!$A$2:$A$323,"="&amp;'Time Breakdown'!$A42,'Hours Log'!$C$2:$C$323,"="&amp;'Time Breakdown'!$A$1)</f>
        <v>0</v>
      </c>
      <c r="N42">
        <f>SUMIFS('Hours Log'!AP$2:AP$323,'Hours Log'!$A$2:$A$323,"="&amp;'Time Breakdown'!$A42,'Hours Log'!$C$2:$C$323,"="&amp;'Time Breakdown'!$A$1)</f>
        <v>48.207096105749336</v>
      </c>
      <c r="O42">
        <f>SUMIFS('Hours Log'!AQ$2:AQ$323,'Hours Log'!$A$2:$A$323,"="&amp;'Time Breakdown'!$A42,'Hours Log'!$C$2:$C$323,"="&amp;'Time Breakdown'!$A$1)</f>
        <v>43.435403648581087</v>
      </c>
      <c r="P42">
        <f>SUMIFS('Hours Log'!AR$2:AR$323,'Hours Log'!$A$2:$A$323,"="&amp;'Time Breakdown'!$A42,'Hours Log'!$C$2:$C$323,"="&amp;'Time Breakdown'!$A$1)</f>
        <v>0</v>
      </c>
      <c r="Q42">
        <f>SUMIFS('Hours Log'!AS$2:AS$323,'Hours Log'!$A$2:$A$323,"="&amp;'Time Breakdown'!$A42,'Hours Log'!$C$2:$C$323,"="&amp;'Time Breakdown'!$A$1)</f>
        <v>151.16187533521691</v>
      </c>
      <c r="R42">
        <f>SUMIFS('Hours Log'!AT$2:AT$323,'Hours Log'!$A$2:$A$323,"="&amp;'Time Breakdown'!$A42,'Hours Log'!$C$2:$C$323,"="&amp;'Time Breakdown'!$A$1)</f>
        <v>0</v>
      </c>
      <c r="S42">
        <f>SUMIFS('Hours Log'!AU$2:AU$323,'Hours Log'!$A$2:$A$323,"="&amp;'Time Breakdown'!$A42,'Hours Log'!$C$2:$C$323,"="&amp;'Time Breakdown'!$A$1)</f>
        <v>0</v>
      </c>
      <c r="T42">
        <f>SUMIFS('Hours Log'!AV$2:AV$323,'Hours Log'!$A$2:$A$323,"="&amp;'Time Breakdown'!$A42,'Hours Log'!$C$2:$C$323,"="&amp;'Time Breakdown'!$A$1)</f>
        <v>0</v>
      </c>
      <c r="U42">
        <f>SUMIFS('Hours Log'!AW$2:AW$323,'Hours Log'!$A$2:$A$323,"="&amp;'Time Breakdown'!$A42,'Hours Log'!$C$2:$C$323,"="&amp;'Time Breakdown'!$A$1)</f>
        <v>155.43869289569901</v>
      </c>
      <c r="V42">
        <f t="shared" si="0"/>
        <v>2088</v>
      </c>
    </row>
    <row r="43" spans="1:22" hidden="1" x14ac:dyDescent="0.25">
      <c r="A43" s="61" t="s">
        <v>184</v>
      </c>
      <c r="B43">
        <f>SUMIFS('Hours Log'!AD$2:AD$323,'Hours Log'!$A$2:$A$323,"="&amp;'Time Breakdown'!$A43,'Hours Log'!$C$2:$C$323,"="&amp;'Time Breakdown'!$A$1)</f>
        <v>0</v>
      </c>
      <c r="C43">
        <f>SUMIFS('Hours Log'!AE$2:AE$323,'Hours Log'!$A$2:$A$323,"="&amp;'Time Breakdown'!$A43,'Hours Log'!$C$2:$C$323,"="&amp;'Time Breakdown'!$A$1)</f>
        <v>0</v>
      </c>
      <c r="D43">
        <f>SUMIFS('Hours Log'!AF$2:AF$323,'Hours Log'!$A$2:$A$323,"="&amp;'Time Breakdown'!$A43,'Hours Log'!$C$2:$C$323,"="&amp;'Time Breakdown'!$A$1)</f>
        <v>0</v>
      </c>
      <c r="E43">
        <f>SUMIFS('Hours Log'!AG$2:AG$323,'Hours Log'!$A$2:$A$323,"="&amp;'Time Breakdown'!$A43,'Hours Log'!$C$2:$C$323,"="&amp;'Time Breakdown'!$A$1)</f>
        <v>0</v>
      </c>
      <c r="F43">
        <f>SUMIFS('Hours Log'!AH$2:AH$323,'Hours Log'!$A$2:$A$323,"="&amp;'Time Breakdown'!$A43,'Hours Log'!$C$2:$C$323,"="&amp;'Time Breakdown'!$A$1)</f>
        <v>0</v>
      </c>
      <c r="G43">
        <f>SUMIFS('Hours Log'!AI$2:AI$323,'Hours Log'!$A$2:$A$323,"="&amp;'Time Breakdown'!$A43,'Hours Log'!$C$2:$C$323,"="&amp;'Time Breakdown'!$A$1)</f>
        <v>0</v>
      </c>
      <c r="H43">
        <f>SUMIFS('Hours Log'!AJ$2:AJ$323,'Hours Log'!$A$2:$A$323,"="&amp;'Time Breakdown'!$A43,'Hours Log'!$C$2:$C$323,"="&amp;'Time Breakdown'!$A$1)</f>
        <v>0</v>
      </c>
      <c r="I43">
        <f>SUMIFS('Hours Log'!AK$2:AK$323,'Hours Log'!$A$2:$A$323,"="&amp;'Time Breakdown'!$A43,'Hours Log'!$C$2:$C$323,"="&amp;'Time Breakdown'!$A$1)</f>
        <v>100</v>
      </c>
      <c r="J43">
        <f>SUMIFS('Hours Log'!AL$2:AL$323,'Hours Log'!$A$2:$A$323,"="&amp;'Time Breakdown'!$A43,'Hours Log'!$C$2:$C$323,"="&amp;'Time Breakdown'!$A$1)</f>
        <v>0</v>
      </c>
      <c r="K43">
        <f>SUMIFS('Hours Log'!AM$2:AM$323,'Hours Log'!$A$2:$A$323,"="&amp;'Time Breakdown'!$A43,'Hours Log'!$C$2:$C$323,"="&amp;'Time Breakdown'!$A$1)</f>
        <v>0</v>
      </c>
      <c r="L43">
        <f>SUMIFS('Hours Log'!AN$2:AN$323,'Hours Log'!$A$2:$A$323,"="&amp;'Time Breakdown'!$A43,'Hours Log'!$C$2:$C$323,"="&amp;'Time Breakdown'!$A$1)</f>
        <v>0</v>
      </c>
      <c r="M43">
        <f>SUMIFS('Hours Log'!AO$2:AO$323,'Hours Log'!$A$2:$A$323,"="&amp;'Time Breakdown'!$A43,'Hours Log'!$C$2:$C$323,"="&amp;'Time Breakdown'!$A$1)</f>
        <v>0</v>
      </c>
      <c r="N43">
        <f>SUMIFS('Hours Log'!AP$2:AP$323,'Hours Log'!$A$2:$A$323,"="&amp;'Time Breakdown'!$A43,'Hours Log'!$C$2:$C$323,"="&amp;'Time Breakdown'!$A$1)</f>
        <v>0</v>
      </c>
      <c r="O43">
        <f>SUMIFS('Hours Log'!AQ$2:AQ$323,'Hours Log'!$A$2:$A$323,"="&amp;'Time Breakdown'!$A43,'Hours Log'!$C$2:$C$323,"="&amp;'Time Breakdown'!$A$1)</f>
        <v>0</v>
      </c>
      <c r="P43">
        <f>SUMIFS('Hours Log'!AR$2:AR$323,'Hours Log'!$A$2:$A$323,"="&amp;'Time Breakdown'!$A43,'Hours Log'!$C$2:$C$323,"="&amp;'Time Breakdown'!$A$1)</f>
        <v>0</v>
      </c>
      <c r="Q43">
        <f>SUMIFS('Hours Log'!AS$2:AS$323,'Hours Log'!$A$2:$A$323,"="&amp;'Time Breakdown'!$A43,'Hours Log'!$C$2:$C$323,"="&amp;'Time Breakdown'!$A$1)</f>
        <v>0</v>
      </c>
      <c r="R43">
        <f>SUMIFS('Hours Log'!AT$2:AT$323,'Hours Log'!$A$2:$A$323,"="&amp;'Time Breakdown'!$A43,'Hours Log'!$C$2:$C$323,"="&amp;'Time Breakdown'!$A$1)</f>
        <v>0</v>
      </c>
      <c r="S43">
        <f>SUMIFS('Hours Log'!AU$2:AU$323,'Hours Log'!$A$2:$A$323,"="&amp;'Time Breakdown'!$A43,'Hours Log'!$C$2:$C$323,"="&amp;'Time Breakdown'!$A$1)</f>
        <v>0</v>
      </c>
      <c r="T43">
        <f>SUMIFS('Hours Log'!AV$2:AV$323,'Hours Log'!$A$2:$A$323,"="&amp;'Time Breakdown'!$A43,'Hours Log'!$C$2:$C$323,"="&amp;'Time Breakdown'!$A$1)</f>
        <v>0</v>
      </c>
      <c r="U43">
        <f>SUMIFS('Hours Log'!AW$2:AW$323,'Hours Log'!$A$2:$A$323,"="&amp;'Time Breakdown'!$A43,'Hours Log'!$C$2:$C$323,"="&amp;'Time Breakdown'!$A$1)</f>
        <v>0</v>
      </c>
      <c r="V43">
        <f t="shared" si="0"/>
        <v>100</v>
      </c>
    </row>
    <row r="44" spans="1:22" hidden="1" x14ac:dyDescent="0.25">
      <c r="A44" s="61" t="s">
        <v>185</v>
      </c>
      <c r="B44">
        <f>SUMIFS('Hours Log'!AD$2:AD$323,'Hours Log'!$A$2:$A$323,"="&amp;'Time Breakdown'!$A44,'Hours Log'!$C$2:$C$323,"="&amp;'Time Breakdown'!$A$1)</f>
        <v>0</v>
      </c>
      <c r="C44">
        <f>SUMIFS('Hours Log'!AE$2:AE$323,'Hours Log'!$A$2:$A$323,"="&amp;'Time Breakdown'!$A44,'Hours Log'!$C$2:$C$323,"="&amp;'Time Breakdown'!$A$1)</f>
        <v>0</v>
      </c>
      <c r="D44">
        <f>SUMIFS('Hours Log'!AF$2:AF$323,'Hours Log'!$A$2:$A$323,"="&amp;'Time Breakdown'!$A44,'Hours Log'!$C$2:$C$323,"="&amp;'Time Breakdown'!$A$1)</f>
        <v>0</v>
      </c>
      <c r="E44">
        <f>SUMIFS('Hours Log'!AG$2:AG$323,'Hours Log'!$A$2:$A$323,"="&amp;'Time Breakdown'!$A44,'Hours Log'!$C$2:$C$323,"="&amp;'Time Breakdown'!$A$1)</f>
        <v>0</v>
      </c>
      <c r="F44">
        <f>SUMIFS('Hours Log'!AH$2:AH$323,'Hours Log'!$A$2:$A$323,"="&amp;'Time Breakdown'!$A44,'Hours Log'!$C$2:$C$323,"="&amp;'Time Breakdown'!$A$1)</f>
        <v>0</v>
      </c>
      <c r="G44">
        <f>SUMIFS('Hours Log'!AI$2:AI$323,'Hours Log'!$A$2:$A$323,"="&amp;'Time Breakdown'!$A44,'Hours Log'!$C$2:$C$323,"="&amp;'Time Breakdown'!$A$1)</f>
        <v>0</v>
      </c>
      <c r="H44">
        <f>SUMIFS('Hours Log'!AJ$2:AJ$323,'Hours Log'!$A$2:$A$323,"="&amp;'Time Breakdown'!$A44,'Hours Log'!$C$2:$C$323,"="&amp;'Time Breakdown'!$A$1)</f>
        <v>0</v>
      </c>
      <c r="I44">
        <f>SUMIFS('Hours Log'!AK$2:AK$323,'Hours Log'!$A$2:$A$323,"="&amp;'Time Breakdown'!$A44,'Hours Log'!$C$2:$C$323,"="&amp;'Time Breakdown'!$A$1)</f>
        <v>100</v>
      </c>
      <c r="J44">
        <f>SUMIFS('Hours Log'!AL$2:AL$323,'Hours Log'!$A$2:$A$323,"="&amp;'Time Breakdown'!$A44,'Hours Log'!$C$2:$C$323,"="&amp;'Time Breakdown'!$A$1)</f>
        <v>0</v>
      </c>
      <c r="K44">
        <f>SUMIFS('Hours Log'!AM$2:AM$323,'Hours Log'!$A$2:$A$323,"="&amp;'Time Breakdown'!$A44,'Hours Log'!$C$2:$C$323,"="&amp;'Time Breakdown'!$A$1)</f>
        <v>0</v>
      </c>
      <c r="L44">
        <f>SUMIFS('Hours Log'!AN$2:AN$323,'Hours Log'!$A$2:$A$323,"="&amp;'Time Breakdown'!$A44,'Hours Log'!$C$2:$C$323,"="&amp;'Time Breakdown'!$A$1)</f>
        <v>0</v>
      </c>
      <c r="M44">
        <f>SUMIFS('Hours Log'!AO$2:AO$323,'Hours Log'!$A$2:$A$323,"="&amp;'Time Breakdown'!$A44,'Hours Log'!$C$2:$C$323,"="&amp;'Time Breakdown'!$A$1)</f>
        <v>0</v>
      </c>
      <c r="N44">
        <f>SUMIFS('Hours Log'!AP$2:AP$323,'Hours Log'!$A$2:$A$323,"="&amp;'Time Breakdown'!$A44,'Hours Log'!$C$2:$C$323,"="&amp;'Time Breakdown'!$A$1)</f>
        <v>0</v>
      </c>
      <c r="O44">
        <f>SUMIFS('Hours Log'!AQ$2:AQ$323,'Hours Log'!$A$2:$A$323,"="&amp;'Time Breakdown'!$A44,'Hours Log'!$C$2:$C$323,"="&amp;'Time Breakdown'!$A$1)</f>
        <v>0</v>
      </c>
      <c r="P44">
        <f>SUMIFS('Hours Log'!AR$2:AR$323,'Hours Log'!$A$2:$A$323,"="&amp;'Time Breakdown'!$A44,'Hours Log'!$C$2:$C$323,"="&amp;'Time Breakdown'!$A$1)</f>
        <v>0</v>
      </c>
      <c r="Q44">
        <f>SUMIFS('Hours Log'!AS$2:AS$323,'Hours Log'!$A$2:$A$323,"="&amp;'Time Breakdown'!$A44,'Hours Log'!$C$2:$C$323,"="&amp;'Time Breakdown'!$A$1)</f>
        <v>0</v>
      </c>
      <c r="R44">
        <f>SUMIFS('Hours Log'!AT$2:AT$323,'Hours Log'!$A$2:$A$323,"="&amp;'Time Breakdown'!$A44,'Hours Log'!$C$2:$C$323,"="&amp;'Time Breakdown'!$A$1)</f>
        <v>0</v>
      </c>
      <c r="S44">
        <f>SUMIFS('Hours Log'!AU$2:AU$323,'Hours Log'!$A$2:$A$323,"="&amp;'Time Breakdown'!$A44,'Hours Log'!$C$2:$C$323,"="&amp;'Time Breakdown'!$A$1)</f>
        <v>0</v>
      </c>
      <c r="T44">
        <f>SUMIFS('Hours Log'!AV$2:AV$323,'Hours Log'!$A$2:$A$323,"="&amp;'Time Breakdown'!$A44,'Hours Log'!$C$2:$C$323,"="&amp;'Time Breakdown'!$A$1)</f>
        <v>0</v>
      </c>
      <c r="U44">
        <f>SUMIFS('Hours Log'!AW$2:AW$323,'Hours Log'!$A$2:$A$323,"="&amp;'Time Breakdown'!$A44,'Hours Log'!$C$2:$C$323,"="&amp;'Time Breakdown'!$A$1)</f>
        <v>0</v>
      </c>
      <c r="V44">
        <f t="shared" si="0"/>
        <v>100</v>
      </c>
    </row>
    <row r="45" spans="1:22" hidden="1" x14ac:dyDescent="0.25">
      <c r="A45" s="61" t="s">
        <v>186</v>
      </c>
      <c r="B45">
        <f>SUMIFS('Hours Log'!AD$2:AD$323,'Hours Log'!$A$2:$A$323,"="&amp;'Time Breakdown'!$A45,'Hours Log'!$C$2:$C$323,"="&amp;'Time Breakdown'!$A$1)</f>
        <v>0</v>
      </c>
      <c r="C45">
        <f>SUMIFS('Hours Log'!AE$2:AE$323,'Hours Log'!$A$2:$A$323,"="&amp;'Time Breakdown'!$A45,'Hours Log'!$C$2:$C$323,"="&amp;'Time Breakdown'!$A$1)</f>
        <v>0</v>
      </c>
      <c r="D45">
        <f>SUMIFS('Hours Log'!AF$2:AF$323,'Hours Log'!$A$2:$A$323,"="&amp;'Time Breakdown'!$A45,'Hours Log'!$C$2:$C$323,"="&amp;'Time Breakdown'!$A$1)</f>
        <v>0</v>
      </c>
      <c r="E45">
        <f>SUMIFS('Hours Log'!AG$2:AG$323,'Hours Log'!$A$2:$A$323,"="&amp;'Time Breakdown'!$A45,'Hours Log'!$C$2:$C$323,"="&amp;'Time Breakdown'!$A$1)</f>
        <v>0</v>
      </c>
      <c r="F45">
        <f>SUMIFS('Hours Log'!AH$2:AH$323,'Hours Log'!$A$2:$A$323,"="&amp;'Time Breakdown'!$A45,'Hours Log'!$C$2:$C$323,"="&amp;'Time Breakdown'!$A$1)</f>
        <v>0</v>
      </c>
      <c r="G45">
        <f>SUMIFS('Hours Log'!AI$2:AI$323,'Hours Log'!$A$2:$A$323,"="&amp;'Time Breakdown'!$A45,'Hours Log'!$C$2:$C$323,"="&amp;'Time Breakdown'!$A$1)</f>
        <v>0</v>
      </c>
      <c r="H45">
        <f>SUMIFS('Hours Log'!AJ$2:AJ$323,'Hours Log'!$A$2:$A$323,"="&amp;'Time Breakdown'!$A45,'Hours Log'!$C$2:$C$323,"="&amp;'Time Breakdown'!$A$1)</f>
        <v>0</v>
      </c>
      <c r="I45">
        <f>SUMIFS('Hours Log'!AK$2:AK$323,'Hours Log'!$A$2:$A$323,"="&amp;'Time Breakdown'!$A45,'Hours Log'!$C$2:$C$323,"="&amp;'Time Breakdown'!$A$1)</f>
        <v>100</v>
      </c>
      <c r="J45">
        <f>SUMIFS('Hours Log'!AL$2:AL$323,'Hours Log'!$A$2:$A$323,"="&amp;'Time Breakdown'!$A45,'Hours Log'!$C$2:$C$323,"="&amp;'Time Breakdown'!$A$1)</f>
        <v>0</v>
      </c>
      <c r="K45">
        <f>SUMIFS('Hours Log'!AM$2:AM$323,'Hours Log'!$A$2:$A$323,"="&amp;'Time Breakdown'!$A45,'Hours Log'!$C$2:$C$323,"="&amp;'Time Breakdown'!$A$1)</f>
        <v>0</v>
      </c>
      <c r="L45">
        <f>SUMIFS('Hours Log'!AN$2:AN$323,'Hours Log'!$A$2:$A$323,"="&amp;'Time Breakdown'!$A45,'Hours Log'!$C$2:$C$323,"="&amp;'Time Breakdown'!$A$1)</f>
        <v>0</v>
      </c>
      <c r="M45">
        <f>SUMIFS('Hours Log'!AO$2:AO$323,'Hours Log'!$A$2:$A$323,"="&amp;'Time Breakdown'!$A45,'Hours Log'!$C$2:$C$323,"="&amp;'Time Breakdown'!$A$1)</f>
        <v>0</v>
      </c>
      <c r="N45">
        <f>SUMIFS('Hours Log'!AP$2:AP$323,'Hours Log'!$A$2:$A$323,"="&amp;'Time Breakdown'!$A45,'Hours Log'!$C$2:$C$323,"="&amp;'Time Breakdown'!$A$1)</f>
        <v>0</v>
      </c>
      <c r="O45">
        <f>SUMIFS('Hours Log'!AQ$2:AQ$323,'Hours Log'!$A$2:$A$323,"="&amp;'Time Breakdown'!$A45,'Hours Log'!$C$2:$C$323,"="&amp;'Time Breakdown'!$A$1)</f>
        <v>0</v>
      </c>
      <c r="P45">
        <f>SUMIFS('Hours Log'!AR$2:AR$323,'Hours Log'!$A$2:$A$323,"="&amp;'Time Breakdown'!$A45,'Hours Log'!$C$2:$C$323,"="&amp;'Time Breakdown'!$A$1)</f>
        <v>0</v>
      </c>
      <c r="Q45">
        <f>SUMIFS('Hours Log'!AS$2:AS$323,'Hours Log'!$A$2:$A$323,"="&amp;'Time Breakdown'!$A45,'Hours Log'!$C$2:$C$323,"="&amp;'Time Breakdown'!$A$1)</f>
        <v>0</v>
      </c>
      <c r="R45">
        <f>SUMIFS('Hours Log'!AT$2:AT$323,'Hours Log'!$A$2:$A$323,"="&amp;'Time Breakdown'!$A45,'Hours Log'!$C$2:$C$323,"="&amp;'Time Breakdown'!$A$1)</f>
        <v>0</v>
      </c>
      <c r="S45">
        <f>SUMIFS('Hours Log'!AU$2:AU$323,'Hours Log'!$A$2:$A$323,"="&amp;'Time Breakdown'!$A45,'Hours Log'!$C$2:$C$323,"="&amp;'Time Breakdown'!$A$1)</f>
        <v>0</v>
      </c>
      <c r="T45">
        <f>SUMIFS('Hours Log'!AV$2:AV$323,'Hours Log'!$A$2:$A$323,"="&amp;'Time Breakdown'!$A45,'Hours Log'!$C$2:$C$323,"="&amp;'Time Breakdown'!$A$1)</f>
        <v>0</v>
      </c>
      <c r="U45">
        <f>SUMIFS('Hours Log'!AW$2:AW$323,'Hours Log'!$A$2:$A$323,"="&amp;'Time Breakdown'!$A45,'Hours Log'!$C$2:$C$323,"="&amp;'Time Breakdown'!$A$1)</f>
        <v>0</v>
      </c>
      <c r="V45">
        <f t="shared" si="0"/>
        <v>100</v>
      </c>
    </row>
    <row r="46" spans="1:22" hidden="1" x14ac:dyDescent="0.25">
      <c r="A46" s="61" t="s">
        <v>187</v>
      </c>
      <c r="B46">
        <f>SUMIFS('Hours Log'!AD$2:AD$323,'Hours Log'!$A$2:$A$323,"="&amp;'Time Breakdown'!$A46,'Hours Log'!$C$2:$C$323,"="&amp;'Time Breakdown'!$A$1)</f>
        <v>0</v>
      </c>
      <c r="C46">
        <f>SUMIFS('Hours Log'!AE$2:AE$323,'Hours Log'!$A$2:$A$323,"="&amp;'Time Breakdown'!$A46,'Hours Log'!$C$2:$C$323,"="&amp;'Time Breakdown'!$A$1)</f>
        <v>0</v>
      </c>
      <c r="D46">
        <f>SUMIFS('Hours Log'!AF$2:AF$323,'Hours Log'!$A$2:$A$323,"="&amp;'Time Breakdown'!$A46,'Hours Log'!$C$2:$C$323,"="&amp;'Time Breakdown'!$A$1)</f>
        <v>0</v>
      </c>
      <c r="E46">
        <f>SUMIFS('Hours Log'!AG$2:AG$323,'Hours Log'!$A$2:$A$323,"="&amp;'Time Breakdown'!$A46,'Hours Log'!$C$2:$C$323,"="&amp;'Time Breakdown'!$A$1)</f>
        <v>0</v>
      </c>
      <c r="F46">
        <f>SUMIFS('Hours Log'!AH$2:AH$323,'Hours Log'!$A$2:$A$323,"="&amp;'Time Breakdown'!$A46,'Hours Log'!$C$2:$C$323,"="&amp;'Time Breakdown'!$A$1)</f>
        <v>0</v>
      </c>
      <c r="G46">
        <f>SUMIFS('Hours Log'!AI$2:AI$323,'Hours Log'!$A$2:$A$323,"="&amp;'Time Breakdown'!$A46,'Hours Log'!$C$2:$C$323,"="&amp;'Time Breakdown'!$A$1)</f>
        <v>0</v>
      </c>
      <c r="H46">
        <f>SUMIFS('Hours Log'!AJ$2:AJ$323,'Hours Log'!$A$2:$A$323,"="&amp;'Time Breakdown'!$A46,'Hours Log'!$C$2:$C$323,"="&amp;'Time Breakdown'!$A$1)</f>
        <v>0</v>
      </c>
      <c r="I46">
        <f>SUMIFS('Hours Log'!AK$2:AK$323,'Hours Log'!$A$2:$A$323,"="&amp;'Time Breakdown'!$A46,'Hours Log'!$C$2:$C$323,"="&amp;'Time Breakdown'!$A$1)</f>
        <v>0</v>
      </c>
      <c r="J46">
        <f>SUMIFS('Hours Log'!AL$2:AL$323,'Hours Log'!$A$2:$A$323,"="&amp;'Time Breakdown'!$A46,'Hours Log'!$C$2:$C$323,"="&amp;'Time Breakdown'!$A$1)</f>
        <v>0</v>
      </c>
      <c r="K46">
        <f>SUMIFS('Hours Log'!AM$2:AM$323,'Hours Log'!$A$2:$A$323,"="&amp;'Time Breakdown'!$A46,'Hours Log'!$C$2:$C$323,"="&amp;'Time Breakdown'!$A$1)</f>
        <v>0</v>
      </c>
      <c r="L46">
        <f>SUMIFS('Hours Log'!AN$2:AN$323,'Hours Log'!$A$2:$A$323,"="&amp;'Time Breakdown'!$A46,'Hours Log'!$C$2:$C$323,"="&amp;'Time Breakdown'!$A$1)</f>
        <v>0</v>
      </c>
      <c r="M46">
        <f>SUMIFS('Hours Log'!AO$2:AO$323,'Hours Log'!$A$2:$A$323,"="&amp;'Time Breakdown'!$A46,'Hours Log'!$C$2:$C$323,"="&amp;'Time Breakdown'!$A$1)</f>
        <v>0</v>
      </c>
      <c r="N46">
        <f>SUMIFS('Hours Log'!AP$2:AP$323,'Hours Log'!$A$2:$A$323,"="&amp;'Time Breakdown'!$A46,'Hours Log'!$C$2:$C$323,"="&amp;'Time Breakdown'!$A$1)</f>
        <v>0</v>
      </c>
      <c r="O46">
        <f>SUMIFS('Hours Log'!AQ$2:AQ$323,'Hours Log'!$A$2:$A$323,"="&amp;'Time Breakdown'!$A46,'Hours Log'!$C$2:$C$323,"="&amp;'Time Breakdown'!$A$1)</f>
        <v>100</v>
      </c>
      <c r="P46">
        <f>SUMIFS('Hours Log'!AR$2:AR$323,'Hours Log'!$A$2:$A$323,"="&amp;'Time Breakdown'!$A46,'Hours Log'!$C$2:$C$323,"="&amp;'Time Breakdown'!$A$1)</f>
        <v>0</v>
      </c>
      <c r="Q46">
        <f>SUMIFS('Hours Log'!AS$2:AS$323,'Hours Log'!$A$2:$A$323,"="&amp;'Time Breakdown'!$A46,'Hours Log'!$C$2:$C$323,"="&amp;'Time Breakdown'!$A$1)</f>
        <v>0</v>
      </c>
      <c r="R46">
        <f>SUMIFS('Hours Log'!AT$2:AT$323,'Hours Log'!$A$2:$A$323,"="&amp;'Time Breakdown'!$A46,'Hours Log'!$C$2:$C$323,"="&amp;'Time Breakdown'!$A$1)</f>
        <v>0</v>
      </c>
      <c r="S46">
        <f>SUMIFS('Hours Log'!AU$2:AU$323,'Hours Log'!$A$2:$A$323,"="&amp;'Time Breakdown'!$A46,'Hours Log'!$C$2:$C$323,"="&amp;'Time Breakdown'!$A$1)</f>
        <v>0</v>
      </c>
      <c r="T46">
        <f>SUMIFS('Hours Log'!AV$2:AV$323,'Hours Log'!$A$2:$A$323,"="&amp;'Time Breakdown'!$A46,'Hours Log'!$C$2:$C$323,"="&amp;'Time Breakdown'!$A$1)</f>
        <v>0</v>
      </c>
      <c r="U46">
        <f>SUMIFS('Hours Log'!AW$2:AW$323,'Hours Log'!$A$2:$A$323,"="&amp;'Time Breakdown'!$A46,'Hours Log'!$C$2:$C$323,"="&amp;'Time Breakdown'!$A$1)</f>
        <v>0</v>
      </c>
      <c r="V46">
        <f t="shared" si="0"/>
        <v>100</v>
      </c>
    </row>
    <row r="47" spans="1:22" hidden="1" x14ac:dyDescent="0.25"/>
    <row r="48" spans="1:22" hidden="1" x14ac:dyDescent="0.25">
      <c r="A48" s="1">
        <v>2025</v>
      </c>
      <c r="B48" s="1" t="s">
        <v>126</v>
      </c>
      <c r="C48" s="1" t="s">
        <v>139</v>
      </c>
      <c r="D48" s="1" t="s">
        <v>85</v>
      </c>
      <c r="E48" s="1" t="s">
        <v>128</v>
      </c>
      <c r="F48" s="1" t="s">
        <v>86</v>
      </c>
      <c r="G48" s="1" t="s">
        <v>87</v>
      </c>
      <c r="H48" s="1" t="s">
        <v>88</v>
      </c>
      <c r="I48" s="1" t="s">
        <v>137</v>
      </c>
      <c r="J48" s="1" t="s">
        <v>149</v>
      </c>
      <c r="K48" s="1" t="s">
        <v>89</v>
      </c>
      <c r="L48" s="1" t="s">
        <v>90</v>
      </c>
      <c r="M48" s="1" t="s">
        <v>91</v>
      </c>
      <c r="N48" s="1" t="s">
        <v>92</v>
      </c>
      <c r="O48" s="1" t="s">
        <v>134</v>
      </c>
      <c r="P48" s="1" t="s">
        <v>93</v>
      </c>
      <c r="Q48" s="1" t="s">
        <v>94</v>
      </c>
      <c r="R48" s="1" t="s">
        <v>146</v>
      </c>
      <c r="S48" s="1" t="s">
        <v>95</v>
      </c>
      <c r="T48" s="1" t="s">
        <v>143</v>
      </c>
      <c r="U48" s="1" t="s">
        <v>96</v>
      </c>
      <c r="V48" s="1" t="s">
        <v>209</v>
      </c>
    </row>
    <row r="49" spans="1:22" hidden="1" x14ac:dyDescent="0.25">
      <c r="A49" s="61" t="s">
        <v>152</v>
      </c>
      <c r="B49" s="127">
        <f>B2/$V2</f>
        <v>0</v>
      </c>
      <c r="C49" s="127">
        <f t="shared" ref="C49:U49" si="1">C2/$V2</f>
        <v>0</v>
      </c>
      <c r="D49" s="127">
        <f t="shared" si="1"/>
        <v>0</v>
      </c>
      <c r="E49" s="127">
        <f t="shared" si="1"/>
        <v>0</v>
      </c>
      <c r="F49" s="127">
        <f t="shared" si="1"/>
        <v>0</v>
      </c>
      <c r="G49" s="127">
        <f t="shared" si="1"/>
        <v>0</v>
      </c>
      <c r="H49" s="127">
        <f t="shared" si="1"/>
        <v>0</v>
      </c>
      <c r="I49" s="127">
        <f t="shared" si="1"/>
        <v>0</v>
      </c>
      <c r="J49" s="127">
        <f t="shared" si="1"/>
        <v>0</v>
      </c>
      <c r="K49" s="127">
        <f t="shared" si="1"/>
        <v>0</v>
      </c>
      <c r="L49" s="127">
        <f t="shared" si="1"/>
        <v>0</v>
      </c>
      <c r="M49" s="127">
        <f t="shared" si="1"/>
        <v>0</v>
      </c>
      <c r="N49" s="127">
        <f t="shared" si="1"/>
        <v>0</v>
      </c>
      <c r="O49" s="127">
        <f t="shared" si="1"/>
        <v>1</v>
      </c>
      <c r="P49" s="127">
        <f t="shared" si="1"/>
        <v>0</v>
      </c>
      <c r="Q49" s="127">
        <f t="shared" si="1"/>
        <v>0</v>
      </c>
      <c r="R49" s="127">
        <f t="shared" si="1"/>
        <v>0</v>
      </c>
      <c r="S49" s="127">
        <f t="shared" si="1"/>
        <v>0</v>
      </c>
      <c r="T49" s="127">
        <f t="shared" si="1"/>
        <v>0</v>
      </c>
      <c r="U49" s="127">
        <f t="shared" si="1"/>
        <v>0</v>
      </c>
      <c r="V49" s="127">
        <f>SUM(B49:U49)</f>
        <v>1</v>
      </c>
    </row>
    <row r="50" spans="1:22" hidden="1" x14ac:dyDescent="0.25">
      <c r="A50" s="61" t="s">
        <v>153</v>
      </c>
      <c r="B50" s="127">
        <f t="shared" ref="B50:U50" si="2">B3/$V3</f>
        <v>0</v>
      </c>
      <c r="C50" s="127">
        <f t="shared" si="2"/>
        <v>0</v>
      </c>
      <c r="D50" s="127">
        <f t="shared" si="2"/>
        <v>0</v>
      </c>
      <c r="E50" s="127">
        <f t="shared" si="2"/>
        <v>0</v>
      </c>
      <c r="F50" s="127">
        <f t="shared" si="2"/>
        <v>0</v>
      </c>
      <c r="G50" s="127">
        <f t="shared" si="2"/>
        <v>0</v>
      </c>
      <c r="H50" s="127">
        <f t="shared" si="2"/>
        <v>0</v>
      </c>
      <c r="I50" s="127">
        <f t="shared" si="2"/>
        <v>1</v>
      </c>
      <c r="J50" s="127">
        <f t="shared" si="2"/>
        <v>0</v>
      </c>
      <c r="K50" s="127">
        <f t="shared" si="2"/>
        <v>0</v>
      </c>
      <c r="L50" s="127">
        <f t="shared" si="2"/>
        <v>0</v>
      </c>
      <c r="M50" s="127">
        <f t="shared" si="2"/>
        <v>0</v>
      </c>
      <c r="N50" s="127">
        <f t="shared" si="2"/>
        <v>0</v>
      </c>
      <c r="O50" s="127">
        <f t="shared" si="2"/>
        <v>0</v>
      </c>
      <c r="P50" s="127">
        <f t="shared" si="2"/>
        <v>0</v>
      </c>
      <c r="Q50" s="127">
        <f t="shared" si="2"/>
        <v>0</v>
      </c>
      <c r="R50" s="127">
        <f t="shared" si="2"/>
        <v>0</v>
      </c>
      <c r="S50" s="127">
        <f t="shared" si="2"/>
        <v>0</v>
      </c>
      <c r="T50" s="127">
        <f t="shared" si="2"/>
        <v>0</v>
      </c>
      <c r="U50" s="127">
        <f t="shared" si="2"/>
        <v>0</v>
      </c>
      <c r="V50" s="127">
        <f t="shared" ref="V50:V93" si="3">SUM(B50:U50)</f>
        <v>1</v>
      </c>
    </row>
    <row r="51" spans="1:22" hidden="1" x14ac:dyDescent="0.25">
      <c r="A51" s="61" t="s">
        <v>154</v>
      </c>
      <c r="B51" s="127">
        <f t="shared" ref="B51:U51" si="4">B4/$V4</f>
        <v>0</v>
      </c>
      <c r="C51" s="127">
        <f t="shared" si="4"/>
        <v>0</v>
      </c>
      <c r="D51" s="127">
        <f t="shared" si="4"/>
        <v>0</v>
      </c>
      <c r="E51" s="127">
        <f t="shared" si="4"/>
        <v>0</v>
      </c>
      <c r="F51" s="127">
        <f t="shared" si="4"/>
        <v>0</v>
      </c>
      <c r="G51" s="127">
        <f t="shared" si="4"/>
        <v>0</v>
      </c>
      <c r="H51" s="127">
        <f t="shared" si="4"/>
        <v>0</v>
      </c>
      <c r="I51" s="127">
        <f t="shared" si="4"/>
        <v>1</v>
      </c>
      <c r="J51" s="127">
        <f t="shared" si="4"/>
        <v>0</v>
      </c>
      <c r="K51" s="127">
        <f t="shared" si="4"/>
        <v>0</v>
      </c>
      <c r="L51" s="127">
        <f t="shared" si="4"/>
        <v>0</v>
      </c>
      <c r="M51" s="127">
        <f t="shared" si="4"/>
        <v>0</v>
      </c>
      <c r="N51" s="127">
        <f t="shared" si="4"/>
        <v>0</v>
      </c>
      <c r="O51" s="127">
        <f t="shared" si="4"/>
        <v>0</v>
      </c>
      <c r="P51" s="127">
        <f t="shared" si="4"/>
        <v>0</v>
      </c>
      <c r="Q51" s="127">
        <f t="shared" si="4"/>
        <v>0</v>
      </c>
      <c r="R51" s="127">
        <f t="shared" si="4"/>
        <v>0</v>
      </c>
      <c r="S51" s="127">
        <f t="shared" si="4"/>
        <v>0</v>
      </c>
      <c r="T51" s="127">
        <f t="shared" si="4"/>
        <v>0</v>
      </c>
      <c r="U51" s="127">
        <f t="shared" si="4"/>
        <v>0</v>
      </c>
      <c r="V51" s="127">
        <f t="shared" si="3"/>
        <v>1</v>
      </c>
    </row>
    <row r="52" spans="1:22" hidden="1" x14ac:dyDescent="0.25">
      <c r="A52" s="61" t="s">
        <v>155</v>
      </c>
      <c r="B52" s="127">
        <f t="shared" ref="B52:U52" si="5">B5/$V5</f>
        <v>0</v>
      </c>
      <c r="C52" s="127">
        <f t="shared" si="5"/>
        <v>0</v>
      </c>
      <c r="D52" s="127">
        <f t="shared" si="5"/>
        <v>0</v>
      </c>
      <c r="E52" s="127">
        <f t="shared" si="5"/>
        <v>0</v>
      </c>
      <c r="F52" s="127">
        <f t="shared" si="5"/>
        <v>0</v>
      </c>
      <c r="G52" s="127">
        <f t="shared" si="5"/>
        <v>0</v>
      </c>
      <c r="H52" s="127">
        <f t="shared" si="5"/>
        <v>0</v>
      </c>
      <c r="I52" s="127">
        <f t="shared" si="5"/>
        <v>0</v>
      </c>
      <c r="J52" s="127">
        <f t="shared" si="5"/>
        <v>0</v>
      </c>
      <c r="K52" s="127">
        <f t="shared" si="5"/>
        <v>0</v>
      </c>
      <c r="L52" s="127">
        <f t="shared" si="5"/>
        <v>0</v>
      </c>
      <c r="M52" s="127">
        <f t="shared" si="5"/>
        <v>0</v>
      </c>
      <c r="N52" s="127">
        <f t="shared" si="5"/>
        <v>0</v>
      </c>
      <c r="O52" s="127">
        <f t="shared" si="5"/>
        <v>0</v>
      </c>
      <c r="P52" s="127">
        <f t="shared" si="5"/>
        <v>0</v>
      </c>
      <c r="Q52" s="127">
        <f t="shared" si="5"/>
        <v>0</v>
      </c>
      <c r="R52" s="127">
        <f t="shared" si="5"/>
        <v>0</v>
      </c>
      <c r="S52" s="127">
        <f t="shared" si="5"/>
        <v>0</v>
      </c>
      <c r="T52" s="127">
        <f t="shared" si="5"/>
        <v>1</v>
      </c>
      <c r="U52" s="127">
        <f t="shared" si="5"/>
        <v>0</v>
      </c>
      <c r="V52" s="127">
        <f t="shared" si="3"/>
        <v>1</v>
      </c>
    </row>
    <row r="53" spans="1:22" hidden="1" x14ac:dyDescent="0.25">
      <c r="A53" s="61" t="s">
        <v>156</v>
      </c>
      <c r="B53" s="127">
        <f t="shared" ref="B53:U53" si="6">B6/$V6</f>
        <v>0</v>
      </c>
      <c r="C53" s="127">
        <f t="shared" si="6"/>
        <v>0</v>
      </c>
      <c r="D53" s="127">
        <f t="shared" si="6"/>
        <v>0</v>
      </c>
      <c r="E53" s="127">
        <f t="shared" si="6"/>
        <v>0</v>
      </c>
      <c r="F53" s="127">
        <f t="shared" si="6"/>
        <v>0</v>
      </c>
      <c r="G53" s="127">
        <f t="shared" si="6"/>
        <v>0</v>
      </c>
      <c r="H53" s="127">
        <f t="shared" si="6"/>
        <v>0</v>
      </c>
      <c r="I53" s="127">
        <f t="shared" si="6"/>
        <v>1</v>
      </c>
      <c r="J53" s="127">
        <f t="shared" si="6"/>
        <v>0</v>
      </c>
      <c r="K53" s="127">
        <f t="shared" si="6"/>
        <v>0</v>
      </c>
      <c r="L53" s="127">
        <f t="shared" si="6"/>
        <v>0</v>
      </c>
      <c r="M53" s="127">
        <f t="shared" si="6"/>
        <v>0</v>
      </c>
      <c r="N53" s="127">
        <f t="shared" si="6"/>
        <v>0</v>
      </c>
      <c r="O53" s="127">
        <f t="shared" si="6"/>
        <v>0</v>
      </c>
      <c r="P53" s="127">
        <f t="shared" si="6"/>
        <v>0</v>
      </c>
      <c r="Q53" s="127">
        <f t="shared" si="6"/>
        <v>0</v>
      </c>
      <c r="R53" s="127">
        <f t="shared" si="6"/>
        <v>0</v>
      </c>
      <c r="S53" s="127">
        <f t="shared" si="6"/>
        <v>0</v>
      </c>
      <c r="T53" s="127">
        <f t="shared" si="6"/>
        <v>0</v>
      </c>
      <c r="U53" s="127">
        <f t="shared" si="6"/>
        <v>0</v>
      </c>
      <c r="V53" s="127">
        <f t="shared" si="3"/>
        <v>1</v>
      </c>
    </row>
    <row r="54" spans="1:22" hidden="1" x14ac:dyDescent="0.25">
      <c r="A54" s="61" t="s">
        <v>157</v>
      </c>
      <c r="B54" s="127">
        <f t="shared" ref="B54:U54" si="7">B7/$V7</f>
        <v>0</v>
      </c>
      <c r="C54" s="127">
        <f t="shared" si="7"/>
        <v>0</v>
      </c>
      <c r="D54" s="127">
        <f t="shared" si="7"/>
        <v>0</v>
      </c>
      <c r="E54" s="127">
        <f t="shared" si="7"/>
        <v>0</v>
      </c>
      <c r="F54" s="127">
        <f t="shared" si="7"/>
        <v>0</v>
      </c>
      <c r="G54" s="127">
        <f t="shared" si="7"/>
        <v>0</v>
      </c>
      <c r="H54" s="127">
        <f t="shared" si="7"/>
        <v>0</v>
      </c>
      <c r="I54" s="127">
        <f t="shared" si="7"/>
        <v>1</v>
      </c>
      <c r="J54" s="127">
        <f t="shared" si="7"/>
        <v>0</v>
      </c>
      <c r="K54" s="127">
        <f t="shared" si="7"/>
        <v>0</v>
      </c>
      <c r="L54" s="127">
        <f t="shared" si="7"/>
        <v>0</v>
      </c>
      <c r="M54" s="127">
        <f t="shared" si="7"/>
        <v>0</v>
      </c>
      <c r="N54" s="127">
        <f t="shared" si="7"/>
        <v>0</v>
      </c>
      <c r="O54" s="127">
        <f t="shared" si="7"/>
        <v>0</v>
      </c>
      <c r="P54" s="127">
        <f t="shared" si="7"/>
        <v>0</v>
      </c>
      <c r="Q54" s="127">
        <f t="shared" si="7"/>
        <v>0</v>
      </c>
      <c r="R54" s="127">
        <f t="shared" si="7"/>
        <v>0</v>
      </c>
      <c r="S54" s="127">
        <f t="shared" si="7"/>
        <v>0</v>
      </c>
      <c r="T54" s="127">
        <f t="shared" si="7"/>
        <v>0</v>
      </c>
      <c r="U54" s="127">
        <f t="shared" si="7"/>
        <v>0</v>
      </c>
      <c r="V54" s="127">
        <f t="shared" si="3"/>
        <v>1</v>
      </c>
    </row>
    <row r="55" spans="1:22" hidden="1" x14ac:dyDescent="0.25">
      <c r="A55" s="61" t="s">
        <v>158</v>
      </c>
      <c r="B55" s="127">
        <f t="shared" ref="B55:U55" si="8">B8/$V8</f>
        <v>0</v>
      </c>
      <c r="C55" s="127">
        <f t="shared" si="8"/>
        <v>0</v>
      </c>
      <c r="D55" s="127">
        <f t="shared" si="8"/>
        <v>0</v>
      </c>
      <c r="E55" s="127">
        <f t="shared" si="8"/>
        <v>0</v>
      </c>
      <c r="F55" s="127">
        <f t="shared" si="8"/>
        <v>0</v>
      </c>
      <c r="G55" s="127">
        <f t="shared" si="8"/>
        <v>0</v>
      </c>
      <c r="H55" s="127">
        <f t="shared" si="8"/>
        <v>0</v>
      </c>
      <c r="I55" s="127">
        <f t="shared" si="8"/>
        <v>0</v>
      </c>
      <c r="J55" s="127">
        <f t="shared" si="8"/>
        <v>0</v>
      </c>
      <c r="K55" s="127">
        <f t="shared" si="8"/>
        <v>0</v>
      </c>
      <c r="L55" s="127">
        <f t="shared" si="8"/>
        <v>0</v>
      </c>
      <c r="M55" s="127">
        <f t="shared" si="8"/>
        <v>0</v>
      </c>
      <c r="N55" s="127">
        <f t="shared" si="8"/>
        <v>0</v>
      </c>
      <c r="O55" s="127">
        <f t="shared" si="8"/>
        <v>1</v>
      </c>
      <c r="P55" s="127">
        <f t="shared" si="8"/>
        <v>0</v>
      </c>
      <c r="Q55" s="127">
        <f t="shared" si="8"/>
        <v>0</v>
      </c>
      <c r="R55" s="127">
        <f t="shared" si="8"/>
        <v>0</v>
      </c>
      <c r="S55" s="127">
        <f t="shared" si="8"/>
        <v>0</v>
      </c>
      <c r="T55" s="127">
        <f t="shared" si="8"/>
        <v>0</v>
      </c>
      <c r="U55" s="127">
        <f t="shared" si="8"/>
        <v>0</v>
      </c>
      <c r="V55" s="127">
        <f t="shared" si="3"/>
        <v>1</v>
      </c>
    </row>
    <row r="56" spans="1:22" hidden="1" x14ac:dyDescent="0.25">
      <c r="A56" s="61" t="s">
        <v>159</v>
      </c>
      <c r="B56" s="127">
        <f t="shared" ref="B56:U56" si="9">B9/$V9</f>
        <v>0</v>
      </c>
      <c r="C56" s="127">
        <f t="shared" si="9"/>
        <v>0</v>
      </c>
      <c r="D56" s="127">
        <f t="shared" si="9"/>
        <v>0</v>
      </c>
      <c r="E56" s="127">
        <f t="shared" si="9"/>
        <v>0</v>
      </c>
      <c r="F56" s="127">
        <f t="shared" si="9"/>
        <v>0</v>
      </c>
      <c r="G56" s="127">
        <f t="shared" si="9"/>
        <v>0</v>
      </c>
      <c r="H56" s="127">
        <f t="shared" si="9"/>
        <v>0</v>
      </c>
      <c r="I56" s="127">
        <f t="shared" si="9"/>
        <v>1</v>
      </c>
      <c r="J56" s="127">
        <f t="shared" si="9"/>
        <v>0</v>
      </c>
      <c r="K56" s="127">
        <f t="shared" si="9"/>
        <v>0</v>
      </c>
      <c r="L56" s="127">
        <f t="shared" si="9"/>
        <v>0</v>
      </c>
      <c r="M56" s="127">
        <f t="shared" si="9"/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127">
        <f t="shared" si="9"/>
        <v>0</v>
      </c>
      <c r="T56" s="127">
        <f t="shared" si="9"/>
        <v>0</v>
      </c>
      <c r="U56" s="127">
        <f t="shared" si="9"/>
        <v>0</v>
      </c>
      <c r="V56" s="127">
        <f t="shared" si="3"/>
        <v>1</v>
      </c>
    </row>
    <row r="57" spans="1:22" hidden="1" x14ac:dyDescent="0.25">
      <c r="A57" s="61" t="s">
        <v>160</v>
      </c>
      <c r="B57" s="127">
        <f t="shared" ref="B57:U57" si="10">B10/$V10</f>
        <v>0</v>
      </c>
      <c r="C57" s="127">
        <f t="shared" si="10"/>
        <v>0</v>
      </c>
      <c r="D57" s="127">
        <f t="shared" si="10"/>
        <v>0</v>
      </c>
      <c r="E57" s="127">
        <f t="shared" si="10"/>
        <v>0</v>
      </c>
      <c r="F57" s="127">
        <f t="shared" si="10"/>
        <v>0</v>
      </c>
      <c r="G57" s="127">
        <f t="shared" si="10"/>
        <v>0</v>
      </c>
      <c r="H57" s="127">
        <f t="shared" si="10"/>
        <v>0</v>
      </c>
      <c r="I57" s="127">
        <f t="shared" si="10"/>
        <v>1</v>
      </c>
      <c r="J57" s="127">
        <f t="shared" si="10"/>
        <v>0</v>
      </c>
      <c r="K57" s="127">
        <f t="shared" si="10"/>
        <v>0</v>
      </c>
      <c r="L57" s="127">
        <f t="shared" si="10"/>
        <v>0</v>
      </c>
      <c r="M57" s="127">
        <f t="shared" si="10"/>
        <v>0</v>
      </c>
      <c r="N57" s="127">
        <f t="shared" si="10"/>
        <v>0</v>
      </c>
      <c r="O57" s="127">
        <f t="shared" si="10"/>
        <v>0</v>
      </c>
      <c r="P57" s="127">
        <f t="shared" si="10"/>
        <v>0</v>
      </c>
      <c r="Q57" s="127">
        <f t="shared" si="10"/>
        <v>0</v>
      </c>
      <c r="R57" s="127">
        <f t="shared" si="10"/>
        <v>0</v>
      </c>
      <c r="S57" s="127">
        <f t="shared" si="10"/>
        <v>0</v>
      </c>
      <c r="T57" s="127">
        <f t="shared" si="10"/>
        <v>0</v>
      </c>
      <c r="U57" s="127">
        <f t="shared" si="10"/>
        <v>0</v>
      </c>
      <c r="V57" s="127">
        <f t="shared" si="3"/>
        <v>1</v>
      </c>
    </row>
    <row r="58" spans="1:22" hidden="1" x14ac:dyDescent="0.25">
      <c r="A58" s="61" t="s">
        <v>76</v>
      </c>
      <c r="B58" s="127">
        <f t="shared" ref="B58:U58" si="11">B11/$V11</f>
        <v>0</v>
      </c>
      <c r="C58" s="127">
        <f t="shared" si="11"/>
        <v>0</v>
      </c>
      <c r="D58" s="127">
        <f t="shared" si="11"/>
        <v>0</v>
      </c>
      <c r="E58" s="127">
        <f t="shared" si="11"/>
        <v>0</v>
      </c>
      <c r="F58" s="127">
        <f t="shared" si="11"/>
        <v>0</v>
      </c>
      <c r="G58" s="127">
        <f t="shared" si="11"/>
        <v>0</v>
      </c>
      <c r="H58" s="127">
        <f t="shared" si="11"/>
        <v>0.5557090578642303</v>
      </c>
      <c r="I58" s="127">
        <f t="shared" si="11"/>
        <v>0</v>
      </c>
      <c r="J58" s="127">
        <f t="shared" si="11"/>
        <v>0</v>
      </c>
      <c r="K58" s="127">
        <f t="shared" si="11"/>
        <v>0</v>
      </c>
      <c r="L58" s="127">
        <f t="shared" si="11"/>
        <v>0</v>
      </c>
      <c r="M58" s="127">
        <f t="shared" si="11"/>
        <v>0</v>
      </c>
      <c r="N58" s="127">
        <f t="shared" si="11"/>
        <v>0.4442909421357697</v>
      </c>
      <c r="O58" s="127">
        <f t="shared" si="11"/>
        <v>0</v>
      </c>
      <c r="P58" s="127">
        <f t="shared" si="11"/>
        <v>0</v>
      </c>
      <c r="Q58" s="127">
        <f t="shared" si="11"/>
        <v>0</v>
      </c>
      <c r="R58" s="127">
        <f t="shared" si="11"/>
        <v>0</v>
      </c>
      <c r="S58" s="127">
        <f t="shared" si="11"/>
        <v>0</v>
      </c>
      <c r="T58" s="127">
        <f t="shared" si="11"/>
        <v>0</v>
      </c>
      <c r="U58" s="127">
        <f t="shared" si="11"/>
        <v>0</v>
      </c>
      <c r="V58" s="127">
        <f t="shared" si="3"/>
        <v>1</v>
      </c>
    </row>
    <row r="59" spans="1:22" hidden="1" x14ac:dyDescent="0.25">
      <c r="A59" s="61" t="s">
        <v>57</v>
      </c>
      <c r="B59" s="127">
        <f t="shared" ref="B59:U59" si="12">B12/$V12</f>
        <v>0</v>
      </c>
      <c r="C59" s="127">
        <f t="shared" si="12"/>
        <v>0</v>
      </c>
      <c r="D59" s="127">
        <f t="shared" si="12"/>
        <v>0</v>
      </c>
      <c r="E59" s="127">
        <f t="shared" si="12"/>
        <v>0</v>
      </c>
      <c r="F59" s="127">
        <f t="shared" si="12"/>
        <v>0</v>
      </c>
      <c r="G59" s="127">
        <f t="shared" si="12"/>
        <v>0</v>
      </c>
      <c r="H59" s="127">
        <f t="shared" si="12"/>
        <v>0</v>
      </c>
      <c r="I59" s="127">
        <f t="shared" si="12"/>
        <v>0.45574579177417329</v>
      </c>
      <c r="J59" s="127">
        <f t="shared" si="12"/>
        <v>4.8403005962995384E-2</v>
      </c>
      <c r="K59" s="127">
        <f t="shared" si="12"/>
        <v>0.30768062439302513</v>
      </c>
      <c r="L59" s="127">
        <f t="shared" si="12"/>
        <v>2.2070524594232387E-2</v>
      </c>
      <c r="M59" s="127">
        <f t="shared" si="12"/>
        <v>0</v>
      </c>
      <c r="N59" s="127">
        <f t="shared" si="12"/>
        <v>0</v>
      </c>
      <c r="O59" s="127">
        <f t="shared" si="12"/>
        <v>2.0116363562451386E-2</v>
      </c>
      <c r="P59" s="127">
        <f t="shared" si="12"/>
        <v>0</v>
      </c>
      <c r="Q59" s="127">
        <f t="shared" si="12"/>
        <v>7.4275893636408191E-4</v>
      </c>
      <c r="R59" s="127">
        <f t="shared" si="12"/>
        <v>2.272660863805928E-3</v>
      </c>
      <c r="S59" s="127">
        <f t="shared" si="12"/>
        <v>0</v>
      </c>
      <c r="T59" s="127">
        <f t="shared" si="12"/>
        <v>7.4717921803390871E-3</v>
      </c>
      <c r="U59" s="127">
        <f t="shared" si="12"/>
        <v>0.13549647773261353</v>
      </c>
      <c r="V59" s="127">
        <f t="shared" si="3"/>
        <v>1.0000000000000004</v>
      </c>
    </row>
    <row r="60" spans="1:22" hidden="1" x14ac:dyDescent="0.25">
      <c r="A60" s="61" t="s">
        <v>161</v>
      </c>
      <c r="B60" s="127">
        <f t="shared" ref="B60:U60" si="13">B13/$V13</f>
        <v>0</v>
      </c>
      <c r="C60" s="127">
        <f t="shared" si="13"/>
        <v>0</v>
      </c>
      <c r="D60" s="127">
        <f t="shared" si="13"/>
        <v>0</v>
      </c>
      <c r="E60" s="127">
        <f t="shared" si="13"/>
        <v>0</v>
      </c>
      <c r="F60" s="127">
        <f t="shared" si="13"/>
        <v>0</v>
      </c>
      <c r="G60" s="127">
        <f t="shared" si="13"/>
        <v>0</v>
      </c>
      <c r="H60" s="127">
        <f t="shared" si="13"/>
        <v>0</v>
      </c>
      <c r="I60" s="127">
        <f t="shared" si="13"/>
        <v>0.83617788461538467</v>
      </c>
      <c r="J60" s="127">
        <f t="shared" si="13"/>
        <v>0</v>
      </c>
      <c r="K60" s="127">
        <f t="shared" si="13"/>
        <v>0</v>
      </c>
      <c r="L60" s="127">
        <f t="shared" si="13"/>
        <v>0</v>
      </c>
      <c r="M60" s="127">
        <f t="shared" si="13"/>
        <v>0</v>
      </c>
      <c r="N60" s="127">
        <f t="shared" si="13"/>
        <v>0</v>
      </c>
      <c r="O60" s="127">
        <f t="shared" si="13"/>
        <v>0</v>
      </c>
      <c r="P60" s="127">
        <f t="shared" si="13"/>
        <v>0</v>
      </c>
      <c r="Q60" s="127">
        <f t="shared" si="13"/>
        <v>0</v>
      </c>
      <c r="R60" s="127">
        <f t="shared" si="13"/>
        <v>0</v>
      </c>
      <c r="S60" s="127">
        <f t="shared" si="13"/>
        <v>0</v>
      </c>
      <c r="T60" s="127">
        <f t="shared" si="13"/>
        <v>0</v>
      </c>
      <c r="U60" s="127">
        <f t="shared" si="13"/>
        <v>0.16382211538461539</v>
      </c>
      <c r="V60" s="127">
        <f t="shared" si="3"/>
        <v>1</v>
      </c>
    </row>
    <row r="61" spans="1:22" hidden="1" x14ac:dyDescent="0.25">
      <c r="A61" s="61" t="s">
        <v>162</v>
      </c>
      <c r="B61" s="127">
        <f t="shared" ref="B61:U61" si="14">B14/$V14</f>
        <v>0</v>
      </c>
      <c r="C61" s="127">
        <f t="shared" si="14"/>
        <v>0</v>
      </c>
      <c r="D61" s="127">
        <f t="shared" si="14"/>
        <v>0</v>
      </c>
      <c r="E61" s="127">
        <f t="shared" si="14"/>
        <v>0</v>
      </c>
      <c r="F61" s="127">
        <f t="shared" si="14"/>
        <v>0</v>
      </c>
      <c r="G61" s="127">
        <f t="shared" si="14"/>
        <v>0</v>
      </c>
      <c r="H61" s="127">
        <f t="shared" si="14"/>
        <v>0</v>
      </c>
      <c r="I61" s="127">
        <f t="shared" si="14"/>
        <v>1</v>
      </c>
      <c r="J61" s="127">
        <f t="shared" si="14"/>
        <v>0</v>
      </c>
      <c r="K61" s="127">
        <f t="shared" si="14"/>
        <v>0</v>
      </c>
      <c r="L61" s="127">
        <f t="shared" si="14"/>
        <v>0</v>
      </c>
      <c r="M61" s="127">
        <f t="shared" si="14"/>
        <v>0</v>
      </c>
      <c r="N61" s="127">
        <f t="shared" si="14"/>
        <v>0</v>
      </c>
      <c r="O61" s="127">
        <f t="shared" si="14"/>
        <v>0</v>
      </c>
      <c r="P61" s="127">
        <f t="shared" si="14"/>
        <v>0</v>
      </c>
      <c r="Q61" s="127">
        <f t="shared" si="14"/>
        <v>0</v>
      </c>
      <c r="R61" s="127">
        <f t="shared" si="14"/>
        <v>0</v>
      </c>
      <c r="S61" s="127">
        <f t="shared" si="14"/>
        <v>0</v>
      </c>
      <c r="T61" s="127">
        <f t="shared" si="14"/>
        <v>0</v>
      </c>
      <c r="U61" s="127">
        <f t="shared" si="14"/>
        <v>0</v>
      </c>
      <c r="V61" s="127">
        <f t="shared" si="3"/>
        <v>1</v>
      </c>
    </row>
    <row r="62" spans="1:22" hidden="1" x14ac:dyDescent="0.25">
      <c r="A62" s="61" t="s">
        <v>54</v>
      </c>
      <c r="B62" s="127">
        <f t="shared" ref="B62:U62" si="15">B15/$V15</f>
        <v>0</v>
      </c>
      <c r="C62" s="127">
        <f t="shared" si="15"/>
        <v>0</v>
      </c>
      <c r="D62" s="127">
        <f t="shared" si="15"/>
        <v>0</v>
      </c>
      <c r="E62" s="127">
        <f t="shared" si="15"/>
        <v>0</v>
      </c>
      <c r="F62" s="127">
        <f t="shared" si="15"/>
        <v>9.8416895632501819E-2</v>
      </c>
      <c r="G62" s="127">
        <f t="shared" si="15"/>
        <v>0</v>
      </c>
      <c r="H62" s="127">
        <f t="shared" si="15"/>
        <v>0.20578776973939447</v>
      </c>
      <c r="I62" s="127">
        <f t="shared" si="15"/>
        <v>0.10632786983532727</v>
      </c>
      <c r="J62" s="127">
        <f t="shared" si="15"/>
        <v>0</v>
      </c>
      <c r="K62" s="127">
        <f t="shared" si="15"/>
        <v>0.2312205375759305</v>
      </c>
      <c r="L62" s="127">
        <f t="shared" si="15"/>
        <v>0.16285590201061922</v>
      </c>
      <c r="M62" s="127">
        <f t="shared" si="15"/>
        <v>0</v>
      </c>
      <c r="N62" s="127">
        <f t="shared" si="15"/>
        <v>6.6646296219290121E-2</v>
      </c>
      <c r="O62" s="127">
        <f t="shared" si="15"/>
        <v>0</v>
      </c>
      <c r="P62" s="127">
        <f t="shared" si="15"/>
        <v>0</v>
      </c>
      <c r="Q62" s="127">
        <f t="shared" si="15"/>
        <v>0.12874472898693656</v>
      </c>
      <c r="R62" s="127">
        <f t="shared" si="15"/>
        <v>0</v>
      </c>
      <c r="S62" s="127">
        <f t="shared" si="15"/>
        <v>0</v>
      </c>
      <c r="T62" s="127">
        <f t="shared" si="15"/>
        <v>0</v>
      </c>
      <c r="U62" s="127">
        <f t="shared" si="15"/>
        <v>0</v>
      </c>
      <c r="V62" s="127">
        <f t="shared" si="3"/>
        <v>0.99999999999999989</v>
      </c>
    </row>
    <row r="63" spans="1:22" hidden="1" x14ac:dyDescent="0.25">
      <c r="A63" s="61" t="s">
        <v>163</v>
      </c>
      <c r="B63" s="127">
        <f t="shared" ref="B63:U63" si="16">B16/$V16</f>
        <v>0</v>
      </c>
      <c r="C63" s="127">
        <f t="shared" si="16"/>
        <v>0</v>
      </c>
      <c r="D63" s="127">
        <f t="shared" si="16"/>
        <v>0</v>
      </c>
      <c r="E63" s="127">
        <f t="shared" si="16"/>
        <v>0</v>
      </c>
      <c r="F63" s="127">
        <f t="shared" si="16"/>
        <v>0</v>
      </c>
      <c r="G63" s="127">
        <f t="shared" si="16"/>
        <v>0</v>
      </c>
      <c r="H63" s="127">
        <f t="shared" si="16"/>
        <v>0</v>
      </c>
      <c r="I63" s="127">
        <f t="shared" si="16"/>
        <v>1</v>
      </c>
      <c r="J63" s="127">
        <f t="shared" si="16"/>
        <v>0</v>
      </c>
      <c r="K63" s="127">
        <f t="shared" si="16"/>
        <v>0</v>
      </c>
      <c r="L63" s="127">
        <f t="shared" si="16"/>
        <v>0</v>
      </c>
      <c r="M63" s="127">
        <f t="shared" si="16"/>
        <v>0</v>
      </c>
      <c r="N63" s="127">
        <f t="shared" si="16"/>
        <v>0</v>
      </c>
      <c r="O63" s="127">
        <f t="shared" si="16"/>
        <v>0</v>
      </c>
      <c r="P63" s="127">
        <f t="shared" si="16"/>
        <v>0</v>
      </c>
      <c r="Q63" s="127">
        <f t="shared" si="16"/>
        <v>0</v>
      </c>
      <c r="R63" s="127">
        <f t="shared" si="16"/>
        <v>0</v>
      </c>
      <c r="S63" s="127">
        <f t="shared" si="16"/>
        <v>0</v>
      </c>
      <c r="T63" s="127">
        <f t="shared" si="16"/>
        <v>0</v>
      </c>
      <c r="U63" s="127">
        <f t="shared" si="16"/>
        <v>0</v>
      </c>
      <c r="V63" s="127">
        <f t="shared" si="3"/>
        <v>1</v>
      </c>
    </row>
    <row r="64" spans="1:22" hidden="1" x14ac:dyDescent="0.25">
      <c r="A64" s="61" t="s">
        <v>164</v>
      </c>
      <c r="B64" s="127">
        <f t="shared" ref="B64:U64" si="17">B17/$V17</f>
        <v>0</v>
      </c>
      <c r="C64" s="127">
        <f t="shared" si="17"/>
        <v>0</v>
      </c>
      <c r="D64" s="127">
        <f t="shared" si="17"/>
        <v>0</v>
      </c>
      <c r="E64" s="127">
        <f t="shared" si="17"/>
        <v>0</v>
      </c>
      <c r="F64" s="127">
        <f t="shared" si="17"/>
        <v>0</v>
      </c>
      <c r="G64" s="127">
        <f t="shared" si="17"/>
        <v>0</v>
      </c>
      <c r="H64" s="127">
        <f t="shared" si="17"/>
        <v>0</v>
      </c>
      <c r="I64" s="127">
        <f t="shared" si="17"/>
        <v>0</v>
      </c>
      <c r="J64" s="127">
        <f t="shared" si="17"/>
        <v>0</v>
      </c>
      <c r="K64" s="127">
        <f t="shared" si="17"/>
        <v>0</v>
      </c>
      <c r="L64" s="127">
        <f t="shared" si="17"/>
        <v>0</v>
      </c>
      <c r="M64" s="127">
        <f t="shared" si="17"/>
        <v>0</v>
      </c>
      <c r="N64" s="127">
        <f t="shared" si="17"/>
        <v>0</v>
      </c>
      <c r="O64" s="127">
        <f t="shared" si="17"/>
        <v>1</v>
      </c>
      <c r="P64" s="127">
        <f t="shared" si="17"/>
        <v>0</v>
      </c>
      <c r="Q64" s="127">
        <f t="shared" si="17"/>
        <v>0</v>
      </c>
      <c r="R64" s="127">
        <f t="shared" si="17"/>
        <v>0</v>
      </c>
      <c r="S64" s="127">
        <f t="shared" si="17"/>
        <v>0</v>
      </c>
      <c r="T64" s="127">
        <f t="shared" si="17"/>
        <v>0</v>
      </c>
      <c r="U64" s="127">
        <f t="shared" si="17"/>
        <v>0</v>
      </c>
      <c r="V64" s="127">
        <f t="shared" si="3"/>
        <v>1</v>
      </c>
    </row>
    <row r="65" spans="1:22" hidden="1" x14ac:dyDescent="0.25">
      <c r="A65" s="61" t="s">
        <v>165</v>
      </c>
      <c r="B65" s="127">
        <f t="shared" ref="B65:U65" si="18">B18/$V18</f>
        <v>0</v>
      </c>
      <c r="C65" s="127">
        <f t="shared" si="18"/>
        <v>0</v>
      </c>
      <c r="D65" s="127">
        <f t="shared" si="18"/>
        <v>0</v>
      </c>
      <c r="E65" s="127">
        <f t="shared" si="18"/>
        <v>0</v>
      </c>
      <c r="F65" s="127">
        <f t="shared" si="18"/>
        <v>0</v>
      </c>
      <c r="G65" s="127">
        <f t="shared" si="18"/>
        <v>0</v>
      </c>
      <c r="H65" s="127">
        <f t="shared" si="18"/>
        <v>0</v>
      </c>
      <c r="I65" s="127">
        <f t="shared" si="18"/>
        <v>1</v>
      </c>
      <c r="J65" s="127">
        <f t="shared" si="18"/>
        <v>0</v>
      </c>
      <c r="K65" s="127">
        <f t="shared" si="18"/>
        <v>0</v>
      </c>
      <c r="L65" s="127">
        <f t="shared" si="18"/>
        <v>0</v>
      </c>
      <c r="M65" s="127">
        <f t="shared" si="18"/>
        <v>0</v>
      </c>
      <c r="N65" s="127">
        <f t="shared" si="18"/>
        <v>0</v>
      </c>
      <c r="O65" s="127">
        <f t="shared" si="18"/>
        <v>0</v>
      </c>
      <c r="P65" s="127">
        <f t="shared" si="18"/>
        <v>0</v>
      </c>
      <c r="Q65" s="127">
        <f t="shared" si="18"/>
        <v>0</v>
      </c>
      <c r="R65" s="127">
        <f t="shared" si="18"/>
        <v>0</v>
      </c>
      <c r="S65" s="127">
        <f t="shared" si="18"/>
        <v>0</v>
      </c>
      <c r="T65" s="127">
        <f t="shared" si="18"/>
        <v>0</v>
      </c>
      <c r="U65" s="127">
        <f t="shared" si="18"/>
        <v>0</v>
      </c>
      <c r="V65" s="127">
        <f t="shared" si="3"/>
        <v>1</v>
      </c>
    </row>
    <row r="66" spans="1:22" hidden="1" x14ac:dyDescent="0.25">
      <c r="A66" s="61" t="s">
        <v>166</v>
      </c>
      <c r="B66" s="127">
        <f t="shared" ref="B66:U66" si="19">B19/$V19</f>
        <v>0</v>
      </c>
      <c r="C66" s="127">
        <f t="shared" si="19"/>
        <v>0</v>
      </c>
      <c r="D66" s="127">
        <f t="shared" si="19"/>
        <v>0</v>
      </c>
      <c r="E66" s="127">
        <f t="shared" si="19"/>
        <v>0</v>
      </c>
      <c r="F66" s="127">
        <f t="shared" si="19"/>
        <v>0</v>
      </c>
      <c r="G66" s="127">
        <f t="shared" si="19"/>
        <v>0</v>
      </c>
      <c r="H66" s="127">
        <f t="shared" si="19"/>
        <v>0</v>
      </c>
      <c r="I66" s="127">
        <f t="shared" si="19"/>
        <v>1</v>
      </c>
      <c r="J66" s="127">
        <f t="shared" si="19"/>
        <v>0</v>
      </c>
      <c r="K66" s="127">
        <f t="shared" si="19"/>
        <v>0</v>
      </c>
      <c r="L66" s="127">
        <f t="shared" si="19"/>
        <v>0</v>
      </c>
      <c r="M66" s="127">
        <f t="shared" si="19"/>
        <v>0</v>
      </c>
      <c r="N66" s="127">
        <f t="shared" si="19"/>
        <v>0</v>
      </c>
      <c r="O66" s="127">
        <f t="shared" si="19"/>
        <v>0</v>
      </c>
      <c r="P66" s="127">
        <f t="shared" si="19"/>
        <v>0</v>
      </c>
      <c r="Q66" s="127">
        <f t="shared" si="19"/>
        <v>0</v>
      </c>
      <c r="R66" s="127">
        <f t="shared" si="19"/>
        <v>0</v>
      </c>
      <c r="S66" s="127">
        <f t="shared" si="19"/>
        <v>0</v>
      </c>
      <c r="T66" s="127">
        <f t="shared" si="19"/>
        <v>0</v>
      </c>
      <c r="U66" s="127">
        <f t="shared" si="19"/>
        <v>0</v>
      </c>
      <c r="V66" s="127">
        <f t="shared" si="3"/>
        <v>1</v>
      </c>
    </row>
    <row r="67" spans="1:22" hidden="1" x14ac:dyDescent="0.25">
      <c r="A67" s="61" t="s">
        <v>167</v>
      </c>
      <c r="B67" s="127">
        <f t="shared" ref="B67:U67" si="20">B20/$V20</f>
        <v>0</v>
      </c>
      <c r="C67" s="127">
        <f t="shared" si="20"/>
        <v>0</v>
      </c>
      <c r="D67" s="127">
        <f t="shared" si="20"/>
        <v>0</v>
      </c>
      <c r="E67" s="127">
        <f t="shared" si="20"/>
        <v>0</v>
      </c>
      <c r="F67" s="127">
        <f t="shared" si="20"/>
        <v>0</v>
      </c>
      <c r="G67" s="127">
        <f t="shared" si="20"/>
        <v>0</v>
      </c>
      <c r="H67" s="127">
        <f t="shared" si="20"/>
        <v>0</v>
      </c>
      <c r="I67" s="127">
        <f t="shared" si="20"/>
        <v>0</v>
      </c>
      <c r="J67" s="127">
        <f t="shared" si="20"/>
        <v>0.5</v>
      </c>
      <c r="K67" s="127">
        <f t="shared" si="20"/>
        <v>0</v>
      </c>
      <c r="L67" s="127">
        <f t="shared" si="20"/>
        <v>0</v>
      </c>
      <c r="M67" s="127">
        <f t="shared" si="20"/>
        <v>0</v>
      </c>
      <c r="N67" s="127">
        <f t="shared" si="20"/>
        <v>0</v>
      </c>
      <c r="O67" s="127">
        <f t="shared" si="20"/>
        <v>0</v>
      </c>
      <c r="P67" s="127">
        <f t="shared" si="20"/>
        <v>0</v>
      </c>
      <c r="Q67" s="127">
        <f t="shared" si="20"/>
        <v>0</v>
      </c>
      <c r="R67" s="127">
        <f t="shared" si="20"/>
        <v>0</v>
      </c>
      <c r="S67" s="127">
        <f t="shared" si="20"/>
        <v>0</v>
      </c>
      <c r="T67" s="127">
        <f t="shared" si="20"/>
        <v>0</v>
      </c>
      <c r="U67" s="127">
        <f t="shared" si="20"/>
        <v>0.5</v>
      </c>
      <c r="V67" s="127">
        <f t="shared" si="3"/>
        <v>1</v>
      </c>
    </row>
    <row r="68" spans="1:22" hidden="1" x14ac:dyDescent="0.25">
      <c r="A68" s="61" t="s">
        <v>168</v>
      </c>
      <c r="B68" s="127">
        <f t="shared" ref="B68:U68" si="21">B21/$V21</f>
        <v>0</v>
      </c>
      <c r="C68" s="127">
        <f t="shared" si="21"/>
        <v>0</v>
      </c>
      <c r="D68" s="127">
        <f t="shared" si="21"/>
        <v>0</v>
      </c>
      <c r="E68" s="127">
        <f t="shared" si="21"/>
        <v>0</v>
      </c>
      <c r="F68" s="127">
        <f t="shared" si="21"/>
        <v>0</v>
      </c>
      <c r="G68" s="127">
        <f t="shared" si="21"/>
        <v>0</v>
      </c>
      <c r="H68" s="127">
        <f t="shared" si="21"/>
        <v>0</v>
      </c>
      <c r="I68" s="127">
        <f t="shared" si="21"/>
        <v>1</v>
      </c>
      <c r="J68" s="127">
        <f t="shared" si="21"/>
        <v>0</v>
      </c>
      <c r="K68" s="127">
        <f t="shared" si="21"/>
        <v>0</v>
      </c>
      <c r="L68" s="127">
        <f t="shared" si="21"/>
        <v>0</v>
      </c>
      <c r="M68" s="127">
        <f t="shared" si="21"/>
        <v>0</v>
      </c>
      <c r="N68" s="127">
        <f t="shared" si="21"/>
        <v>0</v>
      </c>
      <c r="O68" s="127">
        <f t="shared" si="21"/>
        <v>0</v>
      </c>
      <c r="P68" s="127">
        <f t="shared" si="21"/>
        <v>0</v>
      </c>
      <c r="Q68" s="127">
        <f t="shared" si="21"/>
        <v>0</v>
      </c>
      <c r="R68" s="127">
        <f t="shared" si="21"/>
        <v>0</v>
      </c>
      <c r="S68" s="127">
        <f t="shared" si="21"/>
        <v>0</v>
      </c>
      <c r="T68" s="127">
        <f t="shared" si="21"/>
        <v>0</v>
      </c>
      <c r="U68" s="127">
        <f t="shared" si="21"/>
        <v>0</v>
      </c>
      <c r="V68" s="127">
        <f t="shared" si="3"/>
        <v>1</v>
      </c>
    </row>
    <row r="69" spans="1:22" hidden="1" x14ac:dyDescent="0.25">
      <c r="A69" s="61" t="s">
        <v>55</v>
      </c>
      <c r="B69" s="127">
        <f t="shared" ref="B69:U69" si="22">B22/$V22</f>
        <v>0</v>
      </c>
      <c r="C69" s="127">
        <f t="shared" si="22"/>
        <v>0</v>
      </c>
      <c r="D69" s="127">
        <f t="shared" si="22"/>
        <v>0</v>
      </c>
      <c r="E69" s="127">
        <f t="shared" si="22"/>
        <v>0</v>
      </c>
      <c r="F69" s="127">
        <f t="shared" si="22"/>
        <v>0</v>
      </c>
      <c r="G69" s="127">
        <f t="shared" si="22"/>
        <v>5.1085568326947632E-3</v>
      </c>
      <c r="H69" s="127">
        <f t="shared" si="22"/>
        <v>0.35502705946723384</v>
      </c>
      <c r="I69" s="127">
        <f t="shared" si="22"/>
        <v>0</v>
      </c>
      <c r="J69" s="127">
        <f t="shared" si="22"/>
        <v>0</v>
      </c>
      <c r="K69" s="127">
        <f t="shared" si="22"/>
        <v>0</v>
      </c>
      <c r="L69" s="127">
        <f t="shared" si="22"/>
        <v>2.6577454633741074E-2</v>
      </c>
      <c r="M69" s="127">
        <f t="shared" si="22"/>
        <v>3.5384058520350065E-2</v>
      </c>
      <c r="N69" s="127">
        <f t="shared" si="22"/>
        <v>6.0134638037425067E-2</v>
      </c>
      <c r="O69" s="127">
        <f t="shared" si="22"/>
        <v>0</v>
      </c>
      <c r="P69" s="127">
        <f t="shared" si="22"/>
        <v>0</v>
      </c>
      <c r="Q69" s="127">
        <f t="shared" si="22"/>
        <v>6.6843338094568688E-2</v>
      </c>
      <c r="R69" s="127">
        <f t="shared" si="22"/>
        <v>0</v>
      </c>
      <c r="S69" s="127">
        <f t="shared" si="22"/>
        <v>0</v>
      </c>
      <c r="T69" s="127">
        <f t="shared" si="22"/>
        <v>0</v>
      </c>
      <c r="U69" s="127">
        <f t="shared" si="22"/>
        <v>0.45092489441398653</v>
      </c>
      <c r="V69" s="127">
        <f t="shared" si="3"/>
        <v>1</v>
      </c>
    </row>
    <row r="70" spans="1:22" hidden="1" x14ac:dyDescent="0.25">
      <c r="A70" s="61" t="s">
        <v>74</v>
      </c>
      <c r="B70" s="127">
        <f t="shared" ref="B70:U70" si="23">B23/$V23</f>
        <v>0</v>
      </c>
      <c r="C70" s="127">
        <f t="shared" si="23"/>
        <v>0</v>
      </c>
      <c r="D70" s="127">
        <f t="shared" si="23"/>
        <v>0</v>
      </c>
      <c r="E70" s="127">
        <f t="shared" si="23"/>
        <v>0</v>
      </c>
      <c r="F70" s="127">
        <f t="shared" si="23"/>
        <v>0</v>
      </c>
      <c r="G70" s="127">
        <f t="shared" si="23"/>
        <v>0</v>
      </c>
      <c r="H70" s="127">
        <f t="shared" si="23"/>
        <v>6.8921395620138506E-2</v>
      </c>
      <c r="I70" s="127">
        <f t="shared" si="23"/>
        <v>0.44521672186883204</v>
      </c>
      <c r="J70" s="127">
        <f t="shared" si="23"/>
        <v>0</v>
      </c>
      <c r="K70" s="127">
        <f t="shared" si="23"/>
        <v>0.472795424441742</v>
      </c>
      <c r="L70" s="127">
        <f t="shared" si="23"/>
        <v>0</v>
      </c>
      <c r="M70" s="127">
        <f t="shared" si="23"/>
        <v>0</v>
      </c>
      <c r="N70" s="127">
        <f t="shared" si="23"/>
        <v>0</v>
      </c>
      <c r="O70" s="127">
        <f t="shared" si="23"/>
        <v>0</v>
      </c>
      <c r="P70" s="127">
        <f t="shared" si="23"/>
        <v>0</v>
      </c>
      <c r="Q70" s="127">
        <f t="shared" si="23"/>
        <v>1.3066458069287466E-2</v>
      </c>
      <c r="R70" s="127">
        <f t="shared" si="23"/>
        <v>0</v>
      </c>
      <c r="S70" s="127">
        <f t="shared" si="23"/>
        <v>0</v>
      </c>
      <c r="T70" s="127">
        <f t="shared" si="23"/>
        <v>0</v>
      </c>
      <c r="U70" s="127">
        <f t="shared" si="23"/>
        <v>0</v>
      </c>
      <c r="V70" s="127">
        <f t="shared" si="3"/>
        <v>1</v>
      </c>
    </row>
    <row r="71" spans="1:22" hidden="1" x14ac:dyDescent="0.25">
      <c r="A71" s="61" t="s">
        <v>169</v>
      </c>
      <c r="B71" s="127">
        <f t="shared" ref="B71:U71" si="24">B24/$V24</f>
        <v>0</v>
      </c>
      <c r="C71" s="127">
        <f t="shared" si="24"/>
        <v>1.6129032258064516E-2</v>
      </c>
      <c r="D71" s="127">
        <f t="shared" si="24"/>
        <v>0</v>
      </c>
      <c r="E71" s="127">
        <f t="shared" si="24"/>
        <v>0</v>
      </c>
      <c r="F71" s="127">
        <f t="shared" si="24"/>
        <v>0</v>
      </c>
      <c r="G71" s="127">
        <f t="shared" si="24"/>
        <v>0</v>
      </c>
      <c r="H71" s="127">
        <f t="shared" si="24"/>
        <v>0</v>
      </c>
      <c r="I71" s="127">
        <f t="shared" si="24"/>
        <v>0.42626728110599077</v>
      </c>
      <c r="J71" s="127">
        <f t="shared" si="24"/>
        <v>1.4285714285714285E-2</v>
      </c>
      <c r="K71" s="127">
        <f t="shared" si="24"/>
        <v>0</v>
      </c>
      <c r="L71" s="127">
        <f t="shared" si="24"/>
        <v>0</v>
      </c>
      <c r="M71" s="127">
        <f t="shared" si="24"/>
        <v>0</v>
      </c>
      <c r="N71" s="127">
        <f t="shared" si="24"/>
        <v>0</v>
      </c>
      <c r="O71" s="127">
        <f t="shared" si="24"/>
        <v>3.870967741935484E-2</v>
      </c>
      <c r="P71" s="127">
        <f t="shared" si="24"/>
        <v>0</v>
      </c>
      <c r="Q71" s="127">
        <f t="shared" si="24"/>
        <v>0</v>
      </c>
      <c r="R71" s="127">
        <f t="shared" si="24"/>
        <v>3.4562211981566822E-3</v>
      </c>
      <c r="S71" s="127">
        <f t="shared" si="24"/>
        <v>0</v>
      </c>
      <c r="T71" s="127">
        <f t="shared" si="24"/>
        <v>2.2580645161290321E-2</v>
      </c>
      <c r="U71" s="127">
        <f t="shared" si="24"/>
        <v>0.47857142857142859</v>
      </c>
      <c r="V71" s="127">
        <f t="shared" si="3"/>
        <v>1</v>
      </c>
    </row>
    <row r="72" spans="1:22" hidden="1" x14ac:dyDescent="0.25">
      <c r="A72" s="61" t="s">
        <v>170</v>
      </c>
      <c r="B72" s="127">
        <f t="shared" ref="B72:U72" si="25">B25/$V25</f>
        <v>0</v>
      </c>
      <c r="C72" s="127">
        <f t="shared" si="25"/>
        <v>0</v>
      </c>
      <c r="D72" s="127">
        <f t="shared" si="25"/>
        <v>0</v>
      </c>
      <c r="E72" s="127">
        <f t="shared" si="25"/>
        <v>0</v>
      </c>
      <c r="F72" s="127">
        <f t="shared" si="25"/>
        <v>0</v>
      </c>
      <c r="G72" s="127">
        <f t="shared" si="25"/>
        <v>0</v>
      </c>
      <c r="H72" s="127">
        <f t="shared" si="25"/>
        <v>0</v>
      </c>
      <c r="I72" s="127">
        <f t="shared" si="25"/>
        <v>1</v>
      </c>
      <c r="J72" s="127">
        <f t="shared" si="25"/>
        <v>0</v>
      </c>
      <c r="K72" s="127">
        <f t="shared" si="25"/>
        <v>0</v>
      </c>
      <c r="L72" s="127">
        <f t="shared" si="25"/>
        <v>0</v>
      </c>
      <c r="M72" s="127">
        <f t="shared" si="25"/>
        <v>0</v>
      </c>
      <c r="N72" s="127">
        <f t="shared" si="25"/>
        <v>0</v>
      </c>
      <c r="O72" s="127">
        <f t="shared" si="25"/>
        <v>0</v>
      </c>
      <c r="P72" s="127">
        <f t="shared" si="25"/>
        <v>0</v>
      </c>
      <c r="Q72" s="127">
        <f t="shared" si="25"/>
        <v>0</v>
      </c>
      <c r="R72" s="127">
        <f t="shared" si="25"/>
        <v>0</v>
      </c>
      <c r="S72" s="127">
        <f t="shared" si="25"/>
        <v>0</v>
      </c>
      <c r="T72" s="127">
        <f t="shared" si="25"/>
        <v>0</v>
      </c>
      <c r="U72" s="127">
        <f t="shared" si="25"/>
        <v>0</v>
      </c>
      <c r="V72" s="127">
        <f t="shared" si="3"/>
        <v>1</v>
      </c>
    </row>
    <row r="73" spans="1:22" hidden="1" x14ac:dyDescent="0.25">
      <c r="A73" s="61" t="s">
        <v>171</v>
      </c>
      <c r="B73" s="127">
        <f t="shared" ref="B73:U73" si="26">B26/$V26</f>
        <v>0</v>
      </c>
      <c r="C73" s="127">
        <f t="shared" si="26"/>
        <v>0</v>
      </c>
      <c r="D73" s="127">
        <f t="shared" si="26"/>
        <v>0</v>
      </c>
      <c r="E73" s="127">
        <f t="shared" si="26"/>
        <v>0</v>
      </c>
      <c r="F73" s="127">
        <f t="shared" si="26"/>
        <v>0</v>
      </c>
      <c r="G73" s="127">
        <f t="shared" si="26"/>
        <v>0</v>
      </c>
      <c r="H73" s="127">
        <f t="shared" si="26"/>
        <v>0</v>
      </c>
      <c r="I73" s="127">
        <f t="shared" si="26"/>
        <v>1</v>
      </c>
      <c r="J73" s="127">
        <f t="shared" si="26"/>
        <v>0</v>
      </c>
      <c r="K73" s="127">
        <f t="shared" si="26"/>
        <v>0</v>
      </c>
      <c r="L73" s="127">
        <f t="shared" si="26"/>
        <v>0</v>
      </c>
      <c r="M73" s="127">
        <f t="shared" si="26"/>
        <v>0</v>
      </c>
      <c r="N73" s="127">
        <f t="shared" si="26"/>
        <v>0</v>
      </c>
      <c r="O73" s="127">
        <f t="shared" si="26"/>
        <v>0</v>
      </c>
      <c r="P73" s="127">
        <f t="shared" si="26"/>
        <v>0</v>
      </c>
      <c r="Q73" s="127">
        <f t="shared" si="26"/>
        <v>0</v>
      </c>
      <c r="R73" s="127">
        <f t="shared" si="26"/>
        <v>0</v>
      </c>
      <c r="S73" s="127">
        <f t="shared" si="26"/>
        <v>0</v>
      </c>
      <c r="T73" s="127">
        <f t="shared" si="26"/>
        <v>0</v>
      </c>
      <c r="U73" s="127">
        <f t="shared" si="26"/>
        <v>0</v>
      </c>
      <c r="V73" s="127">
        <f t="shared" si="3"/>
        <v>1</v>
      </c>
    </row>
    <row r="74" spans="1:22" hidden="1" x14ac:dyDescent="0.25">
      <c r="A74" s="61" t="s">
        <v>172</v>
      </c>
      <c r="B74" s="127">
        <f t="shared" ref="B74:U74" si="27">B27/$V27</f>
        <v>0</v>
      </c>
      <c r="C74" s="127">
        <f t="shared" si="27"/>
        <v>0</v>
      </c>
      <c r="D74" s="127">
        <f t="shared" si="27"/>
        <v>0</v>
      </c>
      <c r="E74" s="127">
        <f t="shared" si="27"/>
        <v>0</v>
      </c>
      <c r="F74" s="127">
        <f t="shared" si="27"/>
        <v>0</v>
      </c>
      <c r="G74" s="127">
        <f t="shared" si="27"/>
        <v>0</v>
      </c>
      <c r="H74" s="127">
        <f t="shared" si="27"/>
        <v>0</v>
      </c>
      <c r="I74" s="127">
        <f t="shared" si="27"/>
        <v>1</v>
      </c>
      <c r="J74" s="127">
        <f t="shared" si="27"/>
        <v>0</v>
      </c>
      <c r="K74" s="127">
        <f t="shared" si="27"/>
        <v>0</v>
      </c>
      <c r="L74" s="127">
        <f t="shared" si="27"/>
        <v>0</v>
      </c>
      <c r="M74" s="127">
        <f t="shared" si="27"/>
        <v>0</v>
      </c>
      <c r="N74" s="127">
        <f t="shared" si="27"/>
        <v>0</v>
      </c>
      <c r="O74" s="127">
        <f t="shared" si="27"/>
        <v>0</v>
      </c>
      <c r="P74" s="127">
        <f t="shared" si="27"/>
        <v>0</v>
      </c>
      <c r="Q74" s="127">
        <f t="shared" si="27"/>
        <v>0</v>
      </c>
      <c r="R74" s="127">
        <f t="shared" si="27"/>
        <v>0</v>
      </c>
      <c r="S74" s="127">
        <f t="shared" si="27"/>
        <v>0</v>
      </c>
      <c r="T74" s="127">
        <f t="shared" si="27"/>
        <v>0</v>
      </c>
      <c r="U74" s="127">
        <f t="shared" si="27"/>
        <v>0</v>
      </c>
      <c r="V74" s="127">
        <f t="shared" si="3"/>
        <v>1</v>
      </c>
    </row>
    <row r="75" spans="1:22" hidden="1" x14ac:dyDescent="0.25">
      <c r="A75" s="61" t="s">
        <v>56</v>
      </c>
      <c r="B75" s="127">
        <f t="shared" ref="B75:U75" si="28">B28/$V28</f>
        <v>0</v>
      </c>
      <c r="C75" s="127">
        <f t="shared" si="28"/>
        <v>0</v>
      </c>
      <c r="D75" s="127">
        <f t="shared" si="28"/>
        <v>0</v>
      </c>
      <c r="E75" s="127">
        <f t="shared" si="28"/>
        <v>0</v>
      </c>
      <c r="F75" s="127">
        <f t="shared" si="28"/>
        <v>0.15094523995895892</v>
      </c>
      <c r="G75" s="127">
        <f t="shared" si="28"/>
        <v>0</v>
      </c>
      <c r="H75" s="127">
        <f t="shared" si="28"/>
        <v>0</v>
      </c>
      <c r="I75" s="127">
        <f t="shared" si="28"/>
        <v>0</v>
      </c>
      <c r="J75" s="127">
        <f t="shared" si="28"/>
        <v>0</v>
      </c>
      <c r="K75" s="127">
        <f t="shared" si="28"/>
        <v>0</v>
      </c>
      <c r="L75" s="127">
        <f t="shared" si="28"/>
        <v>0.31396700331349942</v>
      </c>
      <c r="M75" s="127">
        <f t="shared" si="28"/>
        <v>0</v>
      </c>
      <c r="N75" s="127">
        <f t="shared" si="28"/>
        <v>0</v>
      </c>
      <c r="O75" s="127">
        <f t="shared" si="28"/>
        <v>0</v>
      </c>
      <c r="P75" s="127">
        <f t="shared" si="28"/>
        <v>0</v>
      </c>
      <c r="Q75" s="127">
        <f t="shared" si="28"/>
        <v>0.53508775672754172</v>
      </c>
      <c r="R75" s="127">
        <f t="shared" si="28"/>
        <v>0</v>
      </c>
      <c r="S75" s="127">
        <f t="shared" si="28"/>
        <v>0</v>
      </c>
      <c r="T75" s="127">
        <f t="shared" si="28"/>
        <v>0</v>
      </c>
      <c r="U75" s="127">
        <f t="shared" si="28"/>
        <v>0</v>
      </c>
      <c r="V75" s="127">
        <f t="shared" si="3"/>
        <v>1</v>
      </c>
    </row>
    <row r="76" spans="1:22" hidden="1" x14ac:dyDescent="0.25">
      <c r="A76" s="61" t="s">
        <v>75</v>
      </c>
      <c r="B76" s="127">
        <f t="shared" ref="B76:U76" si="29">B29/$V29</f>
        <v>0</v>
      </c>
      <c r="C76" s="127">
        <f t="shared" si="29"/>
        <v>0</v>
      </c>
      <c r="D76" s="127">
        <f t="shared" si="29"/>
        <v>0</v>
      </c>
      <c r="E76" s="127">
        <f t="shared" si="29"/>
        <v>0</v>
      </c>
      <c r="F76" s="127">
        <f t="shared" si="29"/>
        <v>0</v>
      </c>
      <c r="G76" s="127">
        <f t="shared" si="29"/>
        <v>0</v>
      </c>
      <c r="H76" s="127">
        <f t="shared" si="29"/>
        <v>0</v>
      </c>
      <c r="I76" s="127">
        <f t="shared" si="29"/>
        <v>4.7375160051216378E-2</v>
      </c>
      <c r="J76" s="127">
        <f t="shared" si="29"/>
        <v>0</v>
      </c>
      <c r="K76" s="127">
        <f t="shared" si="29"/>
        <v>0</v>
      </c>
      <c r="L76" s="127">
        <f t="shared" si="29"/>
        <v>0.15364916773367476</v>
      </c>
      <c r="M76" s="127">
        <f t="shared" si="29"/>
        <v>0</v>
      </c>
      <c r="N76" s="127">
        <f t="shared" si="29"/>
        <v>0</v>
      </c>
      <c r="O76" s="127">
        <f t="shared" si="29"/>
        <v>0</v>
      </c>
      <c r="P76" s="127">
        <f t="shared" si="29"/>
        <v>0</v>
      </c>
      <c r="Q76" s="127">
        <f t="shared" si="29"/>
        <v>0.15364916773367476</v>
      </c>
      <c r="R76" s="127">
        <f t="shared" si="29"/>
        <v>0</v>
      </c>
      <c r="S76" s="127">
        <f t="shared" si="29"/>
        <v>0</v>
      </c>
      <c r="T76" s="127">
        <f t="shared" si="29"/>
        <v>0</v>
      </c>
      <c r="U76" s="127">
        <f t="shared" si="29"/>
        <v>0.64532650448143403</v>
      </c>
      <c r="V76" s="127">
        <f t="shared" si="3"/>
        <v>1</v>
      </c>
    </row>
    <row r="77" spans="1:22" hidden="1" x14ac:dyDescent="0.25">
      <c r="A77" s="61" t="s">
        <v>173</v>
      </c>
      <c r="B77" s="127">
        <f t="shared" ref="B77:U77" si="30">B30/$V30</f>
        <v>0</v>
      </c>
      <c r="C77" s="127">
        <f t="shared" si="30"/>
        <v>0</v>
      </c>
      <c r="D77" s="127">
        <f t="shared" si="30"/>
        <v>0</v>
      </c>
      <c r="E77" s="127">
        <f t="shared" si="30"/>
        <v>0</v>
      </c>
      <c r="F77" s="127">
        <f t="shared" si="30"/>
        <v>0</v>
      </c>
      <c r="G77" s="127">
        <f t="shared" si="30"/>
        <v>0</v>
      </c>
      <c r="H77" s="127">
        <f t="shared" si="30"/>
        <v>0</v>
      </c>
      <c r="I77" s="127">
        <f t="shared" si="30"/>
        <v>1</v>
      </c>
      <c r="J77" s="127">
        <f t="shared" si="30"/>
        <v>0</v>
      </c>
      <c r="K77" s="127">
        <f t="shared" si="30"/>
        <v>0</v>
      </c>
      <c r="L77" s="127">
        <f t="shared" si="30"/>
        <v>0</v>
      </c>
      <c r="M77" s="127">
        <f t="shared" si="30"/>
        <v>0</v>
      </c>
      <c r="N77" s="127">
        <f t="shared" si="30"/>
        <v>0</v>
      </c>
      <c r="O77" s="127">
        <f t="shared" si="30"/>
        <v>0</v>
      </c>
      <c r="P77" s="127">
        <f t="shared" si="30"/>
        <v>0</v>
      </c>
      <c r="Q77" s="127">
        <f t="shared" si="30"/>
        <v>0</v>
      </c>
      <c r="R77" s="127">
        <f t="shared" si="30"/>
        <v>0</v>
      </c>
      <c r="S77" s="127">
        <f t="shared" si="30"/>
        <v>0</v>
      </c>
      <c r="T77" s="127">
        <f t="shared" si="30"/>
        <v>0</v>
      </c>
      <c r="U77" s="127">
        <f t="shared" si="30"/>
        <v>0</v>
      </c>
      <c r="V77" s="127">
        <f t="shared" si="3"/>
        <v>1</v>
      </c>
    </row>
    <row r="78" spans="1:22" hidden="1" x14ac:dyDescent="0.25">
      <c r="A78" s="61" t="s">
        <v>174</v>
      </c>
      <c r="B78" s="127">
        <f t="shared" ref="B78:U78" si="31">B31/$V31</f>
        <v>0</v>
      </c>
      <c r="C78" s="127">
        <f t="shared" si="31"/>
        <v>0</v>
      </c>
      <c r="D78" s="127">
        <f t="shared" si="31"/>
        <v>0</v>
      </c>
      <c r="E78" s="127">
        <f t="shared" si="31"/>
        <v>0</v>
      </c>
      <c r="F78" s="127">
        <f t="shared" si="31"/>
        <v>0</v>
      </c>
      <c r="G78" s="127">
        <f t="shared" si="31"/>
        <v>0</v>
      </c>
      <c r="H78" s="127">
        <f t="shared" si="31"/>
        <v>0</v>
      </c>
      <c r="I78" s="127">
        <f t="shared" si="31"/>
        <v>1</v>
      </c>
      <c r="J78" s="127">
        <f t="shared" si="31"/>
        <v>0</v>
      </c>
      <c r="K78" s="127">
        <f t="shared" si="31"/>
        <v>0</v>
      </c>
      <c r="L78" s="127">
        <f t="shared" si="31"/>
        <v>0</v>
      </c>
      <c r="M78" s="127">
        <f t="shared" si="31"/>
        <v>0</v>
      </c>
      <c r="N78" s="127">
        <f t="shared" si="31"/>
        <v>0</v>
      </c>
      <c r="O78" s="127">
        <f t="shared" si="31"/>
        <v>0</v>
      </c>
      <c r="P78" s="127">
        <f t="shared" si="31"/>
        <v>0</v>
      </c>
      <c r="Q78" s="127">
        <f t="shared" si="31"/>
        <v>0</v>
      </c>
      <c r="R78" s="127">
        <f t="shared" si="31"/>
        <v>0</v>
      </c>
      <c r="S78" s="127">
        <f t="shared" si="31"/>
        <v>0</v>
      </c>
      <c r="T78" s="127">
        <f t="shared" si="31"/>
        <v>0</v>
      </c>
      <c r="U78" s="127">
        <f t="shared" si="31"/>
        <v>0</v>
      </c>
      <c r="V78" s="127">
        <f t="shared" si="3"/>
        <v>1</v>
      </c>
    </row>
    <row r="79" spans="1:22" hidden="1" x14ac:dyDescent="0.25">
      <c r="A79" s="61" t="s">
        <v>61</v>
      </c>
      <c r="B79" s="127">
        <f t="shared" ref="B79:U79" si="32">B32/$V32</f>
        <v>0</v>
      </c>
      <c r="C79" s="127">
        <f t="shared" si="32"/>
        <v>0</v>
      </c>
      <c r="D79" s="127">
        <f t="shared" si="32"/>
        <v>0</v>
      </c>
      <c r="E79" s="127">
        <f t="shared" si="32"/>
        <v>0</v>
      </c>
      <c r="F79" s="127">
        <f t="shared" si="32"/>
        <v>0</v>
      </c>
      <c r="G79" s="127">
        <f t="shared" si="32"/>
        <v>0</v>
      </c>
      <c r="H79" s="127">
        <f t="shared" si="32"/>
        <v>0.46286734083938419</v>
      </c>
      <c r="I79" s="127">
        <f t="shared" si="32"/>
        <v>0</v>
      </c>
      <c r="J79" s="127">
        <f t="shared" si="32"/>
        <v>0</v>
      </c>
      <c r="K79" s="127">
        <f t="shared" si="32"/>
        <v>0</v>
      </c>
      <c r="L79" s="127">
        <f t="shared" si="32"/>
        <v>0</v>
      </c>
      <c r="M79" s="127">
        <f t="shared" si="32"/>
        <v>0</v>
      </c>
      <c r="N79" s="127">
        <f t="shared" si="32"/>
        <v>0</v>
      </c>
      <c r="O79" s="127">
        <f t="shared" si="32"/>
        <v>0</v>
      </c>
      <c r="P79" s="127">
        <f t="shared" si="32"/>
        <v>0</v>
      </c>
      <c r="Q79" s="127">
        <f t="shared" si="32"/>
        <v>0.3151847293821895</v>
      </c>
      <c r="R79" s="127">
        <f t="shared" si="32"/>
        <v>0</v>
      </c>
      <c r="S79" s="127">
        <f t="shared" si="32"/>
        <v>0.22194792977842628</v>
      </c>
      <c r="T79" s="127">
        <f t="shared" si="32"/>
        <v>0</v>
      </c>
      <c r="U79" s="127">
        <f t="shared" si="32"/>
        <v>0</v>
      </c>
      <c r="V79" s="127">
        <f t="shared" si="3"/>
        <v>0.99999999999999989</v>
      </c>
    </row>
    <row r="80" spans="1:22" hidden="1" x14ac:dyDescent="0.25">
      <c r="A80" s="61" t="s">
        <v>175</v>
      </c>
      <c r="B80" s="127">
        <f t="shared" ref="B80:U80" si="33">B33/$V33</f>
        <v>0</v>
      </c>
      <c r="C80" s="127">
        <f t="shared" si="33"/>
        <v>0</v>
      </c>
      <c r="D80" s="127">
        <f t="shared" si="33"/>
        <v>0</v>
      </c>
      <c r="E80" s="127">
        <f t="shared" si="33"/>
        <v>0</v>
      </c>
      <c r="F80" s="127">
        <f t="shared" si="33"/>
        <v>0</v>
      </c>
      <c r="G80" s="127">
        <f t="shared" si="33"/>
        <v>0</v>
      </c>
      <c r="H80" s="127">
        <f t="shared" si="33"/>
        <v>0</v>
      </c>
      <c r="I80" s="127">
        <f t="shared" si="33"/>
        <v>0.97560975609756095</v>
      </c>
      <c r="J80" s="127">
        <f t="shared" si="33"/>
        <v>0</v>
      </c>
      <c r="K80" s="127">
        <f t="shared" si="33"/>
        <v>0</v>
      </c>
      <c r="L80" s="127">
        <f t="shared" si="33"/>
        <v>0</v>
      </c>
      <c r="M80" s="127">
        <f t="shared" si="33"/>
        <v>0</v>
      </c>
      <c r="N80" s="127">
        <f t="shared" si="33"/>
        <v>0</v>
      </c>
      <c r="O80" s="127">
        <f t="shared" si="33"/>
        <v>2.4390243902439025E-2</v>
      </c>
      <c r="P80" s="127">
        <f t="shared" si="33"/>
        <v>0</v>
      </c>
      <c r="Q80" s="127">
        <f t="shared" si="33"/>
        <v>0</v>
      </c>
      <c r="R80" s="127">
        <f t="shared" si="33"/>
        <v>0</v>
      </c>
      <c r="S80" s="127">
        <f t="shared" si="33"/>
        <v>0</v>
      </c>
      <c r="T80" s="127">
        <f t="shared" si="33"/>
        <v>0</v>
      </c>
      <c r="U80" s="127">
        <f t="shared" si="33"/>
        <v>0</v>
      </c>
      <c r="V80" s="127">
        <f t="shared" si="3"/>
        <v>1</v>
      </c>
    </row>
    <row r="81" spans="1:22" hidden="1" x14ac:dyDescent="0.25">
      <c r="A81" s="61" t="s">
        <v>176</v>
      </c>
      <c r="B81" s="127">
        <f t="shared" ref="B81:U81" si="34">B34/$V34</f>
        <v>0</v>
      </c>
      <c r="C81" s="127">
        <f t="shared" si="34"/>
        <v>0</v>
      </c>
      <c r="D81" s="127">
        <f t="shared" si="34"/>
        <v>0</v>
      </c>
      <c r="E81" s="127">
        <f t="shared" si="34"/>
        <v>0</v>
      </c>
      <c r="F81" s="127">
        <f t="shared" si="34"/>
        <v>0</v>
      </c>
      <c r="G81" s="127">
        <f t="shared" si="34"/>
        <v>0</v>
      </c>
      <c r="H81" s="127">
        <f t="shared" si="34"/>
        <v>0</v>
      </c>
      <c r="I81" s="127">
        <f t="shared" si="34"/>
        <v>0</v>
      </c>
      <c r="J81" s="127">
        <f t="shared" si="34"/>
        <v>0</v>
      </c>
      <c r="K81" s="127">
        <f t="shared" si="34"/>
        <v>0</v>
      </c>
      <c r="L81" s="127">
        <f t="shared" si="34"/>
        <v>0</v>
      </c>
      <c r="M81" s="127">
        <f t="shared" si="34"/>
        <v>0</v>
      </c>
      <c r="N81" s="127">
        <f t="shared" si="34"/>
        <v>0</v>
      </c>
      <c r="O81" s="127">
        <f t="shared" si="34"/>
        <v>0</v>
      </c>
      <c r="P81" s="127">
        <f t="shared" si="34"/>
        <v>0</v>
      </c>
      <c r="Q81" s="127">
        <f t="shared" si="34"/>
        <v>0</v>
      </c>
      <c r="R81" s="127">
        <f t="shared" si="34"/>
        <v>0</v>
      </c>
      <c r="S81" s="127">
        <f t="shared" si="34"/>
        <v>0</v>
      </c>
      <c r="T81" s="127">
        <f t="shared" si="34"/>
        <v>1</v>
      </c>
      <c r="U81" s="127">
        <f t="shared" si="34"/>
        <v>0</v>
      </c>
      <c r="V81" s="127">
        <f t="shared" si="3"/>
        <v>1</v>
      </c>
    </row>
    <row r="82" spans="1:22" hidden="1" x14ac:dyDescent="0.25">
      <c r="A82" s="61" t="s">
        <v>177</v>
      </c>
      <c r="B82" s="127">
        <f t="shared" ref="B82:U82" si="35">B35/$V35</f>
        <v>0</v>
      </c>
      <c r="C82" s="127">
        <f t="shared" si="35"/>
        <v>0</v>
      </c>
      <c r="D82" s="127">
        <f t="shared" si="35"/>
        <v>0</v>
      </c>
      <c r="E82" s="127">
        <f t="shared" si="35"/>
        <v>0</v>
      </c>
      <c r="F82" s="127">
        <f t="shared" si="35"/>
        <v>0</v>
      </c>
      <c r="G82" s="127">
        <f t="shared" si="35"/>
        <v>0</v>
      </c>
      <c r="H82" s="127">
        <f t="shared" si="35"/>
        <v>0</v>
      </c>
      <c r="I82" s="127">
        <f t="shared" si="35"/>
        <v>0.36470058532192706</v>
      </c>
      <c r="J82" s="127">
        <f t="shared" si="35"/>
        <v>0.23683025664115265</v>
      </c>
      <c r="K82" s="127">
        <f t="shared" si="35"/>
        <v>0</v>
      </c>
      <c r="L82" s="127">
        <f t="shared" si="35"/>
        <v>0</v>
      </c>
      <c r="M82" s="127">
        <f t="shared" si="35"/>
        <v>0</v>
      </c>
      <c r="N82" s="127">
        <f t="shared" si="35"/>
        <v>0</v>
      </c>
      <c r="O82" s="127">
        <f t="shared" si="35"/>
        <v>0</v>
      </c>
      <c r="P82" s="127">
        <f t="shared" si="35"/>
        <v>0</v>
      </c>
      <c r="Q82" s="127">
        <f t="shared" si="35"/>
        <v>0</v>
      </c>
      <c r="R82" s="127">
        <f t="shared" si="35"/>
        <v>0</v>
      </c>
      <c r="S82" s="127">
        <f t="shared" si="35"/>
        <v>0</v>
      </c>
      <c r="T82" s="127">
        <f t="shared" si="35"/>
        <v>0</v>
      </c>
      <c r="U82" s="127">
        <f t="shared" si="35"/>
        <v>0.39846915803692029</v>
      </c>
      <c r="V82" s="127">
        <f t="shared" si="3"/>
        <v>1</v>
      </c>
    </row>
    <row r="83" spans="1:22" hidden="1" x14ac:dyDescent="0.25">
      <c r="A83" s="61" t="s">
        <v>178</v>
      </c>
      <c r="B83" s="127">
        <f t="shared" ref="B83:U83" si="36">B36/$V36</f>
        <v>0</v>
      </c>
      <c r="C83" s="127">
        <f t="shared" si="36"/>
        <v>0</v>
      </c>
      <c r="D83" s="127">
        <f t="shared" si="36"/>
        <v>0</v>
      </c>
      <c r="E83" s="127">
        <f t="shared" si="36"/>
        <v>0</v>
      </c>
      <c r="F83" s="127">
        <f t="shared" si="36"/>
        <v>0</v>
      </c>
      <c r="G83" s="127">
        <f t="shared" si="36"/>
        <v>0</v>
      </c>
      <c r="H83" s="127">
        <f t="shared" si="36"/>
        <v>0</v>
      </c>
      <c r="I83" s="127">
        <f t="shared" si="36"/>
        <v>1</v>
      </c>
      <c r="J83" s="127">
        <f t="shared" si="36"/>
        <v>0</v>
      </c>
      <c r="K83" s="127">
        <f t="shared" si="36"/>
        <v>0</v>
      </c>
      <c r="L83" s="127">
        <f t="shared" si="36"/>
        <v>0</v>
      </c>
      <c r="M83" s="127">
        <f t="shared" si="36"/>
        <v>0</v>
      </c>
      <c r="N83" s="127">
        <f t="shared" si="36"/>
        <v>0</v>
      </c>
      <c r="O83" s="127">
        <f t="shared" si="36"/>
        <v>0</v>
      </c>
      <c r="P83" s="127">
        <f t="shared" si="36"/>
        <v>0</v>
      </c>
      <c r="Q83" s="127">
        <f t="shared" si="36"/>
        <v>0</v>
      </c>
      <c r="R83" s="127">
        <f t="shared" si="36"/>
        <v>0</v>
      </c>
      <c r="S83" s="127">
        <f t="shared" si="36"/>
        <v>0</v>
      </c>
      <c r="T83" s="127">
        <f t="shared" si="36"/>
        <v>0</v>
      </c>
      <c r="U83" s="127">
        <f t="shared" si="36"/>
        <v>0</v>
      </c>
      <c r="V83" s="127">
        <f t="shared" si="3"/>
        <v>1</v>
      </c>
    </row>
    <row r="84" spans="1:22" hidden="1" x14ac:dyDescent="0.25">
      <c r="A84" s="61" t="s">
        <v>179</v>
      </c>
      <c r="B84" s="127">
        <f t="shared" ref="B84:U84" si="37">B37/$V37</f>
        <v>0</v>
      </c>
      <c r="C84" s="127">
        <f t="shared" si="37"/>
        <v>0</v>
      </c>
      <c r="D84" s="127">
        <f t="shared" si="37"/>
        <v>0</v>
      </c>
      <c r="E84" s="127">
        <f t="shared" si="37"/>
        <v>0</v>
      </c>
      <c r="F84" s="127">
        <f t="shared" si="37"/>
        <v>0</v>
      </c>
      <c r="G84" s="127">
        <f t="shared" si="37"/>
        <v>0</v>
      </c>
      <c r="H84" s="127">
        <f t="shared" si="37"/>
        <v>0</v>
      </c>
      <c r="I84" s="127">
        <f t="shared" si="37"/>
        <v>1</v>
      </c>
      <c r="J84" s="127">
        <f t="shared" si="37"/>
        <v>0</v>
      </c>
      <c r="K84" s="127">
        <f t="shared" si="37"/>
        <v>0</v>
      </c>
      <c r="L84" s="127">
        <f t="shared" si="37"/>
        <v>0</v>
      </c>
      <c r="M84" s="127">
        <f t="shared" si="37"/>
        <v>0</v>
      </c>
      <c r="N84" s="127">
        <f t="shared" si="37"/>
        <v>0</v>
      </c>
      <c r="O84" s="127">
        <f t="shared" si="37"/>
        <v>0</v>
      </c>
      <c r="P84" s="127">
        <f t="shared" si="37"/>
        <v>0</v>
      </c>
      <c r="Q84" s="127">
        <f t="shared" si="37"/>
        <v>0</v>
      </c>
      <c r="R84" s="127">
        <f t="shared" si="37"/>
        <v>0</v>
      </c>
      <c r="S84" s="127">
        <f t="shared" si="37"/>
        <v>0</v>
      </c>
      <c r="T84" s="127">
        <f t="shared" si="37"/>
        <v>0</v>
      </c>
      <c r="U84" s="127">
        <f t="shared" si="37"/>
        <v>0</v>
      </c>
      <c r="V84" s="127">
        <f t="shared" si="3"/>
        <v>1</v>
      </c>
    </row>
    <row r="85" spans="1:22" hidden="1" x14ac:dyDescent="0.25">
      <c r="A85" s="61" t="s">
        <v>180</v>
      </c>
      <c r="B85" s="127">
        <f t="shared" ref="B85:U85" si="38">B38/$V38</f>
        <v>0</v>
      </c>
      <c r="C85" s="127">
        <f t="shared" si="38"/>
        <v>0</v>
      </c>
      <c r="D85" s="127">
        <f t="shared" si="38"/>
        <v>0</v>
      </c>
      <c r="E85" s="127">
        <f t="shared" si="38"/>
        <v>0</v>
      </c>
      <c r="F85" s="127">
        <f t="shared" si="38"/>
        <v>0</v>
      </c>
      <c r="G85" s="127">
        <f t="shared" si="38"/>
        <v>0</v>
      </c>
      <c r="H85" s="127">
        <f t="shared" si="38"/>
        <v>0</v>
      </c>
      <c r="I85" s="127">
        <f t="shared" si="38"/>
        <v>0.93420000000000003</v>
      </c>
      <c r="J85" s="127">
        <f t="shared" si="38"/>
        <v>0</v>
      </c>
      <c r="K85" s="127">
        <f t="shared" si="38"/>
        <v>0</v>
      </c>
      <c r="L85" s="127">
        <f t="shared" si="38"/>
        <v>0</v>
      </c>
      <c r="M85" s="127">
        <f t="shared" si="38"/>
        <v>0</v>
      </c>
      <c r="N85" s="127">
        <f t="shared" si="38"/>
        <v>0</v>
      </c>
      <c r="O85" s="127">
        <f t="shared" si="38"/>
        <v>8.5000000000000006E-3</v>
      </c>
      <c r="P85" s="127">
        <f t="shared" si="38"/>
        <v>0</v>
      </c>
      <c r="Q85" s="127">
        <f t="shared" si="38"/>
        <v>0</v>
      </c>
      <c r="R85" s="127">
        <f t="shared" si="38"/>
        <v>0</v>
      </c>
      <c r="S85" s="127">
        <f t="shared" si="38"/>
        <v>0</v>
      </c>
      <c r="T85" s="127">
        <f t="shared" si="38"/>
        <v>0</v>
      </c>
      <c r="U85" s="127">
        <f t="shared" si="38"/>
        <v>5.7300000000000004E-2</v>
      </c>
      <c r="V85" s="127">
        <f t="shared" si="3"/>
        <v>1</v>
      </c>
    </row>
    <row r="86" spans="1:22" hidden="1" x14ac:dyDescent="0.25">
      <c r="A86" s="61" t="s">
        <v>181</v>
      </c>
      <c r="B86" s="127">
        <f t="shared" ref="B86:U86" si="39">B39/$V39</f>
        <v>0</v>
      </c>
      <c r="C86" s="127">
        <f t="shared" si="39"/>
        <v>0</v>
      </c>
      <c r="D86" s="127">
        <f t="shared" si="39"/>
        <v>0</v>
      </c>
      <c r="E86" s="127">
        <f t="shared" si="39"/>
        <v>0</v>
      </c>
      <c r="F86" s="127">
        <f t="shared" si="39"/>
        <v>0</v>
      </c>
      <c r="G86" s="127">
        <f t="shared" si="39"/>
        <v>0</v>
      </c>
      <c r="H86" s="127">
        <f t="shared" si="39"/>
        <v>0</v>
      </c>
      <c r="I86" s="127">
        <f t="shared" si="39"/>
        <v>1</v>
      </c>
      <c r="J86" s="127">
        <f t="shared" si="39"/>
        <v>0</v>
      </c>
      <c r="K86" s="127">
        <f t="shared" si="39"/>
        <v>0</v>
      </c>
      <c r="L86" s="127">
        <f t="shared" si="39"/>
        <v>0</v>
      </c>
      <c r="M86" s="127">
        <f t="shared" si="39"/>
        <v>0</v>
      </c>
      <c r="N86" s="127">
        <f t="shared" si="39"/>
        <v>0</v>
      </c>
      <c r="O86" s="127">
        <f t="shared" si="39"/>
        <v>0</v>
      </c>
      <c r="P86" s="127">
        <f t="shared" si="39"/>
        <v>0</v>
      </c>
      <c r="Q86" s="127">
        <f t="shared" si="39"/>
        <v>0</v>
      </c>
      <c r="R86" s="127">
        <f t="shared" si="39"/>
        <v>0</v>
      </c>
      <c r="S86" s="127">
        <f t="shared" si="39"/>
        <v>0</v>
      </c>
      <c r="T86" s="127">
        <f t="shared" si="39"/>
        <v>0</v>
      </c>
      <c r="U86" s="127">
        <f t="shared" si="39"/>
        <v>0</v>
      </c>
      <c r="V86" s="127">
        <f t="shared" si="3"/>
        <v>1</v>
      </c>
    </row>
    <row r="87" spans="1:22" hidden="1" x14ac:dyDescent="0.25">
      <c r="A87" s="61" t="s">
        <v>182</v>
      </c>
      <c r="B87" s="127">
        <f t="shared" ref="B87:U87" si="40">B40/$V40</f>
        <v>0</v>
      </c>
      <c r="C87" s="127">
        <f t="shared" si="40"/>
        <v>2.8076743097800653E-3</v>
      </c>
      <c r="D87" s="127">
        <f t="shared" si="40"/>
        <v>0</v>
      </c>
      <c r="E87" s="127">
        <f t="shared" si="40"/>
        <v>0</v>
      </c>
      <c r="F87" s="127">
        <f t="shared" si="40"/>
        <v>0</v>
      </c>
      <c r="G87" s="127">
        <f t="shared" si="40"/>
        <v>0</v>
      </c>
      <c r="H87" s="127">
        <f t="shared" si="40"/>
        <v>0</v>
      </c>
      <c r="I87" s="127">
        <f t="shared" si="40"/>
        <v>0.23139915769770705</v>
      </c>
      <c r="J87" s="127">
        <f t="shared" si="40"/>
        <v>0</v>
      </c>
      <c r="K87" s="127">
        <f t="shared" si="40"/>
        <v>0.28310715956948995</v>
      </c>
      <c r="L87" s="127">
        <f t="shared" si="40"/>
        <v>0</v>
      </c>
      <c r="M87" s="127">
        <f t="shared" si="40"/>
        <v>0</v>
      </c>
      <c r="N87" s="127">
        <f t="shared" si="40"/>
        <v>0</v>
      </c>
      <c r="O87" s="127">
        <f t="shared" si="40"/>
        <v>1.2166588675713618E-2</v>
      </c>
      <c r="P87" s="127">
        <f t="shared" si="40"/>
        <v>0</v>
      </c>
      <c r="Q87" s="127">
        <f t="shared" si="40"/>
        <v>0</v>
      </c>
      <c r="R87" s="127">
        <f t="shared" si="40"/>
        <v>0</v>
      </c>
      <c r="S87" s="127">
        <f t="shared" si="40"/>
        <v>0</v>
      </c>
      <c r="T87" s="127">
        <f t="shared" si="40"/>
        <v>0</v>
      </c>
      <c r="U87" s="127">
        <f t="shared" si="40"/>
        <v>0.47051941974730932</v>
      </c>
      <c r="V87" s="127">
        <f t="shared" si="3"/>
        <v>1</v>
      </c>
    </row>
    <row r="88" spans="1:22" hidden="1" x14ac:dyDescent="0.25">
      <c r="A88" s="61" t="s">
        <v>183</v>
      </c>
      <c r="B88" s="127">
        <f t="shared" ref="B88:U88" si="41">B41/$V41</f>
        <v>0</v>
      </c>
      <c r="C88" s="127">
        <f t="shared" si="41"/>
        <v>0</v>
      </c>
      <c r="D88" s="127">
        <f t="shared" si="41"/>
        <v>0</v>
      </c>
      <c r="E88" s="127">
        <f t="shared" si="41"/>
        <v>0</v>
      </c>
      <c r="F88" s="127">
        <f t="shared" si="41"/>
        <v>0</v>
      </c>
      <c r="G88" s="127">
        <f t="shared" si="41"/>
        <v>0</v>
      </c>
      <c r="H88" s="127">
        <f t="shared" si="41"/>
        <v>0</v>
      </c>
      <c r="I88" s="127">
        <f t="shared" si="41"/>
        <v>1.26E-2</v>
      </c>
      <c r="J88" s="127">
        <f t="shared" si="41"/>
        <v>0</v>
      </c>
      <c r="K88" s="127">
        <f t="shared" si="41"/>
        <v>0</v>
      </c>
      <c r="L88" s="127">
        <f t="shared" si="41"/>
        <v>0</v>
      </c>
      <c r="M88" s="127">
        <f t="shared" si="41"/>
        <v>0</v>
      </c>
      <c r="N88" s="127">
        <f t="shared" si="41"/>
        <v>0</v>
      </c>
      <c r="O88" s="127">
        <f t="shared" si="41"/>
        <v>0</v>
      </c>
      <c r="P88" s="127">
        <f t="shared" si="41"/>
        <v>0</v>
      </c>
      <c r="Q88" s="127">
        <f t="shared" si="41"/>
        <v>0</v>
      </c>
      <c r="R88" s="127">
        <f t="shared" si="41"/>
        <v>0</v>
      </c>
      <c r="S88" s="127">
        <f t="shared" si="41"/>
        <v>0</v>
      </c>
      <c r="T88" s="127">
        <f t="shared" si="41"/>
        <v>0</v>
      </c>
      <c r="U88" s="127">
        <f t="shared" si="41"/>
        <v>0.98739999999999994</v>
      </c>
      <c r="V88" s="127">
        <f t="shared" si="3"/>
        <v>1</v>
      </c>
    </row>
    <row r="89" spans="1:22" hidden="1" x14ac:dyDescent="0.25">
      <c r="A89" s="61" t="s">
        <v>58</v>
      </c>
      <c r="B89" s="127">
        <f t="shared" ref="B89:U89" si="42">B42/$V42</f>
        <v>0</v>
      </c>
      <c r="C89" s="127">
        <f t="shared" si="42"/>
        <v>6.8967551727984328E-2</v>
      </c>
      <c r="D89" s="127">
        <f t="shared" si="42"/>
        <v>0</v>
      </c>
      <c r="E89" s="127">
        <f t="shared" si="42"/>
        <v>0</v>
      </c>
      <c r="F89" s="127">
        <f t="shared" si="42"/>
        <v>0</v>
      </c>
      <c r="G89" s="127">
        <f t="shared" si="42"/>
        <v>0</v>
      </c>
      <c r="H89" s="127">
        <f t="shared" si="42"/>
        <v>1.5778229645837805E-2</v>
      </c>
      <c r="I89" s="127">
        <f t="shared" si="42"/>
        <v>0.43689190607346001</v>
      </c>
      <c r="J89" s="127">
        <f t="shared" si="42"/>
        <v>0.10181004612493387</v>
      </c>
      <c r="K89" s="127">
        <f t="shared" si="42"/>
        <v>0.18582282773753178</v>
      </c>
      <c r="L89" s="127">
        <f t="shared" si="42"/>
        <v>0</v>
      </c>
      <c r="M89" s="127">
        <f t="shared" si="42"/>
        <v>0</v>
      </c>
      <c r="N89" s="127">
        <f t="shared" si="42"/>
        <v>2.3087689705818648E-2</v>
      </c>
      <c r="O89" s="127">
        <f t="shared" si="42"/>
        <v>2.080239638342006E-2</v>
      </c>
      <c r="P89" s="127">
        <f t="shared" si="42"/>
        <v>0</v>
      </c>
      <c r="Q89" s="127">
        <f t="shared" si="42"/>
        <v>7.2395534164375913E-2</v>
      </c>
      <c r="R89" s="127">
        <f t="shared" si="42"/>
        <v>0</v>
      </c>
      <c r="S89" s="127">
        <f t="shared" si="42"/>
        <v>0</v>
      </c>
      <c r="T89" s="127">
        <f t="shared" si="42"/>
        <v>0</v>
      </c>
      <c r="U89" s="127">
        <f t="shared" si="42"/>
        <v>7.4443818436637457E-2</v>
      </c>
      <c r="V89" s="127">
        <f t="shared" si="3"/>
        <v>0.99999999999999989</v>
      </c>
    </row>
    <row r="90" spans="1:22" hidden="1" x14ac:dyDescent="0.25">
      <c r="A90" s="61" t="s">
        <v>184</v>
      </c>
      <c r="B90" s="127">
        <f t="shared" ref="B90:U90" si="43">B43/$V43</f>
        <v>0</v>
      </c>
      <c r="C90" s="127">
        <f t="shared" si="43"/>
        <v>0</v>
      </c>
      <c r="D90" s="127">
        <f t="shared" si="43"/>
        <v>0</v>
      </c>
      <c r="E90" s="127">
        <f t="shared" si="43"/>
        <v>0</v>
      </c>
      <c r="F90" s="127">
        <f t="shared" si="43"/>
        <v>0</v>
      </c>
      <c r="G90" s="127">
        <f t="shared" si="43"/>
        <v>0</v>
      </c>
      <c r="H90" s="127">
        <f t="shared" si="43"/>
        <v>0</v>
      </c>
      <c r="I90" s="127">
        <f t="shared" si="43"/>
        <v>1</v>
      </c>
      <c r="J90" s="127">
        <f t="shared" si="43"/>
        <v>0</v>
      </c>
      <c r="K90" s="127">
        <f t="shared" si="43"/>
        <v>0</v>
      </c>
      <c r="L90" s="127">
        <f t="shared" si="43"/>
        <v>0</v>
      </c>
      <c r="M90" s="127">
        <f t="shared" si="43"/>
        <v>0</v>
      </c>
      <c r="N90" s="127">
        <f t="shared" si="43"/>
        <v>0</v>
      </c>
      <c r="O90" s="127">
        <f t="shared" si="43"/>
        <v>0</v>
      </c>
      <c r="P90" s="127">
        <f t="shared" si="43"/>
        <v>0</v>
      </c>
      <c r="Q90" s="127">
        <f t="shared" si="43"/>
        <v>0</v>
      </c>
      <c r="R90" s="127">
        <f t="shared" si="43"/>
        <v>0</v>
      </c>
      <c r="S90" s="127">
        <f t="shared" si="43"/>
        <v>0</v>
      </c>
      <c r="T90" s="127">
        <f t="shared" si="43"/>
        <v>0</v>
      </c>
      <c r="U90" s="127">
        <f t="shared" si="43"/>
        <v>0</v>
      </c>
      <c r="V90" s="127">
        <f t="shared" si="3"/>
        <v>1</v>
      </c>
    </row>
    <row r="91" spans="1:22" hidden="1" x14ac:dyDescent="0.25">
      <c r="A91" s="61" t="s">
        <v>185</v>
      </c>
      <c r="B91" s="127">
        <f t="shared" ref="B91:U91" si="44">B44/$V44</f>
        <v>0</v>
      </c>
      <c r="C91" s="127">
        <f t="shared" si="44"/>
        <v>0</v>
      </c>
      <c r="D91" s="127">
        <f t="shared" si="44"/>
        <v>0</v>
      </c>
      <c r="E91" s="127">
        <f t="shared" si="44"/>
        <v>0</v>
      </c>
      <c r="F91" s="127">
        <f t="shared" si="44"/>
        <v>0</v>
      </c>
      <c r="G91" s="127">
        <f t="shared" si="44"/>
        <v>0</v>
      </c>
      <c r="H91" s="127">
        <f t="shared" si="44"/>
        <v>0</v>
      </c>
      <c r="I91" s="127">
        <f t="shared" si="44"/>
        <v>1</v>
      </c>
      <c r="J91" s="127">
        <f t="shared" si="44"/>
        <v>0</v>
      </c>
      <c r="K91" s="127">
        <f t="shared" si="44"/>
        <v>0</v>
      </c>
      <c r="L91" s="127">
        <f t="shared" si="44"/>
        <v>0</v>
      </c>
      <c r="M91" s="127">
        <f t="shared" si="44"/>
        <v>0</v>
      </c>
      <c r="N91" s="127">
        <f t="shared" si="44"/>
        <v>0</v>
      </c>
      <c r="O91" s="127">
        <f t="shared" si="44"/>
        <v>0</v>
      </c>
      <c r="P91" s="127">
        <f t="shared" si="44"/>
        <v>0</v>
      </c>
      <c r="Q91" s="127">
        <f t="shared" si="44"/>
        <v>0</v>
      </c>
      <c r="R91" s="127">
        <f t="shared" si="44"/>
        <v>0</v>
      </c>
      <c r="S91" s="127">
        <f t="shared" si="44"/>
        <v>0</v>
      </c>
      <c r="T91" s="127">
        <f t="shared" si="44"/>
        <v>0</v>
      </c>
      <c r="U91" s="127">
        <f t="shared" si="44"/>
        <v>0</v>
      </c>
      <c r="V91" s="127">
        <f t="shared" si="3"/>
        <v>1</v>
      </c>
    </row>
    <row r="92" spans="1:22" hidden="1" x14ac:dyDescent="0.25">
      <c r="A92" s="61" t="s">
        <v>186</v>
      </c>
      <c r="B92" s="127">
        <f t="shared" ref="B92:U92" si="45">B45/$V45</f>
        <v>0</v>
      </c>
      <c r="C92" s="127">
        <f t="shared" si="45"/>
        <v>0</v>
      </c>
      <c r="D92" s="127">
        <f t="shared" si="45"/>
        <v>0</v>
      </c>
      <c r="E92" s="127">
        <f t="shared" si="45"/>
        <v>0</v>
      </c>
      <c r="F92" s="127">
        <f t="shared" si="45"/>
        <v>0</v>
      </c>
      <c r="G92" s="127">
        <f t="shared" si="45"/>
        <v>0</v>
      </c>
      <c r="H92" s="127">
        <f t="shared" si="45"/>
        <v>0</v>
      </c>
      <c r="I92" s="127">
        <f t="shared" si="45"/>
        <v>1</v>
      </c>
      <c r="J92" s="127">
        <f t="shared" si="45"/>
        <v>0</v>
      </c>
      <c r="K92" s="127">
        <f t="shared" si="45"/>
        <v>0</v>
      </c>
      <c r="L92" s="127">
        <f t="shared" si="45"/>
        <v>0</v>
      </c>
      <c r="M92" s="127">
        <f t="shared" si="45"/>
        <v>0</v>
      </c>
      <c r="N92" s="127">
        <f t="shared" si="45"/>
        <v>0</v>
      </c>
      <c r="O92" s="127">
        <f t="shared" si="45"/>
        <v>0</v>
      </c>
      <c r="P92" s="127">
        <f t="shared" si="45"/>
        <v>0</v>
      </c>
      <c r="Q92" s="127">
        <f t="shared" si="45"/>
        <v>0</v>
      </c>
      <c r="R92" s="127">
        <f t="shared" si="45"/>
        <v>0</v>
      </c>
      <c r="S92" s="127">
        <f t="shared" si="45"/>
        <v>0</v>
      </c>
      <c r="T92" s="127">
        <f t="shared" si="45"/>
        <v>0</v>
      </c>
      <c r="U92" s="127">
        <f t="shared" si="45"/>
        <v>0</v>
      </c>
      <c r="V92" s="127">
        <f t="shared" si="3"/>
        <v>1</v>
      </c>
    </row>
    <row r="93" spans="1:22" hidden="1" x14ac:dyDescent="0.25">
      <c r="A93" s="61" t="s">
        <v>187</v>
      </c>
      <c r="B93" s="127">
        <f t="shared" ref="B93:U93" si="46">B46/$V46</f>
        <v>0</v>
      </c>
      <c r="C93" s="127">
        <f t="shared" si="46"/>
        <v>0</v>
      </c>
      <c r="D93" s="127">
        <f t="shared" si="46"/>
        <v>0</v>
      </c>
      <c r="E93" s="127">
        <f t="shared" si="46"/>
        <v>0</v>
      </c>
      <c r="F93" s="127">
        <f t="shared" si="46"/>
        <v>0</v>
      </c>
      <c r="G93" s="127">
        <f t="shared" si="46"/>
        <v>0</v>
      </c>
      <c r="H93" s="127">
        <f t="shared" si="46"/>
        <v>0</v>
      </c>
      <c r="I93" s="127">
        <f t="shared" si="46"/>
        <v>0</v>
      </c>
      <c r="J93" s="127">
        <f t="shared" si="46"/>
        <v>0</v>
      </c>
      <c r="K93" s="127">
        <f t="shared" si="46"/>
        <v>0</v>
      </c>
      <c r="L93" s="127">
        <f t="shared" si="46"/>
        <v>0</v>
      </c>
      <c r="M93" s="127">
        <f t="shared" si="46"/>
        <v>0</v>
      </c>
      <c r="N93" s="127">
        <f t="shared" si="46"/>
        <v>0</v>
      </c>
      <c r="O93" s="127">
        <f t="shared" si="46"/>
        <v>1</v>
      </c>
      <c r="P93" s="127">
        <f t="shared" si="46"/>
        <v>0</v>
      </c>
      <c r="Q93" s="127">
        <f t="shared" si="46"/>
        <v>0</v>
      </c>
      <c r="R93" s="127">
        <f t="shared" si="46"/>
        <v>0</v>
      </c>
      <c r="S93" s="127">
        <f t="shared" si="46"/>
        <v>0</v>
      </c>
      <c r="T93" s="127">
        <f t="shared" si="46"/>
        <v>0</v>
      </c>
      <c r="U93" s="127">
        <f t="shared" si="46"/>
        <v>0</v>
      </c>
      <c r="V93" s="127">
        <f t="shared" si="3"/>
        <v>1</v>
      </c>
    </row>
    <row r="94" spans="1:22" hidden="1" x14ac:dyDescent="0.25">
      <c r="A94" s="61"/>
      <c r="B94" s="127"/>
      <c r="C94" s="127"/>
      <c r="D94" s="127"/>
      <c r="E94" s="127"/>
      <c r="F94" s="127"/>
      <c r="G94" s="127"/>
      <c r="H94" s="127"/>
      <c r="I94" s="127"/>
      <c r="J94" s="127"/>
      <c r="K94" s="127"/>
      <c r="L94" s="127"/>
      <c r="M94" s="127"/>
      <c r="N94" s="127"/>
      <c r="O94" s="127"/>
      <c r="P94" s="127"/>
      <c r="Q94" s="127"/>
      <c r="R94" s="127"/>
      <c r="S94" s="127"/>
      <c r="T94" s="127"/>
      <c r="U94" s="127"/>
      <c r="V94" s="127"/>
    </row>
    <row r="95" spans="1:22" x14ac:dyDescent="0.25">
      <c r="A95" s="149" t="s">
        <v>220</v>
      </c>
      <c r="B95" s="149"/>
    </row>
    <row r="96" spans="1:22" x14ac:dyDescent="0.25">
      <c r="C96" s="1" t="s">
        <v>212</v>
      </c>
      <c r="D96" s="1" t="s">
        <v>213</v>
      </c>
      <c r="E96" s="1" t="s">
        <v>214</v>
      </c>
      <c r="F96" s="1" t="s">
        <v>214</v>
      </c>
      <c r="G96" s="1" t="s">
        <v>214</v>
      </c>
      <c r="H96" s="1" t="s">
        <v>214</v>
      </c>
      <c r="I96" s="1" t="s">
        <v>214</v>
      </c>
      <c r="J96" s="1" t="s">
        <v>213</v>
      </c>
      <c r="K96" s="1" t="s">
        <v>148</v>
      </c>
      <c r="L96" s="1" t="s">
        <v>215</v>
      </c>
      <c r="M96" s="1" t="s">
        <v>214</v>
      </c>
      <c r="N96" s="1" t="s">
        <v>214</v>
      </c>
      <c r="O96" s="1" t="s">
        <v>214</v>
      </c>
      <c r="P96" s="1" t="s">
        <v>213</v>
      </c>
      <c r="Q96" s="1" t="s">
        <v>213</v>
      </c>
      <c r="R96" s="1" t="s">
        <v>214</v>
      </c>
      <c r="S96" s="1" t="s">
        <v>213</v>
      </c>
      <c r="T96" s="1" t="s">
        <v>216</v>
      </c>
      <c r="U96" s="1" t="s">
        <v>213</v>
      </c>
      <c r="V96" s="1" t="s">
        <v>217</v>
      </c>
    </row>
    <row r="97" spans="1:23" x14ac:dyDescent="0.25">
      <c r="A97" s="1">
        <v>2025</v>
      </c>
      <c r="B97" s="61" t="s">
        <v>210</v>
      </c>
      <c r="C97" s="1" t="s">
        <v>126</v>
      </c>
      <c r="D97" s="1" t="s">
        <v>139</v>
      </c>
      <c r="E97" s="1" t="s">
        <v>85</v>
      </c>
      <c r="F97" s="1" t="s">
        <v>128</v>
      </c>
      <c r="G97" s="1" t="s">
        <v>86</v>
      </c>
      <c r="H97" s="1" t="s">
        <v>87</v>
      </c>
      <c r="I97" s="1" t="s">
        <v>88</v>
      </c>
      <c r="J97" s="1" t="s">
        <v>137</v>
      </c>
      <c r="K97" s="1" t="s">
        <v>149</v>
      </c>
      <c r="L97" s="1" t="s">
        <v>89</v>
      </c>
      <c r="M97" s="1" t="s">
        <v>90</v>
      </c>
      <c r="N97" s="1" t="s">
        <v>91</v>
      </c>
      <c r="O97" s="1" t="s">
        <v>92</v>
      </c>
      <c r="P97" s="1" t="s">
        <v>134</v>
      </c>
      <c r="Q97" s="1" t="s">
        <v>93</v>
      </c>
      <c r="R97" s="1" t="s">
        <v>94</v>
      </c>
      <c r="S97" s="1" t="s">
        <v>146</v>
      </c>
      <c r="T97" s="1" t="s">
        <v>95</v>
      </c>
      <c r="U97" s="1" t="s">
        <v>143</v>
      </c>
      <c r="V97" s="1" t="s">
        <v>96</v>
      </c>
      <c r="W97" s="1" t="s">
        <v>209</v>
      </c>
    </row>
    <row r="98" spans="1:23" x14ac:dyDescent="0.25">
      <c r="A98" s="1" t="s">
        <v>218</v>
      </c>
      <c r="B98" s="7">
        <v>-53.2</v>
      </c>
      <c r="C98" s="21"/>
      <c r="D98" s="21"/>
      <c r="E98" s="21"/>
      <c r="F98" s="21"/>
      <c r="G98" s="21"/>
      <c r="H98" s="21"/>
      <c r="I98" s="21"/>
      <c r="J98" s="21">
        <v>-53.2</v>
      </c>
      <c r="K98" s="21"/>
      <c r="L98" s="21"/>
      <c r="M98" s="21"/>
      <c r="N98" s="21"/>
      <c r="O98" s="21"/>
      <c r="P98" s="21"/>
      <c r="Q98" s="21"/>
      <c r="R98" s="21"/>
      <c r="S98" s="21"/>
      <c r="T98" s="21"/>
      <c r="U98" s="21"/>
      <c r="V98" s="21"/>
      <c r="W98" s="98">
        <f>SUM(C98:V98)</f>
        <v>-53.2</v>
      </c>
    </row>
    <row r="99" spans="1:23" x14ac:dyDescent="0.25">
      <c r="A99" s="61" t="s">
        <v>152</v>
      </c>
      <c r="B99" s="7">
        <f>INDEX('Reference Sheet'!$G$9:$J$100,MATCH('Time Breakdown'!$A99,'Reference Sheet'!$F$9:$F$100),MATCH($A$97,'Reference Sheet'!$G$8:$J$8))</f>
        <v>61232</v>
      </c>
      <c r="C99" s="7">
        <f>$B99*B49</f>
        <v>0</v>
      </c>
      <c r="D99" s="7">
        <f t="shared" ref="D99:V99" si="47">$B99*C49</f>
        <v>0</v>
      </c>
      <c r="E99" s="7">
        <f t="shared" si="47"/>
        <v>0</v>
      </c>
      <c r="F99" s="7">
        <f t="shared" si="47"/>
        <v>0</v>
      </c>
      <c r="G99" s="7">
        <f t="shared" si="47"/>
        <v>0</v>
      </c>
      <c r="H99" s="7">
        <f t="shared" si="47"/>
        <v>0</v>
      </c>
      <c r="I99" s="7">
        <f t="shared" si="47"/>
        <v>0</v>
      </c>
      <c r="J99" s="7">
        <f t="shared" si="47"/>
        <v>0</v>
      </c>
      <c r="K99" s="7">
        <f t="shared" si="47"/>
        <v>0</v>
      </c>
      <c r="L99" s="7">
        <f t="shared" si="47"/>
        <v>0</v>
      </c>
      <c r="M99" s="7">
        <f t="shared" si="47"/>
        <v>0</v>
      </c>
      <c r="N99" s="7">
        <f t="shared" si="47"/>
        <v>0</v>
      </c>
      <c r="O99" s="7">
        <f t="shared" si="47"/>
        <v>0</v>
      </c>
      <c r="P99" s="7">
        <f t="shared" si="47"/>
        <v>61232</v>
      </c>
      <c r="Q99" s="7">
        <f t="shared" si="47"/>
        <v>0</v>
      </c>
      <c r="R99" s="7">
        <f t="shared" si="47"/>
        <v>0</v>
      </c>
      <c r="S99" s="7">
        <f t="shared" si="47"/>
        <v>0</v>
      </c>
      <c r="T99" s="7">
        <f t="shared" si="47"/>
        <v>0</v>
      </c>
      <c r="U99" s="7">
        <f t="shared" si="47"/>
        <v>0</v>
      </c>
      <c r="V99" s="7">
        <f t="shared" si="47"/>
        <v>0</v>
      </c>
      <c r="W99" s="98">
        <f>SUM(C99:V99)</f>
        <v>61232</v>
      </c>
    </row>
    <row r="100" spans="1:23" x14ac:dyDescent="0.25">
      <c r="A100" s="61" t="s">
        <v>153</v>
      </c>
      <c r="B100" s="7">
        <f>INDEX('Reference Sheet'!$G$9:$J$100,MATCH('Time Breakdown'!$A100,'Reference Sheet'!$F$9:$F$100),MATCH($A$97,'Reference Sheet'!$G$8:$J$8))</f>
        <v>10805.36</v>
      </c>
      <c r="C100" s="7">
        <f t="shared" ref="C100:V100" si="48">$B100*B50</f>
        <v>0</v>
      </c>
      <c r="D100" s="7">
        <f t="shared" si="48"/>
        <v>0</v>
      </c>
      <c r="E100" s="7">
        <f t="shared" si="48"/>
        <v>0</v>
      </c>
      <c r="F100" s="7">
        <f t="shared" si="48"/>
        <v>0</v>
      </c>
      <c r="G100" s="7">
        <f t="shared" si="48"/>
        <v>0</v>
      </c>
      <c r="H100" s="7">
        <f t="shared" si="48"/>
        <v>0</v>
      </c>
      <c r="I100" s="7">
        <f t="shared" si="48"/>
        <v>0</v>
      </c>
      <c r="J100" s="7">
        <f t="shared" si="48"/>
        <v>10805.36</v>
      </c>
      <c r="K100" s="7">
        <f t="shared" si="48"/>
        <v>0</v>
      </c>
      <c r="L100" s="7">
        <f t="shared" si="48"/>
        <v>0</v>
      </c>
      <c r="M100" s="7">
        <f t="shared" si="48"/>
        <v>0</v>
      </c>
      <c r="N100" s="7">
        <f t="shared" si="48"/>
        <v>0</v>
      </c>
      <c r="O100" s="7">
        <f t="shared" si="48"/>
        <v>0</v>
      </c>
      <c r="P100" s="7">
        <f t="shared" si="48"/>
        <v>0</v>
      </c>
      <c r="Q100" s="7">
        <f t="shared" si="48"/>
        <v>0</v>
      </c>
      <c r="R100" s="7">
        <f t="shared" si="48"/>
        <v>0</v>
      </c>
      <c r="S100" s="7">
        <f t="shared" si="48"/>
        <v>0</v>
      </c>
      <c r="T100" s="7">
        <f t="shared" si="48"/>
        <v>0</v>
      </c>
      <c r="U100" s="7">
        <f t="shared" si="48"/>
        <v>0</v>
      </c>
      <c r="V100" s="7">
        <f t="shared" si="48"/>
        <v>0</v>
      </c>
      <c r="W100" s="98">
        <f t="shared" ref="W100:W142" si="49">SUM(C100:V100)</f>
        <v>10805.36</v>
      </c>
    </row>
    <row r="101" spans="1:23" x14ac:dyDescent="0.25">
      <c r="A101" s="61" t="s">
        <v>154</v>
      </c>
      <c r="B101" s="7">
        <f>INDEX('Reference Sheet'!$G$9:$J$100,MATCH('Time Breakdown'!$A101,'Reference Sheet'!$F$9:$F$100),MATCH($A$97,'Reference Sheet'!$G$8:$J$8))</f>
        <v>2412.3000000000002</v>
      </c>
      <c r="C101" s="7">
        <f t="shared" ref="C101:V101" si="50">$B101*B51</f>
        <v>0</v>
      </c>
      <c r="D101" s="7">
        <f t="shared" si="50"/>
        <v>0</v>
      </c>
      <c r="E101" s="7">
        <f t="shared" si="50"/>
        <v>0</v>
      </c>
      <c r="F101" s="7">
        <f t="shared" si="50"/>
        <v>0</v>
      </c>
      <c r="G101" s="7">
        <f t="shared" si="50"/>
        <v>0</v>
      </c>
      <c r="H101" s="7">
        <f t="shared" si="50"/>
        <v>0</v>
      </c>
      <c r="I101" s="7">
        <f t="shared" si="50"/>
        <v>0</v>
      </c>
      <c r="J101" s="7">
        <f t="shared" si="50"/>
        <v>2412.3000000000002</v>
      </c>
      <c r="K101" s="7">
        <f t="shared" si="50"/>
        <v>0</v>
      </c>
      <c r="L101" s="7">
        <f t="shared" si="50"/>
        <v>0</v>
      </c>
      <c r="M101" s="7">
        <f t="shared" si="50"/>
        <v>0</v>
      </c>
      <c r="N101" s="7">
        <f t="shared" si="50"/>
        <v>0</v>
      </c>
      <c r="O101" s="7">
        <f t="shared" si="50"/>
        <v>0</v>
      </c>
      <c r="P101" s="7">
        <f t="shared" si="50"/>
        <v>0</v>
      </c>
      <c r="Q101" s="7">
        <f t="shared" si="50"/>
        <v>0</v>
      </c>
      <c r="R101" s="7">
        <f t="shared" si="50"/>
        <v>0</v>
      </c>
      <c r="S101" s="7">
        <f t="shared" si="50"/>
        <v>0</v>
      </c>
      <c r="T101" s="7">
        <f t="shared" si="50"/>
        <v>0</v>
      </c>
      <c r="U101" s="7">
        <f t="shared" si="50"/>
        <v>0</v>
      </c>
      <c r="V101" s="7">
        <f t="shared" si="50"/>
        <v>0</v>
      </c>
      <c r="W101" s="98">
        <f t="shared" si="49"/>
        <v>2412.3000000000002</v>
      </c>
    </row>
    <row r="102" spans="1:23" x14ac:dyDescent="0.25">
      <c r="A102" s="61" t="s">
        <v>155</v>
      </c>
      <c r="B102" s="7">
        <f>INDEX('Reference Sheet'!$G$9:$J$100,MATCH('Time Breakdown'!$A102,'Reference Sheet'!$F$9:$F$100),MATCH($A$97,'Reference Sheet'!$G$8:$J$8))</f>
        <v>20280.45</v>
      </c>
      <c r="C102" s="7">
        <f t="shared" ref="C102:V102" si="51">$B102*B52</f>
        <v>0</v>
      </c>
      <c r="D102" s="7">
        <f t="shared" si="51"/>
        <v>0</v>
      </c>
      <c r="E102" s="7">
        <f t="shared" si="51"/>
        <v>0</v>
      </c>
      <c r="F102" s="7">
        <f t="shared" si="51"/>
        <v>0</v>
      </c>
      <c r="G102" s="7">
        <f t="shared" si="51"/>
        <v>0</v>
      </c>
      <c r="H102" s="7">
        <f t="shared" si="51"/>
        <v>0</v>
      </c>
      <c r="I102" s="7">
        <f t="shared" si="51"/>
        <v>0</v>
      </c>
      <c r="J102" s="7">
        <f t="shared" si="51"/>
        <v>0</v>
      </c>
      <c r="K102" s="7">
        <f t="shared" si="51"/>
        <v>0</v>
      </c>
      <c r="L102" s="7">
        <f t="shared" si="51"/>
        <v>0</v>
      </c>
      <c r="M102" s="7">
        <f t="shared" si="51"/>
        <v>0</v>
      </c>
      <c r="N102" s="7">
        <f t="shared" si="51"/>
        <v>0</v>
      </c>
      <c r="O102" s="7">
        <f t="shared" si="51"/>
        <v>0</v>
      </c>
      <c r="P102" s="7">
        <f t="shared" si="51"/>
        <v>0</v>
      </c>
      <c r="Q102" s="7">
        <f t="shared" si="51"/>
        <v>0</v>
      </c>
      <c r="R102" s="7">
        <f t="shared" si="51"/>
        <v>0</v>
      </c>
      <c r="S102" s="7">
        <f t="shared" si="51"/>
        <v>0</v>
      </c>
      <c r="T102" s="7">
        <f t="shared" si="51"/>
        <v>0</v>
      </c>
      <c r="U102" s="7">
        <f t="shared" si="51"/>
        <v>20280.45</v>
      </c>
      <c r="V102" s="7">
        <f t="shared" si="51"/>
        <v>0</v>
      </c>
      <c r="W102" s="98">
        <f t="shared" si="49"/>
        <v>20280.45</v>
      </c>
    </row>
    <row r="103" spans="1:23" x14ac:dyDescent="0.25">
      <c r="A103" s="61" t="s">
        <v>156</v>
      </c>
      <c r="B103" s="7">
        <f>INDEX('Reference Sheet'!$G$9:$J$100,MATCH('Time Breakdown'!$A103,'Reference Sheet'!$F$9:$F$100),MATCH($A$97,'Reference Sheet'!$G$8:$J$8))</f>
        <v>9608.44</v>
      </c>
      <c r="C103" s="7">
        <f t="shared" ref="C103:V103" si="52">$B103*B53</f>
        <v>0</v>
      </c>
      <c r="D103" s="7">
        <f t="shared" si="52"/>
        <v>0</v>
      </c>
      <c r="E103" s="7">
        <f t="shared" si="52"/>
        <v>0</v>
      </c>
      <c r="F103" s="7">
        <f t="shared" si="52"/>
        <v>0</v>
      </c>
      <c r="G103" s="7">
        <f t="shared" si="52"/>
        <v>0</v>
      </c>
      <c r="H103" s="7">
        <f t="shared" si="52"/>
        <v>0</v>
      </c>
      <c r="I103" s="7">
        <f t="shared" si="52"/>
        <v>0</v>
      </c>
      <c r="J103" s="7">
        <f t="shared" si="52"/>
        <v>9608.44</v>
      </c>
      <c r="K103" s="7">
        <f t="shared" si="52"/>
        <v>0</v>
      </c>
      <c r="L103" s="7">
        <f t="shared" si="52"/>
        <v>0</v>
      </c>
      <c r="M103" s="7">
        <f t="shared" si="52"/>
        <v>0</v>
      </c>
      <c r="N103" s="7">
        <f t="shared" si="52"/>
        <v>0</v>
      </c>
      <c r="O103" s="7">
        <f t="shared" si="52"/>
        <v>0</v>
      </c>
      <c r="P103" s="7">
        <f t="shared" si="52"/>
        <v>0</v>
      </c>
      <c r="Q103" s="7">
        <f t="shared" si="52"/>
        <v>0</v>
      </c>
      <c r="R103" s="7">
        <f t="shared" si="52"/>
        <v>0</v>
      </c>
      <c r="S103" s="7">
        <f t="shared" si="52"/>
        <v>0</v>
      </c>
      <c r="T103" s="7">
        <f t="shared" si="52"/>
        <v>0</v>
      </c>
      <c r="U103" s="7">
        <f t="shared" si="52"/>
        <v>0</v>
      </c>
      <c r="V103" s="7">
        <f t="shared" si="52"/>
        <v>0</v>
      </c>
      <c r="W103" s="98">
        <f t="shared" si="49"/>
        <v>9608.44</v>
      </c>
    </row>
    <row r="104" spans="1:23" x14ac:dyDescent="0.25">
      <c r="A104" s="61" t="s">
        <v>157</v>
      </c>
      <c r="B104" s="7">
        <f>INDEX('Reference Sheet'!$G$9:$J$100,MATCH('Time Breakdown'!$A104,'Reference Sheet'!$F$9:$F$100),MATCH($A$97,'Reference Sheet'!$G$8:$J$8))</f>
        <v>1430.65</v>
      </c>
      <c r="C104" s="7">
        <f t="shared" ref="C104:V104" si="53">$B104*B54</f>
        <v>0</v>
      </c>
      <c r="D104" s="7">
        <f t="shared" si="53"/>
        <v>0</v>
      </c>
      <c r="E104" s="7">
        <f t="shared" si="53"/>
        <v>0</v>
      </c>
      <c r="F104" s="7">
        <f t="shared" si="53"/>
        <v>0</v>
      </c>
      <c r="G104" s="7">
        <f t="shared" si="53"/>
        <v>0</v>
      </c>
      <c r="H104" s="7">
        <f t="shared" si="53"/>
        <v>0</v>
      </c>
      <c r="I104" s="7">
        <f t="shared" si="53"/>
        <v>0</v>
      </c>
      <c r="J104" s="7">
        <f t="shared" si="53"/>
        <v>1430.65</v>
      </c>
      <c r="K104" s="7">
        <f t="shared" si="53"/>
        <v>0</v>
      </c>
      <c r="L104" s="7">
        <f t="shared" si="53"/>
        <v>0</v>
      </c>
      <c r="M104" s="7">
        <f t="shared" si="53"/>
        <v>0</v>
      </c>
      <c r="N104" s="7">
        <f t="shared" si="53"/>
        <v>0</v>
      </c>
      <c r="O104" s="7">
        <f t="shared" si="53"/>
        <v>0</v>
      </c>
      <c r="P104" s="7">
        <f t="shared" si="53"/>
        <v>0</v>
      </c>
      <c r="Q104" s="7">
        <f t="shared" si="53"/>
        <v>0</v>
      </c>
      <c r="R104" s="7">
        <f t="shared" si="53"/>
        <v>0</v>
      </c>
      <c r="S104" s="7">
        <f t="shared" si="53"/>
        <v>0</v>
      </c>
      <c r="T104" s="7">
        <f t="shared" si="53"/>
        <v>0</v>
      </c>
      <c r="U104" s="7">
        <f t="shared" si="53"/>
        <v>0</v>
      </c>
      <c r="V104" s="7">
        <f t="shared" si="53"/>
        <v>0</v>
      </c>
      <c r="W104" s="98">
        <f t="shared" si="49"/>
        <v>1430.65</v>
      </c>
    </row>
    <row r="105" spans="1:23" x14ac:dyDescent="0.25">
      <c r="A105" s="61" t="s">
        <v>158</v>
      </c>
      <c r="B105" s="7">
        <f>INDEX('Reference Sheet'!$G$9:$J$100,MATCH('Time Breakdown'!$A105,'Reference Sheet'!$F$9:$F$100),MATCH($A$97,'Reference Sheet'!$G$8:$J$8))</f>
        <v>56212.62</v>
      </c>
      <c r="C105" s="7">
        <f t="shared" ref="C105:V105" si="54">$B105*B55</f>
        <v>0</v>
      </c>
      <c r="D105" s="7">
        <f t="shared" si="54"/>
        <v>0</v>
      </c>
      <c r="E105" s="7">
        <f t="shared" si="54"/>
        <v>0</v>
      </c>
      <c r="F105" s="7">
        <f t="shared" si="54"/>
        <v>0</v>
      </c>
      <c r="G105" s="7">
        <f t="shared" si="54"/>
        <v>0</v>
      </c>
      <c r="H105" s="7">
        <f t="shared" si="54"/>
        <v>0</v>
      </c>
      <c r="I105" s="7">
        <f t="shared" si="54"/>
        <v>0</v>
      </c>
      <c r="J105" s="7">
        <f t="shared" si="54"/>
        <v>0</v>
      </c>
      <c r="K105" s="7">
        <f t="shared" si="54"/>
        <v>0</v>
      </c>
      <c r="L105" s="7">
        <f t="shared" si="54"/>
        <v>0</v>
      </c>
      <c r="M105" s="7">
        <f t="shared" si="54"/>
        <v>0</v>
      </c>
      <c r="N105" s="7">
        <f t="shared" si="54"/>
        <v>0</v>
      </c>
      <c r="O105" s="7">
        <f t="shared" si="54"/>
        <v>0</v>
      </c>
      <c r="P105" s="7">
        <f t="shared" si="54"/>
        <v>56212.62</v>
      </c>
      <c r="Q105" s="7">
        <f t="shared" si="54"/>
        <v>0</v>
      </c>
      <c r="R105" s="7">
        <f t="shared" si="54"/>
        <v>0</v>
      </c>
      <c r="S105" s="7">
        <f t="shared" si="54"/>
        <v>0</v>
      </c>
      <c r="T105" s="7">
        <f t="shared" si="54"/>
        <v>0</v>
      </c>
      <c r="U105" s="7">
        <f t="shared" si="54"/>
        <v>0</v>
      </c>
      <c r="V105" s="7">
        <f t="shared" si="54"/>
        <v>0</v>
      </c>
      <c r="W105" s="98">
        <f t="shared" si="49"/>
        <v>56212.62</v>
      </c>
    </row>
    <row r="106" spans="1:23" x14ac:dyDescent="0.25">
      <c r="A106" s="61" t="s">
        <v>159</v>
      </c>
      <c r="B106" s="7">
        <f>INDEX('Reference Sheet'!$G$9:$J$100,MATCH('Time Breakdown'!$A106,'Reference Sheet'!$F$9:$F$100),MATCH($A$97,'Reference Sheet'!$G$8:$J$8))</f>
        <v>12715.75</v>
      </c>
      <c r="C106" s="7">
        <f t="shared" ref="C106:V106" si="55">$B106*B56</f>
        <v>0</v>
      </c>
      <c r="D106" s="7">
        <f t="shared" si="55"/>
        <v>0</v>
      </c>
      <c r="E106" s="7">
        <f t="shared" si="55"/>
        <v>0</v>
      </c>
      <c r="F106" s="7">
        <f t="shared" si="55"/>
        <v>0</v>
      </c>
      <c r="G106" s="7">
        <f t="shared" si="55"/>
        <v>0</v>
      </c>
      <c r="H106" s="7">
        <f t="shared" si="55"/>
        <v>0</v>
      </c>
      <c r="I106" s="7">
        <f t="shared" si="55"/>
        <v>0</v>
      </c>
      <c r="J106" s="7">
        <f t="shared" si="55"/>
        <v>12715.75</v>
      </c>
      <c r="K106" s="7">
        <f t="shared" si="55"/>
        <v>0</v>
      </c>
      <c r="L106" s="7">
        <f t="shared" si="55"/>
        <v>0</v>
      </c>
      <c r="M106" s="7">
        <f t="shared" si="55"/>
        <v>0</v>
      </c>
      <c r="N106" s="7">
        <f t="shared" si="55"/>
        <v>0</v>
      </c>
      <c r="O106" s="7">
        <f t="shared" si="55"/>
        <v>0</v>
      </c>
      <c r="P106" s="7">
        <f t="shared" si="55"/>
        <v>0</v>
      </c>
      <c r="Q106" s="7">
        <f t="shared" si="55"/>
        <v>0</v>
      </c>
      <c r="R106" s="7">
        <f t="shared" si="55"/>
        <v>0</v>
      </c>
      <c r="S106" s="7">
        <f t="shared" si="55"/>
        <v>0</v>
      </c>
      <c r="T106" s="7">
        <f t="shared" si="55"/>
        <v>0</v>
      </c>
      <c r="U106" s="7">
        <f t="shared" si="55"/>
        <v>0</v>
      </c>
      <c r="V106" s="7">
        <f t="shared" si="55"/>
        <v>0</v>
      </c>
      <c r="W106" s="98">
        <f t="shared" si="49"/>
        <v>12715.75</v>
      </c>
    </row>
    <row r="107" spans="1:23" x14ac:dyDescent="0.25">
      <c r="A107" s="61" t="s">
        <v>160</v>
      </c>
      <c r="B107" s="7">
        <f>INDEX('Reference Sheet'!$G$9:$J$100,MATCH('Time Breakdown'!$A107,'Reference Sheet'!$F$9:$F$100),MATCH($A$97,'Reference Sheet'!$G$8:$J$8))</f>
        <v>2782.9</v>
      </c>
      <c r="C107" s="7">
        <f t="shared" ref="C107:V107" si="56">$B107*B57</f>
        <v>0</v>
      </c>
      <c r="D107" s="7">
        <f t="shared" si="56"/>
        <v>0</v>
      </c>
      <c r="E107" s="7">
        <f t="shared" si="56"/>
        <v>0</v>
      </c>
      <c r="F107" s="7">
        <f t="shared" si="56"/>
        <v>0</v>
      </c>
      <c r="G107" s="7">
        <f t="shared" si="56"/>
        <v>0</v>
      </c>
      <c r="H107" s="7">
        <f t="shared" si="56"/>
        <v>0</v>
      </c>
      <c r="I107" s="7">
        <f t="shared" si="56"/>
        <v>0</v>
      </c>
      <c r="J107" s="7">
        <f t="shared" si="56"/>
        <v>2782.9</v>
      </c>
      <c r="K107" s="7">
        <f t="shared" si="56"/>
        <v>0</v>
      </c>
      <c r="L107" s="7">
        <f t="shared" si="56"/>
        <v>0</v>
      </c>
      <c r="M107" s="7">
        <f t="shared" si="56"/>
        <v>0</v>
      </c>
      <c r="N107" s="7">
        <f t="shared" si="56"/>
        <v>0</v>
      </c>
      <c r="O107" s="7">
        <f t="shared" si="56"/>
        <v>0</v>
      </c>
      <c r="P107" s="7">
        <f t="shared" si="56"/>
        <v>0</v>
      </c>
      <c r="Q107" s="7">
        <f t="shared" si="56"/>
        <v>0</v>
      </c>
      <c r="R107" s="7">
        <f t="shared" si="56"/>
        <v>0</v>
      </c>
      <c r="S107" s="7">
        <f t="shared" si="56"/>
        <v>0</v>
      </c>
      <c r="T107" s="7">
        <f t="shared" si="56"/>
        <v>0</v>
      </c>
      <c r="U107" s="7">
        <f t="shared" si="56"/>
        <v>0</v>
      </c>
      <c r="V107" s="7">
        <f t="shared" si="56"/>
        <v>0</v>
      </c>
      <c r="W107" s="98">
        <f t="shared" si="49"/>
        <v>2782.9</v>
      </c>
    </row>
    <row r="108" spans="1:23" x14ac:dyDescent="0.25">
      <c r="A108" s="61" t="s">
        <v>76</v>
      </c>
      <c r="B108" s="7">
        <f>INDEX('Reference Sheet'!$G$9:$J$100,MATCH('Time Breakdown'!$A108,'Reference Sheet'!$F$9:$F$100),MATCH($A$97,'Reference Sheet'!$G$8:$J$8))</f>
        <v>78307.73</v>
      </c>
      <c r="C108" s="7">
        <f t="shared" ref="C108:V108" si="57">$B108*B58</f>
        <v>0</v>
      </c>
      <c r="D108" s="7">
        <f t="shared" si="57"/>
        <v>0</v>
      </c>
      <c r="E108" s="7">
        <f t="shared" si="57"/>
        <v>0</v>
      </c>
      <c r="F108" s="7">
        <f t="shared" si="57"/>
        <v>0</v>
      </c>
      <c r="G108" s="7">
        <f t="shared" si="57"/>
        <v>0</v>
      </c>
      <c r="H108" s="7">
        <f t="shared" si="57"/>
        <v>0</v>
      </c>
      <c r="I108" s="7">
        <f t="shared" si="57"/>
        <v>43516.314861786523</v>
      </c>
      <c r="J108" s="7">
        <f t="shared" si="57"/>
        <v>0</v>
      </c>
      <c r="K108" s="7">
        <f t="shared" si="57"/>
        <v>0</v>
      </c>
      <c r="L108" s="7">
        <f t="shared" si="57"/>
        <v>0</v>
      </c>
      <c r="M108" s="7">
        <f t="shared" si="57"/>
        <v>0</v>
      </c>
      <c r="N108" s="7">
        <f t="shared" si="57"/>
        <v>0</v>
      </c>
      <c r="O108" s="7">
        <f t="shared" si="57"/>
        <v>34791.415138213473</v>
      </c>
      <c r="P108" s="7">
        <f t="shared" si="57"/>
        <v>0</v>
      </c>
      <c r="Q108" s="7">
        <f t="shared" si="57"/>
        <v>0</v>
      </c>
      <c r="R108" s="7">
        <f t="shared" si="57"/>
        <v>0</v>
      </c>
      <c r="S108" s="7">
        <f t="shared" si="57"/>
        <v>0</v>
      </c>
      <c r="T108" s="7">
        <f t="shared" si="57"/>
        <v>0</v>
      </c>
      <c r="U108" s="7">
        <f t="shared" si="57"/>
        <v>0</v>
      </c>
      <c r="V108" s="7">
        <f t="shared" si="57"/>
        <v>0</v>
      </c>
      <c r="W108" s="98">
        <f t="shared" si="49"/>
        <v>78307.73</v>
      </c>
    </row>
    <row r="109" spans="1:23" x14ac:dyDescent="0.25">
      <c r="A109" s="61" t="s">
        <v>57</v>
      </c>
      <c r="B109" s="7">
        <f>INDEX('Reference Sheet'!$G$9:$J$100,MATCH('Time Breakdown'!$A109,'Reference Sheet'!$F$9:$F$100),MATCH($A$97,'Reference Sheet'!$G$8:$J$8))</f>
        <v>192087.13</v>
      </c>
      <c r="C109" s="7">
        <f t="shared" ref="C109:V109" si="58">$B109*B59</f>
        <v>0</v>
      </c>
      <c r="D109" s="7">
        <f t="shared" si="58"/>
        <v>0</v>
      </c>
      <c r="E109" s="7">
        <f t="shared" si="58"/>
        <v>0</v>
      </c>
      <c r="F109" s="7">
        <f t="shared" si="58"/>
        <v>0</v>
      </c>
      <c r="G109" s="7">
        <f t="shared" si="58"/>
        <v>0</v>
      </c>
      <c r="H109" s="7">
        <f t="shared" si="58"/>
        <v>0</v>
      </c>
      <c r="I109" s="7">
        <f t="shared" si="58"/>
        <v>0</v>
      </c>
      <c r="J109" s="7">
        <f t="shared" si="58"/>
        <v>87542.901151478552</v>
      </c>
      <c r="K109" s="7">
        <f t="shared" si="58"/>
        <v>9297.5944988046704</v>
      </c>
      <c r="L109" s="7">
        <f t="shared" si="58"/>
        <v>59101.488096264191</v>
      </c>
      <c r="M109" s="7">
        <f t="shared" si="58"/>
        <v>4239.4637269005134</v>
      </c>
      <c r="N109" s="7">
        <f t="shared" si="58"/>
        <v>0</v>
      </c>
      <c r="O109" s="7">
        <f t="shared" si="58"/>
        <v>0</v>
      </c>
      <c r="P109" s="7">
        <f t="shared" si="58"/>
        <v>3864.0945427478628</v>
      </c>
      <c r="Q109" s="7">
        <f t="shared" si="58"/>
        <v>0</v>
      </c>
      <c r="R109" s="7">
        <f t="shared" si="58"/>
        <v>142.67443236802913</v>
      </c>
      <c r="S109" s="7">
        <f t="shared" si="58"/>
        <v>436.54890279180159</v>
      </c>
      <c r="T109" s="7">
        <f t="shared" si="58"/>
        <v>0</v>
      </c>
      <c r="U109" s="7">
        <f t="shared" si="58"/>
        <v>1435.2351158777776</v>
      </c>
      <c r="V109" s="7">
        <f t="shared" si="58"/>
        <v>26027.129532766641</v>
      </c>
      <c r="W109" s="98">
        <f t="shared" si="49"/>
        <v>192087.13000000006</v>
      </c>
    </row>
    <row r="110" spans="1:23" x14ac:dyDescent="0.25">
      <c r="A110" s="61" t="s">
        <v>161</v>
      </c>
      <c r="B110" s="7">
        <f>INDEX('Reference Sheet'!$G$9:$J$100,MATCH('Time Breakdown'!$A110,'Reference Sheet'!$F$9:$F$100),MATCH($A$97,'Reference Sheet'!$G$8:$J$8))</f>
        <v>83316.89</v>
      </c>
      <c r="C110" s="7">
        <f t="shared" ref="C110:V110" si="59">$B110*B60</f>
        <v>0</v>
      </c>
      <c r="D110" s="7">
        <f t="shared" si="59"/>
        <v>0</v>
      </c>
      <c r="E110" s="7">
        <f t="shared" si="59"/>
        <v>0</v>
      </c>
      <c r="F110" s="7">
        <f t="shared" si="59"/>
        <v>0</v>
      </c>
      <c r="G110" s="7">
        <f t="shared" si="59"/>
        <v>0</v>
      </c>
      <c r="H110" s="7">
        <f t="shared" si="59"/>
        <v>0</v>
      </c>
      <c r="I110" s="7">
        <f t="shared" si="59"/>
        <v>0</v>
      </c>
      <c r="J110" s="7">
        <f t="shared" si="59"/>
        <v>69667.740832932701</v>
      </c>
      <c r="K110" s="7">
        <f t="shared" si="59"/>
        <v>0</v>
      </c>
      <c r="L110" s="7">
        <f t="shared" si="59"/>
        <v>0</v>
      </c>
      <c r="M110" s="7">
        <f t="shared" si="59"/>
        <v>0</v>
      </c>
      <c r="N110" s="7">
        <f t="shared" si="59"/>
        <v>0</v>
      </c>
      <c r="O110" s="7">
        <f t="shared" si="59"/>
        <v>0</v>
      </c>
      <c r="P110" s="7">
        <f t="shared" si="59"/>
        <v>0</v>
      </c>
      <c r="Q110" s="7">
        <f t="shared" si="59"/>
        <v>0</v>
      </c>
      <c r="R110" s="7">
        <f t="shared" si="59"/>
        <v>0</v>
      </c>
      <c r="S110" s="7">
        <f t="shared" si="59"/>
        <v>0</v>
      </c>
      <c r="T110" s="7">
        <f t="shared" si="59"/>
        <v>0</v>
      </c>
      <c r="U110" s="7">
        <f t="shared" si="59"/>
        <v>0</v>
      </c>
      <c r="V110" s="7">
        <f t="shared" si="59"/>
        <v>13649.149167067308</v>
      </c>
      <c r="W110" s="98">
        <f t="shared" si="49"/>
        <v>83316.890000000014</v>
      </c>
    </row>
    <row r="111" spans="1:23" x14ac:dyDescent="0.25">
      <c r="A111" s="61" t="s">
        <v>162</v>
      </c>
      <c r="B111" s="7">
        <f>INDEX('Reference Sheet'!$G$9:$J$100,MATCH('Time Breakdown'!$A111,'Reference Sheet'!$F$9:$F$100),MATCH($A$97,'Reference Sheet'!$G$8:$J$8))</f>
        <v>4526.1899999999996</v>
      </c>
      <c r="C111" s="7">
        <f t="shared" ref="C111:V111" si="60">$B111*B61</f>
        <v>0</v>
      </c>
      <c r="D111" s="7">
        <f t="shared" si="60"/>
        <v>0</v>
      </c>
      <c r="E111" s="7">
        <f t="shared" si="60"/>
        <v>0</v>
      </c>
      <c r="F111" s="7">
        <f t="shared" si="60"/>
        <v>0</v>
      </c>
      <c r="G111" s="7">
        <f t="shared" si="60"/>
        <v>0</v>
      </c>
      <c r="H111" s="7">
        <f t="shared" si="60"/>
        <v>0</v>
      </c>
      <c r="I111" s="7">
        <f t="shared" si="60"/>
        <v>0</v>
      </c>
      <c r="J111" s="7">
        <f t="shared" si="60"/>
        <v>4526.1899999999996</v>
      </c>
      <c r="K111" s="7">
        <f t="shared" si="60"/>
        <v>0</v>
      </c>
      <c r="L111" s="7">
        <f t="shared" si="60"/>
        <v>0</v>
      </c>
      <c r="M111" s="7">
        <f t="shared" si="60"/>
        <v>0</v>
      </c>
      <c r="N111" s="7">
        <f t="shared" si="60"/>
        <v>0</v>
      </c>
      <c r="O111" s="7">
        <f t="shared" si="60"/>
        <v>0</v>
      </c>
      <c r="P111" s="7">
        <f t="shared" si="60"/>
        <v>0</v>
      </c>
      <c r="Q111" s="7">
        <f t="shared" si="60"/>
        <v>0</v>
      </c>
      <c r="R111" s="7">
        <f t="shared" si="60"/>
        <v>0</v>
      </c>
      <c r="S111" s="7">
        <f t="shared" si="60"/>
        <v>0</v>
      </c>
      <c r="T111" s="7">
        <f t="shared" si="60"/>
        <v>0</v>
      </c>
      <c r="U111" s="7">
        <f t="shared" si="60"/>
        <v>0</v>
      </c>
      <c r="V111" s="7">
        <f t="shared" si="60"/>
        <v>0</v>
      </c>
      <c r="W111" s="98">
        <f t="shared" si="49"/>
        <v>4526.1899999999996</v>
      </c>
    </row>
    <row r="112" spans="1:23" x14ac:dyDescent="0.25">
      <c r="A112" s="61" t="s">
        <v>54</v>
      </c>
      <c r="B112" s="7">
        <f>INDEX('Reference Sheet'!$G$9:$J$100,MATCH('Time Breakdown'!$A112,'Reference Sheet'!$F$9:$F$100),MATCH($A$97,'Reference Sheet'!$G$8:$J$8))</f>
        <v>171799.06</v>
      </c>
      <c r="C112" s="7">
        <f t="shared" ref="C112:V112" si="61">$B112*B62</f>
        <v>0</v>
      </c>
      <c r="D112" s="7">
        <f t="shared" si="61"/>
        <v>0</v>
      </c>
      <c r="E112" s="7">
        <f t="shared" si="61"/>
        <v>0</v>
      </c>
      <c r="F112" s="7">
        <f t="shared" si="61"/>
        <v>0</v>
      </c>
      <c r="G112" s="7">
        <f t="shared" si="61"/>
        <v>16907.930157781917</v>
      </c>
      <c r="H112" s="7">
        <f t="shared" si="61"/>
        <v>0</v>
      </c>
      <c r="I112" s="7">
        <f t="shared" si="61"/>
        <v>35354.145400724417</v>
      </c>
      <c r="J112" s="7">
        <f t="shared" si="61"/>
        <v>18267.028089511579</v>
      </c>
      <c r="K112" s="7">
        <f t="shared" si="61"/>
        <v>0</v>
      </c>
      <c r="L112" s="7">
        <f t="shared" si="61"/>
        <v>39723.47100823954</v>
      </c>
      <c r="M112" s="7">
        <f t="shared" si="61"/>
        <v>27978.490880876492</v>
      </c>
      <c r="N112" s="7">
        <f t="shared" si="61"/>
        <v>0</v>
      </c>
      <c r="O112" s="7">
        <f t="shared" si="61"/>
        <v>11449.771042955597</v>
      </c>
      <c r="P112" s="7">
        <f t="shared" si="61"/>
        <v>0</v>
      </c>
      <c r="Q112" s="7">
        <f t="shared" si="61"/>
        <v>0</v>
      </c>
      <c r="R112" s="7">
        <f t="shared" si="61"/>
        <v>22118.223419910453</v>
      </c>
      <c r="S112" s="7">
        <f t="shared" si="61"/>
        <v>0</v>
      </c>
      <c r="T112" s="7">
        <f t="shared" si="61"/>
        <v>0</v>
      </c>
      <c r="U112" s="7">
        <f t="shared" si="61"/>
        <v>0</v>
      </c>
      <c r="V112" s="7">
        <f t="shared" si="61"/>
        <v>0</v>
      </c>
      <c r="W112" s="98">
        <f t="shared" si="49"/>
        <v>171799.06</v>
      </c>
    </row>
    <row r="113" spans="1:23" x14ac:dyDescent="0.25">
      <c r="A113" s="61" t="s">
        <v>163</v>
      </c>
      <c r="B113" s="7">
        <f>INDEX('Reference Sheet'!$G$9:$J$100,MATCH('Time Breakdown'!$A113,'Reference Sheet'!$F$9:$F$100),MATCH($A$97,'Reference Sheet'!$G$8:$J$8))</f>
        <v>4533.22</v>
      </c>
      <c r="C113" s="7">
        <f t="shared" ref="C113:V113" si="62">$B113*B63</f>
        <v>0</v>
      </c>
      <c r="D113" s="7">
        <f t="shared" si="62"/>
        <v>0</v>
      </c>
      <c r="E113" s="7">
        <f t="shared" si="62"/>
        <v>0</v>
      </c>
      <c r="F113" s="7">
        <f t="shared" si="62"/>
        <v>0</v>
      </c>
      <c r="G113" s="7">
        <f t="shared" si="62"/>
        <v>0</v>
      </c>
      <c r="H113" s="7">
        <f t="shared" si="62"/>
        <v>0</v>
      </c>
      <c r="I113" s="7">
        <f t="shared" si="62"/>
        <v>0</v>
      </c>
      <c r="J113" s="7">
        <f t="shared" si="62"/>
        <v>4533.22</v>
      </c>
      <c r="K113" s="7">
        <f t="shared" si="62"/>
        <v>0</v>
      </c>
      <c r="L113" s="7">
        <f t="shared" si="62"/>
        <v>0</v>
      </c>
      <c r="M113" s="7">
        <f t="shared" si="62"/>
        <v>0</v>
      </c>
      <c r="N113" s="7">
        <f t="shared" si="62"/>
        <v>0</v>
      </c>
      <c r="O113" s="7">
        <f t="shared" si="62"/>
        <v>0</v>
      </c>
      <c r="P113" s="7">
        <f t="shared" si="62"/>
        <v>0</v>
      </c>
      <c r="Q113" s="7">
        <f t="shared" si="62"/>
        <v>0</v>
      </c>
      <c r="R113" s="7">
        <f t="shared" si="62"/>
        <v>0</v>
      </c>
      <c r="S113" s="7">
        <f t="shared" si="62"/>
        <v>0</v>
      </c>
      <c r="T113" s="7">
        <f t="shared" si="62"/>
        <v>0</v>
      </c>
      <c r="U113" s="7">
        <f t="shared" si="62"/>
        <v>0</v>
      </c>
      <c r="V113" s="7">
        <f t="shared" si="62"/>
        <v>0</v>
      </c>
      <c r="W113" s="98">
        <f t="shared" si="49"/>
        <v>4533.22</v>
      </c>
    </row>
    <row r="114" spans="1:23" x14ac:dyDescent="0.25">
      <c r="A114" s="61" t="s">
        <v>164</v>
      </c>
      <c r="B114" s="7">
        <f>INDEX('Reference Sheet'!$G$9:$J$100,MATCH('Time Breakdown'!$A114,'Reference Sheet'!$F$9:$F$100),MATCH($A$97,'Reference Sheet'!$G$8:$J$8))</f>
        <v>65247.29</v>
      </c>
      <c r="C114" s="7">
        <f t="shared" ref="C114:V114" si="63">$B114*B64</f>
        <v>0</v>
      </c>
      <c r="D114" s="7">
        <f t="shared" si="63"/>
        <v>0</v>
      </c>
      <c r="E114" s="7">
        <f t="shared" si="63"/>
        <v>0</v>
      </c>
      <c r="F114" s="7">
        <f t="shared" si="63"/>
        <v>0</v>
      </c>
      <c r="G114" s="7">
        <f t="shared" si="63"/>
        <v>0</v>
      </c>
      <c r="H114" s="7">
        <f t="shared" si="63"/>
        <v>0</v>
      </c>
      <c r="I114" s="7">
        <f t="shared" si="63"/>
        <v>0</v>
      </c>
      <c r="J114" s="7">
        <f t="shared" si="63"/>
        <v>0</v>
      </c>
      <c r="K114" s="7">
        <f t="shared" si="63"/>
        <v>0</v>
      </c>
      <c r="L114" s="7">
        <f t="shared" si="63"/>
        <v>0</v>
      </c>
      <c r="M114" s="7">
        <f t="shared" si="63"/>
        <v>0</v>
      </c>
      <c r="N114" s="7">
        <f t="shared" si="63"/>
        <v>0</v>
      </c>
      <c r="O114" s="7">
        <f t="shared" si="63"/>
        <v>0</v>
      </c>
      <c r="P114" s="7">
        <f t="shared" si="63"/>
        <v>65247.29</v>
      </c>
      <c r="Q114" s="7">
        <f t="shared" si="63"/>
        <v>0</v>
      </c>
      <c r="R114" s="7">
        <f t="shared" si="63"/>
        <v>0</v>
      </c>
      <c r="S114" s="7">
        <f t="shared" si="63"/>
        <v>0</v>
      </c>
      <c r="T114" s="7">
        <f t="shared" si="63"/>
        <v>0</v>
      </c>
      <c r="U114" s="7">
        <f t="shared" si="63"/>
        <v>0</v>
      </c>
      <c r="V114" s="7">
        <f t="shared" si="63"/>
        <v>0</v>
      </c>
      <c r="W114" s="98">
        <f t="shared" si="49"/>
        <v>65247.29</v>
      </c>
    </row>
    <row r="115" spans="1:23" x14ac:dyDescent="0.25">
      <c r="A115" s="61" t="s">
        <v>165</v>
      </c>
      <c r="B115" s="7">
        <f>INDEX('Reference Sheet'!$G$9:$J$100,MATCH('Time Breakdown'!$A115,'Reference Sheet'!$F$9:$F$100),MATCH($A$97,'Reference Sheet'!$G$8:$J$8))</f>
        <v>220.59</v>
      </c>
      <c r="C115" s="7">
        <f t="shared" ref="C115:V115" si="64">$B115*B65</f>
        <v>0</v>
      </c>
      <c r="D115" s="7">
        <f t="shared" si="64"/>
        <v>0</v>
      </c>
      <c r="E115" s="7">
        <f t="shared" si="64"/>
        <v>0</v>
      </c>
      <c r="F115" s="7">
        <f t="shared" si="64"/>
        <v>0</v>
      </c>
      <c r="G115" s="7">
        <f t="shared" si="64"/>
        <v>0</v>
      </c>
      <c r="H115" s="7">
        <f t="shared" si="64"/>
        <v>0</v>
      </c>
      <c r="I115" s="7">
        <f t="shared" si="64"/>
        <v>0</v>
      </c>
      <c r="J115" s="7">
        <f t="shared" si="64"/>
        <v>220.59</v>
      </c>
      <c r="K115" s="7">
        <f t="shared" si="64"/>
        <v>0</v>
      </c>
      <c r="L115" s="7">
        <f t="shared" si="64"/>
        <v>0</v>
      </c>
      <c r="M115" s="7">
        <f t="shared" si="64"/>
        <v>0</v>
      </c>
      <c r="N115" s="7">
        <f t="shared" si="64"/>
        <v>0</v>
      </c>
      <c r="O115" s="7">
        <f t="shared" si="64"/>
        <v>0</v>
      </c>
      <c r="P115" s="7">
        <f t="shared" si="64"/>
        <v>0</v>
      </c>
      <c r="Q115" s="7">
        <f t="shared" si="64"/>
        <v>0</v>
      </c>
      <c r="R115" s="7">
        <f t="shared" si="64"/>
        <v>0</v>
      </c>
      <c r="S115" s="7">
        <f t="shared" si="64"/>
        <v>0</v>
      </c>
      <c r="T115" s="7">
        <f t="shared" si="64"/>
        <v>0</v>
      </c>
      <c r="U115" s="7">
        <f t="shared" si="64"/>
        <v>0</v>
      </c>
      <c r="V115" s="7">
        <f t="shared" si="64"/>
        <v>0</v>
      </c>
      <c r="W115" s="98">
        <f t="shared" si="49"/>
        <v>220.59</v>
      </c>
    </row>
    <row r="116" spans="1:23" x14ac:dyDescent="0.25">
      <c r="A116" s="61" t="s">
        <v>166</v>
      </c>
      <c r="B116" s="7">
        <f>INDEX('Reference Sheet'!$G$9:$J$100,MATCH('Time Breakdown'!$A116,'Reference Sheet'!$F$9:$F$100),MATCH($A$97,'Reference Sheet'!$G$8:$J$8))</f>
        <v>19807.72</v>
      </c>
      <c r="C116" s="7">
        <f t="shared" ref="C116:V116" si="65">$B116*B66</f>
        <v>0</v>
      </c>
      <c r="D116" s="7">
        <f t="shared" si="65"/>
        <v>0</v>
      </c>
      <c r="E116" s="7">
        <f t="shared" si="65"/>
        <v>0</v>
      </c>
      <c r="F116" s="7">
        <f t="shared" si="65"/>
        <v>0</v>
      </c>
      <c r="G116" s="7">
        <f t="shared" si="65"/>
        <v>0</v>
      </c>
      <c r="H116" s="7">
        <f t="shared" si="65"/>
        <v>0</v>
      </c>
      <c r="I116" s="7">
        <f t="shared" si="65"/>
        <v>0</v>
      </c>
      <c r="J116" s="7">
        <f t="shared" si="65"/>
        <v>19807.72</v>
      </c>
      <c r="K116" s="7">
        <f t="shared" si="65"/>
        <v>0</v>
      </c>
      <c r="L116" s="7">
        <f t="shared" si="65"/>
        <v>0</v>
      </c>
      <c r="M116" s="7">
        <f t="shared" si="65"/>
        <v>0</v>
      </c>
      <c r="N116" s="7">
        <f t="shared" si="65"/>
        <v>0</v>
      </c>
      <c r="O116" s="7">
        <f t="shared" si="65"/>
        <v>0</v>
      </c>
      <c r="P116" s="7">
        <f t="shared" si="65"/>
        <v>0</v>
      </c>
      <c r="Q116" s="7">
        <f t="shared" si="65"/>
        <v>0</v>
      </c>
      <c r="R116" s="7">
        <f t="shared" si="65"/>
        <v>0</v>
      </c>
      <c r="S116" s="7">
        <f t="shared" si="65"/>
        <v>0</v>
      </c>
      <c r="T116" s="7">
        <f t="shared" si="65"/>
        <v>0</v>
      </c>
      <c r="U116" s="7">
        <f t="shared" si="65"/>
        <v>0</v>
      </c>
      <c r="V116" s="7">
        <f t="shared" si="65"/>
        <v>0</v>
      </c>
      <c r="W116" s="98">
        <f t="shared" si="49"/>
        <v>19807.72</v>
      </c>
    </row>
    <row r="117" spans="1:23" x14ac:dyDescent="0.25">
      <c r="A117" s="61" t="s">
        <v>167</v>
      </c>
      <c r="B117" s="7">
        <f>INDEX('Reference Sheet'!$G$9:$J$100,MATCH('Time Breakdown'!$A117,'Reference Sheet'!$F$9:$F$100),MATCH($A$97,'Reference Sheet'!$G$8:$J$8))</f>
        <v>11359.63</v>
      </c>
      <c r="C117" s="7">
        <f t="shared" ref="C117:V117" si="66">$B117*B67</f>
        <v>0</v>
      </c>
      <c r="D117" s="7">
        <f t="shared" si="66"/>
        <v>0</v>
      </c>
      <c r="E117" s="7">
        <f t="shared" si="66"/>
        <v>0</v>
      </c>
      <c r="F117" s="7">
        <f t="shared" si="66"/>
        <v>0</v>
      </c>
      <c r="G117" s="7">
        <f t="shared" si="66"/>
        <v>0</v>
      </c>
      <c r="H117" s="7">
        <f t="shared" si="66"/>
        <v>0</v>
      </c>
      <c r="I117" s="7">
        <f t="shared" si="66"/>
        <v>0</v>
      </c>
      <c r="J117" s="7">
        <f t="shared" si="66"/>
        <v>0</v>
      </c>
      <c r="K117" s="7">
        <f t="shared" si="66"/>
        <v>5679.8149999999996</v>
      </c>
      <c r="L117" s="7">
        <f t="shared" si="66"/>
        <v>0</v>
      </c>
      <c r="M117" s="7">
        <f t="shared" si="66"/>
        <v>0</v>
      </c>
      <c r="N117" s="7">
        <f t="shared" si="66"/>
        <v>0</v>
      </c>
      <c r="O117" s="7">
        <f t="shared" si="66"/>
        <v>0</v>
      </c>
      <c r="P117" s="7">
        <f t="shared" si="66"/>
        <v>0</v>
      </c>
      <c r="Q117" s="7">
        <f t="shared" si="66"/>
        <v>0</v>
      </c>
      <c r="R117" s="7">
        <f t="shared" si="66"/>
        <v>0</v>
      </c>
      <c r="S117" s="7">
        <f t="shared" si="66"/>
        <v>0</v>
      </c>
      <c r="T117" s="7">
        <f t="shared" si="66"/>
        <v>0</v>
      </c>
      <c r="U117" s="7">
        <f t="shared" si="66"/>
        <v>0</v>
      </c>
      <c r="V117" s="7">
        <f t="shared" si="66"/>
        <v>5679.8149999999996</v>
      </c>
      <c r="W117" s="98">
        <f t="shared" si="49"/>
        <v>11359.63</v>
      </c>
    </row>
    <row r="118" spans="1:23" x14ac:dyDescent="0.25">
      <c r="A118" s="61" t="s">
        <v>168</v>
      </c>
      <c r="B118" s="7">
        <f>INDEX('Reference Sheet'!$G$9:$J$100,MATCH('Time Breakdown'!$A118,'Reference Sheet'!$F$9:$F$100),MATCH($A$97,'Reference Sheet'!$G$8:$J$8))</f>
        <v>4599.01</v>
      </c>
      <c r="C118" s="7">
        <f t="shared" ref="C118:V118" si="67">$B118*B68</f>
        <v>0</v>
      </c>
      <c r="D118" s="7">
        <f t="shared" si="67"/>
        <v>0</v>
      </c>
      <c r="E118" s="7">
        <f t="shared" si="67"/>
        <v>0</v>
      </c>
      <c r="F118" s="7">
        <f t="shared" si="67"/>
        <v>0</v>
      </c>
      <c r="G118" s="7">
        <f t="shared" si="67"/>
        <v>0</v>
      </c>
      <c r="H118" s="7">
        <f t="shared" si="67"/>
        <v>0</v>
      </c>
      <c r="I118" s="7">
        <f t="shared" si="67"/>
        <v>0</v>
      </c>
      <c r="J118" s="7">
        <f t="shared" si="67"/>
        <v>4599.01</v>
      </c>
      <c r="K118" s="7">
        <f t="shared" si="67"/>
        <v>0</v>
      </c>
      <c r="L118" s="7">
        <f t="shared" si="67"/>
        <v>0</v>
      </c>
      <c r="M118" s="7">
        <f t="shared" si="67"/>
        <v>0</v>
      </c>
      <c r="N118" s="7">
        <f t="shared" si="67"/>
        <v>0</v>
      </c>
      <c r="O118" s="7">
        <f t="shared" si="67"/>
        <v>0</v>
      </c>
      <c r="P118" s="7">
        <f t="shared" si="67"/>
        <v>0</v>
      </c>
      <c r="Q118" s="7">
        <f t="shared" si="67"/>
        <v>0</v>
      </c>
      <c r="R118" s="7">
        <f t="shared" si="67"/>
        <v>0</v>
      </c>
      <c r="S118" s="7">
        <f t="shared" si="67"/>
        <v>0</v>
      </c>
      <c r="T118" s="7">
        <f t="shared" si="67"/>
        <v>0</v>
      </c>
      <c r="U118" s="7">
        <f t="shared" si="67"/>
        <v>0</v>
      </c>
      <c r="V118" s="7">
        <f t="shared" si="67"/>
        <v>0</v>
      </c>
      <c r="W118" s="98">
        <f t="shared" si="49"/>
        <v>4599.01</v>
      </c>
    </row>
    <row r="119" spans="1:23" x14ac:dyDescent="0.25">
      <c r="A119" s="61" t="s">
        <v>55</v>
      </c>
      <c r="B119" s="7">
        <f>INDEX('Reference Sheet'!$G$9:$J$100,MATCH('Time Breakdown'!$A119,'Reference Sheet'!$F$9:$F$100),MATCH($A$97,'Reference Sheet'!$G$8:$J$8))</f>
        <v>78492.759999999995</v>
      </c>
      <c r="C119" s="7">
        <f t="shared" ref="C119:V119" si="68">$B119*B69</f>
        <v>0</v>
      </c>
      <c r="D119" s="7">
        <f t="shared" si="68"/>
        <v>0</v>
      </c>
      <c r="E119" s="7">
        <f t="shared" si="68"/>
        <v>0</v>
      </c>
      <c r="F119" s="7">
        <f t="shared" si="68"/>
        <v>0</v>
      </c>
      <c r="G119" s="7">
        <f t="shared" si="68"/>
        <v>0</v>
      </c>
      <c r="H119" s="7">
        <f t="shared" si="68"/>
        <v>400.98472541507016</v>
      </c>
      <c r="I119" s="7">
        <f t="shared" si="68"/>
        <v>27867.053772267311</v>
      </c>
      <c r="J119" s="7">
        <f t="shared" si="68"/>
        <v>0</v>
      </c>
      <c r="K119" s="7">
        <f t="shared" si="68"/>
        <v>0</v>
      </c>
      <c r="L119" s="7">
        <f t="shared" si="68"/>
        <v>0</v>
      </c>
      <c r="M119" s="7">
        <f t="shared" si="68"/>
        <v>2086.1377679771258</v>
      </c>
      <c r="N119" s="7">
        <f t="shared" si="68"/>
        <v>2777.3924132637926</v>
      </c>
      <c r="O119" s="7">
        <f t="shared" si="68"/>
        <v>4720.1337111584762</v>
      </c>
      <c r="P119" s="7">
        <f t="shared" si="68"/>
        <v>0</v>
      </c>
      <c r="Q119" s="7">
        <f t="shared" si="68"/>
        <v>0</v>
      </c>
      <c r="R119" s="7">
        <f t="shared" si="68"/>
        <v>5246.7180946558374</v>
      </c>
      <c r="S119" s="7">
        <f t="shared" si="68"/>
        <v>0</v>
      </c>
      <c r="T119" s="7">
        <f t="shared" si="68"/>
        <v>0</v>
      </c>
      <c r="U119" s="7">
        <f t="shared" si="68"/>
        <v>0</v>
      </c>
      <c r="V119" s="7">
        <f t="shared" si="68"/>
        <v>35394.339515262385</v>
      </c>
      <c r="W119" s="98">
        <f t="shared" si="49"/>
        <v>78492.759999999995</v>
      </c>
    </row>
    <row r="120" spans="1:23" x14ac:dyDescent="0.25">
      <c r="A120" s="61" t="s">
        <v>74</v>
      </c>
      <c r="B120" s="7">
        <f>INDEX('Reference Sheet'!$G$9:$J$100,MATCH('Time Breakdown'!$A120,'Reference Sheet'!$F$9:$F$100),MATCH($A$97,'Reference Sheet'!$G$8:$J$8))</f>
        <v>59850</v>
      </c>
      <c r="C120" s="7">
        <f t="shared" ref="C120:V120" si="69">$B120*B70</f>
        <v>0</v>
      </c>
      <c r="D120" s="7">
        <f t="shared" si="69"/>
        <v>0</v>
      </c>
      <c r="E120" s="7">
        <f t="shared" si="69"/>
        <v>0</v>
      </c>
      <c r="F120" s="7">
        <f t="shared" si="69"/>
        <v>0</v>
      </c>
      <c r="G120" s="7">
        <f t="shared" si="69"/>
        <v>0</v>
      </c>
      <c r="H120" s="7">
        <f t="shared" si="69"/>
        <v>0</v>
      </c>
      <c r="I120" s="7">
        <f t="shared" si="69"/>
        <v>4124.9455278652895</v>
      </c>
      <c r="J120" s="7">
        <f t="shared" si="69"/>
        <v>26646.220803849599</v>
      </c>
      <c r="K120" s="7">
        <f t="shared" si="69"/>
        <v>0</v>
      </c>
      <c r="L120" s="7">
        <f t="shared" si="69"/>
        <v>28296.806152838257</v>
      </c>
      <c r="M120" s="7">
        <f t="shared" si="69"/>
        <v>0</v>
      </c>
      <c r="N120" s="7">
        <f t="shared" si="69"/>
        <v>0</v>
      </c>
      <c r="O120" s="7">
        <f t="shared" si="69"/>
        <v>0</v>
      </c>
      <c r="P120" s="7">
        <f t="shared" si="69"/>
        <v>0</v>
      </c>
      <c r="Q120" s="7">
        <f t="shared" si="69"/>
        <v>0</v>
      </c>
      <c r="R120" s="7">
        <f t="shared" si="69"/>
        <v>782.02751544685486</v>
      </c>
      <c r="S120" s="7">
        <f t="shared" si="69"/>
        <v>0</v>
      </c>
      <c r="T120" s="7">
        <f t="shared" si="69"/>
        <v>0</v>
      </c>
      <c r="U120" s="7">
        <f t="shared" si="69"/>
        <v>0</v>
      </c>
      <c r="V120" s="7">
        <f t="shared" si="69"/>
        <v>0</v>
      </c>
      <c r="W120" s="98">
        <f t="shared" si="49"/>
        <v>59850</v>
      </c>
    </row>
    <row r="121" spans="1:23" x14ac:dyDescent="0.25">
      <c r="A121" s="61" t="s">
        <v>169</v>
      </c>
      <c r="B121" s="7">
        <f>INDEX('Reference Sheet'!$G$9:$J$100,MATCH('Time Breakdown'!$A121,'Reference Sheet'!$F$9:$F$100),MATCH($A$97,'Reference Sheet'!$G$8:$J$8))</f>
        <v>117507.73</v>
      </c>
      <c r="C121" s="7">
        <f t="shared" ref="C121:V121" si="70">$B121*B71</f>
        <v>0</v>
      </c>
      <c r="D121" s="7">
        <f t="shared" si="70"/>
        <v>1895.2859677419353</v>
      </c>
      <c r="E121" s="7">
        <f t="shared" si="70"/>
        <v>0</v>
      </c>
      <c r="F121" s="7">
        <f t="shared" si="70"/>
        <v>0</v>
      </c>
      <c r="G121" s="7">
        <f t="shared" si="70"/>
        <v>0</v>
      </c>
      <c r="H121" s="7">
        <f t="shared" si="70"/>
        <v>0</v>
      </c>
      <c r="I121" s="7">
        <f t="shared" si="70"/>
        <v>0</v>
      </c>
      <c r="J121" s="7">
        <f t="shared" si="70"/>
        <v>50089.700576036863</v>
      </c>
      <c r="K121" s="7">
        <f t="shared" si="70"/>
        <v>1678.6818571428571</v>
      </c>
      <c r="L121" s="7">
        <f t="shared" si="70"/>
        <v>0</v>
      </c>
      <c r="M121" s="7">
        <f t="shared" si="70"/>
        <v>0</v>
      </c>
      <c r="N121" s="7">
        <f t="shared" si="70"/>
        <v>0</v>
      </c>
      <c r="O121" s="7">
        <f t="shared" si="70"/>
        <v>0</v>
      </c>
      <c r="P121" s="7">
        <f t="shared" si="70"/>
        <v>4548.6863225806455</v>
      </c>
      <c r="Q121" s="7">
        <f t="shared" si="70"/>
        <v>0</v>
      </c>
      <c r="R121" s="7">
        <f t="shared" si="70"/>
        <v>0</v>
      </c>
      <c r="S121" s="7">
        <f t="shared" si="70"/>
        <v>406.1327073732719</v>
      </c>
      <c r="T121" s="7">
        <f t="shared" si="70"/>
        <v>0</v>
      </c>
      <c r="U121" s="7">
        <f t="shared" si="70"/>
        <v>2653.4003548387095</v>
      </c>
      <c r="V121" s="7">
        <f t="shared" si="70"/>
        <v>56235.842214285716</v>
      </c>
      <c r="W121" s="98">
        <f t="shared" si="49"/>
        <v>117507.73000000001</v>
      </c>
    </row>
    <row r="122" spans="1:23" x14ac:dyDescent="0.25">
      <c r="A122" s="61" t="s">
        <v>170</v>
      </c>
      <c r="B122" s="7">
        <f>INDEX('Reference Sheet'!$G$9:$J$100,MATCH('Time Breakdown'!$A122,'Reference Sheet'!$F$9:$F$100),MATCH($A$97,'Reference Sheet'!$G$8:$J$8))</f>
        <v>10726</v>
      </c>
      <c r="C122" s="7">
        <f t="shared" ref="C122:V122" si="71">$B122*B72</f>
        <v>0</v>
      </c>
      <c r="D122" s="7">
        <f t="shared" si="71"/>
        <v>0</v>
      </c>
      <c r="E122" s="7">
        <f t="shared" si="71"/>
        <v>0</v>
      </c>
      <c r="F122" s="7">
        <f t="shared" si="71"/>
        <v>0</v>
      </c>
      <c r="G122" s="7">
        <f t="shared" si="71"/>
        <v>0</v>
      </c>
      <c r="H122" s="7">
        <f t="shared" si="71"/>
        <v>0</v>
      </c>
      <c r="I122" s="7">
        <f t="shared" si="71"/>
        <v>0</v>
      </c>
      <c r="J122" s="7">
        <f t="shared" si="71"/>
        <v>10726</v>
      </c>
      <c r="K122" s="7">
        <f t="shared" si="71"/>
        <v>0</v>
      </c>
      <c r="L122" s="7">
        <f t="shared" si="71"/>
        <v>0</v>
      </c>
      <c r="M122" s="7">
        <f t="shared" si="71"/>
        <v>0</v>
      </c>
      <c r="N122" s="7">
        <f t="shared" si="71"/>
        <v>0</v>
      </c>
      <c r="O122" s="7">
        <f t="shared" si="71"/>
        <v>0</v>
      </c>
      <c r="P122" s="7">
        <f t="shared" si="71"/>
        <v>0</v>
      </c>
      <c r="Q122" s="7">
        <f t="shared" si="71"/>
        <v>0</v>
      </c>
      <c r="R122" s="7">
        <f t="shared" si="71"/>
        <v>0</v>
      </c>
      <c r="S122" s="7">
        <f t="shared" si="71"/>
        <v>0</v>
      </c>
      <c r="T122" s="7">
        <f t="shared" si="71"/>
        <v>0</v>
      </c>
      <c r="U122" s="7">
        <f t="shared" si="71"/>
        <v>0</v>
      </c>
      <c r="V122" s="7">
        <f t="shared" si="71"/>
        <v>0</v>
      </c>
      <c r="W122" s="98">
        <f t="shared" si="49"/>
        <v>10726</v>
      </c>
    </row>
    <row r="123" spans="1:23" x14ac:dyDescent="0.25">
      <c r="A123" s="61" t="s">
        <v>171</v>
      </c>
      <c r="B123" s="7">
        <f>INDEX('Reference Sheet'!$G$9:$J$100,MATCH('Time Breakdown'!$A123,'Reference Sheet'!$F$9:$F$100),MATCH($A$97,'Reference Sheet'!$G$8:$J$8))</f>
        <v>8947.31</v>
      </c>
      <c r="C123" s="7">
        <f t="shared" ref="C123:V123" si="72">$B123*B73</f>
        <v>0</v>
      </c>
      <c r="D123" s="7">
        <f t="shared" si="72"/>
        <v>0</v>
      </c>
      <c r="E123" s="7">
        <f t="shared" si="72"/>
        <v>0</v>
      </c>
      <c r="F123" s="7">
        <f t="shared" si="72"/>
        <v>0</v>
      </c>
      <c r="G123" s="7">
        <f t="shared" si="72"/>
        <v>0</v>
      </c>
      <c r="H123" s="7">
        <f t="shared" si="72"/>
        <v>0</v>
      </c>
      <c r="I123" s="7">
        <f t="shared" si="72"/>
        <v>0</v>
      </c>
      <c r="J123" s="7">
        <f t="shared" si="72"/>
        <v>8947.31</v>
      </c>
      <c r="K123" s="7">
        <f t="shared" si="72"/>
        <v>0</v>
      </c>
      <c r="L123" s="7">
        <f t="shared" si="72"/>
        <v>0</v>
      </c>
      <c r="M123" s="7">
        <f t="shared" si="72"/>
        <v>0</v>
      </c>
      <c r="N123" s="7">
        <f t="shared" si="72"/>
        <v>0</v>
      </c>
      <c r="O123" s="7">
        <f t="shared" si="72"/>
        <v>0</v>
      </c>
      <c r="P123" s="7">
        <f t="shared" si="72"/>
        <v>0</v>
      </c>
      <c r="Q123" s="7">
        <f t="shared" si="72"/>
        <v>0</v>
      </c>
      <c r="R123" s="7">
        <f t="shared" si="72"/>
        <v>0</v>
      </c>
      <c r="S123" s="7">
        <f t="shared" si="72"/>
        <v>0</v>
      </c>
      <c r="T123" s="7">
        <f t="shared" si="72"/>
        <v>0</v>
      </c>
      <c r="U123" s="7">
        <f t="shared" si="72"/>
        <v>0</v>
      </c>
      <c r="V123" s="7">
        <f t="shared" si="72"/>
        <v>0</v>
      </c>
      <c r="W123" s="98">
        <f t="shared" si="49"/>
        <v>8947.31</v>
      </c>
    </row>
    <row r="124" spans="1:23" x14ac:dyDescent="0.25">
      <c r="A124" s="61" t="s">
        <v>172</v>
      </c>
      <c r="B124" s="7">
        <f>INDEX('Reference Sheet'!$G$9:$J$100,MATCH('Time Breakdown'!$A124,'Reference Sheet'!$F$9:$F$100),MATCH($A$97,'Reference Sheet'!$G$8:$J$8))</f>
        <v>14502.31</v>
      </c>
      <c r="C124" s="7">
        <f t="shared" ref="C124:V124" si="73">$B124*B74</f>
        <v>0</v>
      </c>
      <c r="D124" s="7">
        <f t="shared" si="73"/>
        <v>0</v>
      </c>
      <c r="E124" s="7">
        <f t="shared" si="73"/>
        <v>0</v>
      </c>
      <c r="F124" s="7">
        <f t="shared" si="73"/>
        <v>0</v>
      </c>
      <c r="G124" s="7">
        <f t="shared" si="73"/>
        <v>0</v>
      </c>
      <c r="H124" s="7">
        <f t="shared" si="73"/>
        <v>0</v>
      </c>
      <c r="I124" s="7">
        <f t="shared" si="73"/>
        <v>0</v>
      </c>
      <c r="J124" s="7">
        <f t="shared" si="73"/>
        <v>14502.31</v>
      </c>
      <c r="K124" s="7">
        <f t="shared" si="73"/>
        <v>0</v>
      </c>
      <c r="L124" s="7">
        <f t="shared" si="73"/>
        <v>0</v>
      </c>
      <c r="M124" s="7">
        <f t="shared" si="73"/>
        <v>0</v>
      </c>
      <c r="N124" s="7">
        <f t="shared" si="73"/>
        <v>0</v>
      </c>
      <c r="O124" s="7">
        <f t="shared" si="73"/>
        <v>0</v>
      </c>
      <c r="P124" s="7">
        <f t="shared" si="73"/>
        <v>0</v>
      </c>
      <c r="Q124" s="7">
        <f t="shared" si="73"/>
        <v>0</v>
      </c>
      <c r="R124" s="7">
        <f t="shared" si="73"/>
        <v>0</v>
      </c>
      <c r="S124" s="7">
        <f t="shared" si="73"/>
        <v>0</v>
      </c>
      <c r="T124" s="7">
        <f t="shared" si="73"/>
        <v>0</v>
      </c>
      <c r="U124" s="7">
        <f t="shared" si="73"/>
        <v>0</v>
      </c>
      <c r="V124" s="7">
        <f t="shared" si="73"/>
        <v>0</v>
      </c>
      <c r="W124" s="98">
        <f t="shared" si="49"/>
        <v>14502.31</v>
      </c>
    </row>
    <row r="125" spans="1:23" x14ac:dyDescent="0.25">
      <c r="A125" s="61" t="s">
        <v>56</v>
      </c>
      <c r="B125" s="7">
        <f>INDEX('Reference Sheet'!$G$9:$J$100,MATCH('Time Breakdown'!$A125,'Reference Sheet'!$F$9:$F$100),MATCH($A$97,'Reference Sheet'!$G$8:$J$8))</f>
        <v>91374.399999999994</v>
      </c>
      <c r="C125" s="7">
        <f t="shared" ref="C125:V125" si="74">$B125*B75</f>
        <v>0</v>
      </c>
      <c r="D125" s="7">
        <f t="shared" si="74"/>
        <v>0</v>
      </c>
      <c r="E125" s="7">
        <f t="shared" si="74"/>
        <v>0</v>
      </c>
      <c r="F125" s="7">
        <f t="shared" si="74"/>
        <v>0</v>
      </c>
      <c r="G125" s="7">
        <f t="shared" si="74"/>
        <v>13792.530734105896</v>
      </c>
      <c r="H125" s="7">
        <f t="shared" si="74"/>
        <v>0</v>
      </c>
      <c r="I125" s="7">
        <f t="shared" si="74"/>
        <v>0</v>
      </c>
      <c r="J125" s="7">
        <f t="shared" si="74"/>
        <v>0</v>
      </c>
      <c r="K125" s="7">
        <f t="shared" si="74"/>
        <v>0</v>
      </c>
      <c r="L125" s="7">
        <f t="shared" si="74"/>
        <v>0</v>
      </c>
      <c r="M125" s="7">
        <f t="shared" si="74"/>
        <v>28688.546547569018</v>
      </c>
      <c r="N125" s="7">
        <f t="shared" si="74"/>
        <v>0</v>
      </c>
      <c r="O125" s="7">
        <f t="shared" si="74"/>
        <v>0</v>
      </c>
      <c r="P125" s="7">
        <f t="shared" si="74"/>
        <v>0</v>
      </c>
      <c r="Q125" s="7">
        <f t="shared" si="74"/>
        <v>0</v>
      </c>
      <c r="R125" s="7">
        <f t="shared" si="74"/>
        <v>48893.322718325086</v>
      </c>
      <c r="S125" s="7">
        <f t="shared" si="74"/>
        <v>0</v>
      </c>
      <c r="T125" s="7">
        <f t="shared" si="74"/>
        <v>0</v>
      </c>
      <c r="U125" s="7">
        <f t="shared" si="74"/>
        <v>0</v>
      </c>
      <c r="V125" s="7">
        <f t="shared" si="74"/>
        <v>0</v>
      </c>
      <c r="W125" s="98">
        <f t="shared" si="49"/>
        <v>91374.399999999994</v>
      </c>
    </row>
    <row r="126" spans="1:23" x14ac:dyDescent="0.25">
      <c r="A126" s="61" t="s">
        <v>173</v>
      </c>
      <c r="B126" s="7">
        <f>INDEX('Reference Sheet'!$G$9:$J$100,MATCH('Time Breakdown'!$A126,'Reference Sheet'!$F$9:$F$100),MATCH($A$97,'Reference Sheet'!$G$8:$J$8))</f>
        <v>5059.17</v>
      </c>
      <c r="C126" s="7">
        <f>$B126*B77</f>
        <v>0</v>
      </c>
      <c r="D126" s="7">
        <f>$B126*C77</f>
        <v>0</v>
      </c>
      <c r="E126" s="7">
        <f>$B126*D77</f>
        <v>0</v>
      </c>
      <c r="F126" s="7">
        <f>$B126*E77</f>
        <v>0</v>
      </c>
      <c r="G126" s="7">
        <f>$B126*F77</f>
        <v>0</v>
      </c>
      <c r="H126" s="7">
        <f>$B126*G77</f>
        <v>0</v>
      </c>
      <c r="I126" s="7">
        <f>$B126*H77</f>
        <v>0</v>
      </c>
      <c r="J126" s="7">
        <f>$B126*I77</f>
        <v>5059.17</v>
      </c>
      <c r="K126" s="7">
        <f>$B126*J77</f>
        <v>0</v>
      </c>
      <c r="L126" s="7">
        <f>$B126*K77</f>
        <v>0</v>
      </c>
      <c r="M126" s="7">
        <f>$B126*L77</f>
        <v>0</v>
      </c>
      <c r="N126" s="7">
        <f>$B126*M77</f>
        <v>0</v>
      </c>
      <c r="O126" s="7">
        <f>$B126*N77</f>
        <v>0</v>
      </c>
      <c r="P126" s="7">
        <f>$B126*O77</f>
        <v>0</v>
      </c>
      <c r="Q126" s="7">
        <f>$B126*P77</f>
        <v>0</v>
      </c>
      <c r="R126" s="7">
        <f>$B126*Q77</f>
        <v>0</v>
      </c>
      <c r="S126" s="7">
        <f>$B126*R77</f>
        <v>0</v>
      </c>
      <c r="T126" s="7">
        <f>$B126*S77</f>
        <v>0</v>
      </c>
      <c r="U126" s="7">
        <f>$B126*T77</f>
        <v>0</v>
      </c>
      <c r="V126" s="7">
        <f>$B126*U77</f>
        <v>0</v>
      </c>
      <c r="W126" s="98">
        <f t="shared" si="49"/>
        <v>5059.17</v>
      </c>
    </row>
    <row r="127" spans="1:23" x14ac:dyDescent="0.25">
      <c r="A127" s="61" t="s">
        <v>174</v>
      </c>
      <c r="B127" s="7">
        <f>INDEX('Reference Sheet'!$G$9:$J$100,MATCH('Time Breakdown'!$A127,'Reference Sheet'!$F$9:$F$100),MATCH($A$97,'Reference Sheet'!$G$8:$J$8))</f>
        <v>1375.74</v>
      </c>
      <c r="C127" s="7">
        <f>$B127*B78</f>
        <v>0</v>
      </c>
      <c r="D127" s="7">
        <f>$B127*C78</f>
        <v>0</v>
      </c>
      <c r="E127" s="7">
        <f>$B127*D78</f>
        <v>0</v>
      </c>
      <c r="F127" s="7">
        <f>$B127*E78</f>
        <v>0</v>
      </c>
      <c r="G127" s="7">
        <f>$B127*F78</f>
        <v>0</v>
      </c>
      <c r="H127" s="7">
        <f>$B127*G78</f>
        <v>0</v>
      </c>
      <c r="I127" s="7">
        <f>$B127*H78</f>
        <v>0</v>
      </c>
      <c r="J127" s="7">
        <f>$B127*I78</f>
        <v>1375.74</v>
      </c>
      <c r="K127" s="7">
        <f>$B127*J78</f>
        <v>0</v>
      </c>
      <c r="L127" s="7">
        <f>$B127*K78</f>
        <v>0</v>
      </c>
      <c r="M127" s="7">
        <f>$B127*L78</f>
        <v>0</v>
      </c>
      <c r="N127" s="7">
        <f>$B127*M78</f>
        <v>0</v>
      </c>
      <c r="O127" s="7">
        <f>$B127*N78</f>
        <v>0</v>
      </c>
      <c r="P127" s="7">
        <f>$B127*O78</f>
        <v>0</v>
      </c>
      <c r="Q127" s="7">
        <f>$B127*P78</f>
        <v>0</v>
      </c>
      <c r="R127" s="7">
        <f>$B127*Q78</f>
        <v>0</v>
      </c>
      <c r="S127" s="7">
        <f>$B127*R78</f>
        <v>0</v>
      </c>
      <c r="T127" s="7">
        <f>$B127*S78</f>
        <v>0</v>
      </c>
      <c r="U127" s="7">
        <f>$B127*T78</f>
        <v>0</v>
      </c>
      <c r="V127" s="7">
        <f>$B127*U78</f>
        <v>0</v>
      </c>
      <c r="W127" s="98">
        <f t="shared" si="49"/>
        <v>1375.74</v>
      </c>
    </row>
    <row r="128" spans="1:23" x14ac:dyDescent="0.25">
      <c r="A128" s="61" t="s">
        <v>61</v>
      </c>
      <c r="B128" s="7">
        <f>INDEX('Reference Sheet'!$G$9:$J$100,MATCH('Time Breakdown'!$A128,'Reference Sheet'!$F$9:$F$100),MATCH($A$97,'Reference Sheet'!$G$8:$J$8))</f>
        <v>76312.09</v>
      </c>
      <c r="C128" s="7">
        <f>$B128*B79</f>
        <v>0</v>
      </c>
      <c r="D128" s="7">
        <f>$B128*C79</f>
        <v>0</v>
      </c>
      <c r="E128" s="7">
        <f>$B128*D79</f>
        <v>0</v>
      </c>
      <c r="F128" s="7">
        <f>$B128*E79</f>
        <v>0</v>
      </c>
      <c r="G128" s="7">
        <f>$B128*F79</f>
        <v>0</v>
      </c>
      <c r="H128" s="7">
        <f>$B128*G79</f>
        <v>0</v>
      </c>
      <c r="I128" s="7">
        <f>$B128*H79</f>
        <v>35322.374172195763</v>
      </c>
      <c r="J128" s="7">
        <f>$B128*I79</f>
        <v>0</v>
      </c>
      <c r="K128" s="7">
        <f>$B128*J79</f>
        <v>0</v>
      </c>
      <c r="L128" s="7">
        <f>$B128*K79</f>
        <v>0</v>
      </c>
      <c r="M128" s="7">
        <f>$B128*L79</f>
        <v>0</v>
      </c>
      <c r="N128" s="7">
        <f>$B128*M79</f>
        <v>0</v>
      </c>
      <c r="O128" s="7">
        <f>$B128*N79</f>
        <v>0</v>
      </c>
      <c r="P128" s="7">
        <f>$B128*O79</f>
        <v>0</v>
      </c>
      <c r="Q128" s="7">
        <f>$B128*P79</f>
        <v>0</v>
      </c>
      <c r="R128" s="7">
        <f>$B128*Q79</f>
        <v>24052.405435239289</v>
      </c>
      <c r="S128" s="7">
        <f>$B128*R79</f>
        <v>0</v>
      </c>
      <c r="T128" s="7">
        <f>$B128*S79</f>
        <v>16937.310392564945</v>
      </c>
      <c r="U128" s="7">
        <f>$B128*T79</f>
        <v>0</v>
      </c>
      <c r="V128" s="7">
        <f>$B128*U79</f>
        <v>0</v>
      </c>
      <c r="W128" s="98">
        <f t="shared" si="49"/>
        <v>76312.09</v>
      </c>
    </row>
    <row r="129" spans="1:24" x14ac:dyDescent="0.25">
      <c r="A129" s="61" t="s">
        <v>175</v>
      </c>
      <c r="B129" s="7">
        <f>INDEX('Reference Sheet'!$G$9:$J$100,MATCH('Time Breakdown'!$A129,'Reference Sheet'!$F$9:$F$100),MATCH($A$97,'Reference Sheet'!$G$8:$J$8))</f>
        <v>40670.050000000003</v>
      </c>
      <c r="C129" s="7">
        <f>$B129*B80</f>
        <v>0</v>
      </c>
      <c r="D129" s="7">
        <f>$B129*C80</f>
        <v>0</v>
      </c>
      <c r="E129" s="7">
        <f>$B129*D80</f>
        <v>0</v>
      </c>
      <c r="F129" s="7">
        <f>$B129*E80</f>
        <v>0</v>
      </c>
      <c r="G129" s="7">
        <f>$B129*F80</f>
        <v>0</v>
      </c>
      <c r="H129" s="7">
        <f>$B129*G80</f>
        <v>0</v>
      </c>
      <c r="I129" s="7">
        <f>$B129*H80</f>
        <v>0</v>
      </c>
      <c r="J129" s="7">
        <f>$B129*I80</f>
        <v>39678.097560975613</v>
      </c>
      <c r="K129" s="7">
        <f>$B129*J80</f>
        <v>0</v>
      </c>
      <c r="L129" s="7">
        <f>$B129*K80</f>
        <v>0</v>
      </c>
      <c r="M129" s="7">
        <f>$B129*L80</f>
        <v>0</v>
      </c>
      <c r="N129" s="7">
        <f>$B129*M80</f>
        <v>0</v>
      </c>
      <c r="O129" s="7">
        <f>$B129*N80</f>
        <v>0</v>
      </c>
      <c r="P129" s="7">
        <f>$B129*O80</f>
        <v>991.9524390243904</v>
      </c>
      <c r="Q129" s="7">
        <f>$B129*P80</f>
        <v>0</v>
      </c>
      <c r="R129" s="7">
        <f>$B129*Q80</f>
        <v>0</v>
      </c>
      <c r="S129" s="7">
        <f>$B129*R80</f>
        <v>0</v>
      </c>
      <c r="T129" s="7">
        <f>$B129*S80</f>
        <v>0</v>
      </c>
      <c r="U129" s="7">
        <f>$B129*T80</f>
        <v>0</v>
      </c>
      <c r="V129" s="7">
        <f>$B129*U80</f>
        <v>0</v>
      </c>
      <c r="W129" s="98">
        <f t="shared" si="49"/>
        <v>40670.050000000003</v>
      </c>
    </row>
    <row r="130" spans="1:24" x14ac:dyDescent="0.25">
      <c r="A130" s="61" t="s">
        <v>176</v>
      </c>
      <c r="B130" s="7">
        <f>INDEX('Reference Sheet'!$G$9:$J$100,MATCH('Time Breakdown'!$A130,'Reference Sheet'!$F$9:$F$100),MATCH($A$97,'Reference Sheet'!$G$8:$J$8))</f>
        <v>66222.22</v>
      </c>
      <c r="C130" s="7">
        <f>$B130*B81</f>
        <v>0</v>
      </c>
      <c r="D130" s="7">
        <f>$B130*C81</f>
        <v>0</v>
      </c>
      <c r="E130" s="7">
        <f>$B130*D81</f>
        <v>0</v>
      </c>
      <c r="F130" s="7">
        <f>$B130*E81</f>
        <v>0</v>
      </c>
      <c r="G130" s="7">
        <f>$B130*F81</f>
        <v>0</v>
      </c>
      <c r="H130" s="7">
        <f>$B130*G81</f>
        <v>0</v>
      </c>
      <c r="I130" s="7">
        <f>$B130*H81</f>
        <v>0</v>
      </c>
      <c r="J130" s="7">
        <f>$B130*I81</f>
        <v>0</v>
      </c>
      <c r="K130" s="7">
        <f>$B130*J81</f>
        <v>0</v>
      </c>
      <c r="L130" s="7">
        <f>$B130*K81</f>
        <v>0</v>
      </c>
      <c r="M130" s="7">
        <f>$B130*L81</f>
        <v>0</v>
      </c>
      <c r="N130" s="7">
        <f>$B130*M81</f>
        <v>0</v>
      </c>
      <c r="O130" s="7">
        <f>$B130*N81</f>
        <v>0</v>
      </c>
      <c r="P130" s="7">
        <f>$B130*O81</f>
        <v>0</v>
      </c>
      <c r="Q130" s="7">
        <f>$B130*P81</f>
        <v>0</v>
      </c>
      <c r="R130" s="7">
        <f>$B130*Q81</f>
        <v>0</v>
      </c>
      <c r="S130" s="7">
        <f>$B130*R81</f>
        <v>0</v>
      </c>
      <c r="T130" s="7">
        <f>$B130*S81</f>
        <v>0</v>
      </c>
      <c r="U130" s="7">
        <f>$B130*T81</f>
        <v>66222.22</v>
      </c>
      <c r="V130" s="7">
        <f>$B130*U81</f>
        <v>0</v>
      </c>
      <c r="W130" s="98">
        <f t="shared" si="49"/>
        <v>66222.22</v>
      </c>
    </row>
    <row r="131" spans="1:24" x14ac:dyDescent="0.25">
      <c r="A131" s="61" t="s">
        <v>177</v>
      </c>
      <c r="B131" s="7">
        <f>INDEX('Reference Sheet'!$G$9:$J$100,MATCH('Time Breakdown'!$A131,'Reference Sheet'!$F$9:$F$100),MATCH($A$97,'Reference Sheet'!$G$8:$J$8))</f>
        <v>68284.800000000003</v>
      </c>
      <c r="C131" s="7">
        <f>$B131*B82</f>
        <v>0</v>
      </c>
      <c r="D131" s="7">
        <f>$B131*C82</f>
        <v>0</v>
      </c>
      <c r="E131" s="7">
        <f>$B131*D82</f>
        <v>0</v>
      </c>
      <c r="F131" s="7">
        <f>$B131*E82</f>
        <v>0</v>
      </c>
      <c r="G131" s="7">
        <f>$B131*F82</f>
        <v>0</v>
      </c>
      <c r="H131" s="7">
        <f>$B131*G82</f>
        <v>0</v>
      </c>
      <c r="I131" s="7">
        <f>$B131*H82</f>
        <v>0</v>
      </c>
      <c r="J131" s="7">
        <f>$B131*I82</f>
        <v>24903.506528590726</v>
      </c>
      <c r="K131" s="7">
        <f>$B131*J82</f>
        <v>16171.906708689781</v>
      </c>
      <c r="L131" s="7">
        <f>$B131*K82</f>
        <v>0</v>
      </c>
      <c r="M131" s="7">
        <f>$B131*L82</f>
        <v>0</v>
      </c>
      <c r="N131" s="7">
        <f>$B131*M82</f>
        <v>0</v>
      </c>
      <c r="O131" s="7">
        <f>$B131*N82</f>
        <v>0</v>
      </c>
      <c r="P131" s="7">
        <f>$B131*O82</f>
        <v>0</v>
      </c>
      <c r="Q131" s="7">
        <f>$B131*P82</f>
        <v>0</v>
      </c>
      <c r="R131" s="7">
        <f>$B131*Q82</f>
        <v>0</v>
      </c>
      <c r="S131" s="7">
        <f>$B131*R82</f>
        <v>0</v>
      </c>
      <c r="T131" s="7">
        <f>$B131*S82</f>
        <v>0</v>
      </c>
      <c r="U131" s="7">
        <f>$B131*T82</f>
        <v>0</v>
      </c>
      <c r="V131" s="7">
        <f>$B131*U82</f>
        <v>27209.386762719496</v>
      </c>
      <c r="W131" s="98">
        <f t="shared" si="49"/>
        <v>68284.800000000003</v>
      </c>
    </row>
    <row r="132" spans="1:24" x14ac:dyDescent="0.25">
      <c r="A132" s="61" t="s">
        <v>178</v>
      </c>
      <c r="B132" s="7">
        <f>INDEX('Reference Sheet'!$G$9:$J$100,MATCH('Time Breakdown'!$A132,'Reference Sheet'!$F$9:$F$100),MATCH($A$97,'Reference Sheet'!$G$8:$J$8))</f>
        <v>3001.55</v>
      </c>
      <c r="C132" s="7">
        <f>$B132*B83</f>
        <v>0</v>
      </c>
      <c r="D132" s="7">
        <f>$B132*C83</f>
        <v>0</v>
      </c>
      <c r="E132" s="7">
        <f>$B132*D83</f>
        <v>0</v>
      </c>
      <c r="F132" s="7">
        <f>$B132*E83</f>
        <v>0</v>
      </c>
      <c r="G132" s="7">
        <f>$B132*F83</f>
        <v>0</v>
      </c>
      <c r="H132" s="7">
        <f>$B132*G83</f>
        <v>0</v>
      </c>
      <c r="I132" s="7">
        <f>$B132*H83</f>
        <v>0</v>
      </c>
      <c r="J132" s="7">
        <f>$B132*I83</f>
        <v>3001.55</v>
      </c>
      <c r="K132" s="7">
        <f>$B132*J83</f>
        <v>0</v>
      </c>
      <c r="L132" s="7">
        <f>$B132*K83</f>
        <v>0</v>
      </c>
      <c r="M132" s="7">
        <f>$B132*L83</f>
        <v>0</v>
      </c>
      <c r="N132" s="7">
        <f>$B132*M83</f>
        <v>0</v>
      </c>
      <c r="O132" s="7">
        <f>$B132*N83</f>
        <v>0</v>
      </c>
      <c r="P132" s="7">
        <f>$B132*O83</f>
        <v>0</v>
      </c>
      <c r="Q132" s="7">
        <f>$B132*P83</f>
        <v>0</v>
      </c>
      <c r="R132" s="7">
        <f>$B132*Q83</f>
        <v>0</v>
      </c>
      <c r="S132" s="7">
        <f>$B132*R83</f>
        <v>0</v>
      </c>
      <c r="T132" s="7">
        <f>$B132*S83</f>
        <v>0</v>
      </c>
      <c r="U132" s="7">
        <f>$B132*T83</f>
        <v>0</v>
      </c>
      <c r="V132" s="7">
        <f>$B132*U83</f>
        <v>0</v>
      </c>
      <c r="W132" s="98">
        <f t="shared" si="49"/>
        <v>3001.55</v>
      </c>
    </row>
    <row r="133" spans="1:24" x14ac:dyDescent="0.25">
      <c r="A133" s="61" t="s">
        <v>179</v>
      </c>
      <c r="B133" s="7">
        <f>INDEX('Reference Sheet'!$G$9:$J$100,MATCH('Time Breakdown'!$A133,'Reference Sheet'!$F$9:$F$100),MATCH($A$97,'Reference Sheet'!$G$8:$J$8))</f>
        <v>8988.92</v>
      </c>
      <c r="C133" s="7">
        <f>$B133*B84</f>
        <v>0</v>
      </c>
      <c r="D133" s="7">
        <f>$B133*C84</f>
        <v>0</v>
      </c>
      <c r="E133" s="7">
        <f>$B133*D84</f>
        <v>0</v>
      </c>
      <c r="F133" s="7">
        <f>$B133*E84</f>
        <v>0</v>
      </c>
      <c r="G133" s="7">
        <f>$B133*F84</f>
        <v>0</v>
      </c>
      <c r="H133" s="7">
        <f>$B133*G84</f>
        <v>0</v>
      </c>
      <c r="I133" s="7">
        <f>$B133*H84</f>
        <v>0</v>
      </c>
      <c r="J133" s="7">
        <f>$B133*I84</f>
        <v>8988.92</v>
      </c>
      <c r="K133" s="7">
        <f>$B133*J84</f>
        <v>0</v>
      </c>
      <c r="L133" s="7">
        <f>$B133*K84</f>
        <v>0</v>
      </c>
      <c r="M133" s="7">
        <f>$B133*L84</f>
        <v>0</v>
      </c>
      <c r="N133" s="7">
        <f>$B133*M84</f>
        <v>0</v>
      </c>
      <c r="O133" s="7">
        <f>$B133*N84</f>
        <v>0</v>
      </c>
      <c r="P133" s="7">
        <f>$B133*O84</f>
        <v>0</v>
      </c>
      <c r="Q133" s="7">
        <f>$B133*P84</f>
        <v>0</v>
      </c>
      <c r="R133" s="7">
        <f>$B133*Q84</f>
        <v>0</v>
      </c>
      <c r="S133" s="7">
        <f>$B133*R84</f>
        <v>0</v>
      </c>
      <c r="T133" s="7">
        <f>$B133*S84</f>
        <v>0</v>
      </c>
      <c r="U133" s="7">
        <f>$B133*T84</f>
        <v>0</v>
      </c>
      <c r="V133" s="7">
        <f>$B133*U84</f>
        <v>0</v>
      </c>
      <c r="W133" s="98">
        <f t="shared" si="49"/>
        <v>8988.92</v>
      </c>
    </row>
    <row r="134" spans="1:24" x14ac:dyDescent="0.25">
      <c r="A134" s="61" t="s">
        <v>180</v>
      </c>
      <c r="B134" s="7">
        <f>INDEX('Reference Sheet'!$G$9:$J$100,MATCH('Time Breakdown'!$A134,'Reference Sheet'!$F$9:$F$100),MATCH($A$97,'Reference Sheet'!$G$8:$J$8))</f>
        <v>23538.44</v>
      </c>
      <c r="C134" s="7">
        <f>$B134*B85</f>
        <v>0</v>
      </c>
      <c r="D134" s="7">
        <f>$B134*C85</f>
        <v>0</v>
      </c>
      <c r="E134" s="7">
        <f>$B134*D85</f>
        <v>0</v>
      </c>
      <c r="F134" s="7">
        <f>$B134*E85</f>
        <v>0</v>
      </c>
      <c r="G134" s="7">
        <f>$B134*F85</f>
        <v>0</v>
      </c>
      <c r="H134" s="7">
        <f>$B134*G85</f>
        <v>0</v>
      </c>
      <c r="I134" s="7">
        <f>$B134*H85</f>
        <v>0</v>
      </c>
      <c r="J134" s="7">
        <f>$B134*I85</f>
        <v>21989.610647999998</v>
      </c>
      <c r="K134" s="7">
        <f>$B134*J85</f>
        <v>0</v>
      </c>
      <c r="L134" s="7">
        <f>$B134*K85</f>
        <v>0</v>
      </c>
      <c r="M134" s="7">
        <f>$B134*L85</f>
        <v>0</v>
      </c>
      <c r="N134" s="7">
        <f>$B134*M85</f>
        <v>0</v>
      </c>
      <c r="O134" s="7">
        <f>$B134*N85</f>
        <v>0</v>
      </c>
      <c r="P134" s="7">
        <f>$B134*O85</f>
        <v>200.07674</v>
      </c>
      <c r="Q134" s="7">
        <f>$B134*P85</f>
        <v>0</v>
      </c>
      <c r="R134" s="7">
        <f>$B134*Q85</f>
        <v>0</v>
      </c>
      <c r="S134" s="7">
        <f>$B134*R85</f>
        <v>0</v>
      </c>
      <c r="T134" s="7">
        <f>$B134*S85</f>
        <v>0</v>
      </c>
      <c r="U134" s="7">
        <f>$B134*T85</f>
        <v>0</v>
      </c>
      <c r="V134" s="7">
        <f>$B134*U85</f>
        <v>1348.752612</v>
      </c>
      <c r="W134" s="98">
        <f t="shared" si="49"/>
        <v>23538.44</v>
      </c>
    </row>
    <row r="135" spans="1:24" x14ac:dyDescent="0.25">
      <c r="A135" s="61" t="s">
        <v>181</v>
      </c>
      <c r="B135" s="7">
        <f>INDEX('Reference Sheet'!$G$9:$J$100,MATCH('Time Breakdown'!$A135,'Reference Sheet'!$F$9:$F$100),MATCH($A$97,'Reference Sheet'!$G$8:$J$8))</f>
        <v>18563.16</v>
      </c>
      <c r="C135" s="7">
        <f>$B135*B86</f>
        <v>0</v>
      </c>
      <c r="D135" s="7">
        <f>$B135*C86</f>
        <v>0</v>
      </c>
      <c r="E135" s="7">
        <f>$B135*D86</f>
        <v>0</v>
      </c>
      <c r="F135" s="7">
        <f>$B135*E86</f>
        <v>0</v>
      </c>
      <c r="G135" s="7">
        <f>$B135*F86</f>
        <v>0</v>
      </c>
      <c r="H135" s="7">
        <f>$B135*G86</f>
        <v>0</v>
      </c>
      <c r="I135" s="7">
        <f>$B135*H86</f>
        <v>0</v>
      </c>
      <c r="J135" s="7">
        <f>$B135*I86</f>
        <v>18563.16</v>
      </c>
      <c r="K135" s="7">
        <f>$B135*J86</f>
        <v>0</v>
      </c>
      <c r="L135" s="7">
        <f>$B135*K86</f>
        <v>0</v>
      </c>
      <c r="M135" s="7">
        <f>$B135*L86</f>
        <v>0</v>
      </c>
      <c r="N135" s="7">
        <f>$B135*M86</f>
        <v>0</v>
      </c>
      <c r="O135" s="7">
        <f>$B135*N86</f>
        <v>0</v>
      </c>
      <c r="P135" s="7">
        <f>$B135*O86</f>
        <v>0</v>
      </c>
      <c r="Q135" s="7">
        <f>$B135*P86</f>
        <v>0</v>
      </c>
      <c r="R135" s="7">
        <f>$B135*Q86</f>
        <v>0</v>
      </c>
      <c r="S135" s="7">
        <f>$B135*R86</f>
        <v>0</v>
      </c>
      <c r="T135" s="7">
        <f>$B135*S86</f>
        <v>0</v>
      </c>
      <c r="U135" s="7">
        <f>$B135*T86</f>
        <v>0</v>
      </c>
      <c r="V135" s="7">
        <f>$B135*U86</f>
        <v>0</v>
      </c>
      <c r="W135" s="98">
        <f t="shared" si="49"/>
        <v>18563.16</v>
      </c>
    </row>
    <row r="136" spans="1:24" x14ac:dyDescent="0.25">
      <c r="A136" s="61" t="s">
        <v>182</v>
      </c>
      <c r="B136" s="7">
        <f>INDEX('Reference Sheet'!$G$9:$J$100,MATCH('Time Breakdown'!$A136,'Reference Sheet'!$F$9:$F$100),MATCH($A$97,'Reference Sheet'!$G$8:$J$8))</f>
        <v>112467.42</v>
      </c>
      <c r="C136" s="7">
        <f>$B136*B87</f>
        <v>0</v>
      </c>
      <c r="D136" s="7">
        <f>$B136*C87</f>
        <v>315.77188582124472</v>
      </c>
      <c r="E136" s="7">
        <f>$B136*D87</f>
        <v>0</v>
      </c>
      <c r="F136" s="7">
        <f>$B136*E87</f>
        <v>0</v>
      </c>
      <c r="G136" s="7">
        <f>$B136*F87</f>
        <v>0</v>
      </c>
      <c r="H136" s="7">
        <f>$B136*G87</f>
        <v>0</v>
      </c>
      <c r="I136" s="7">
        <f>$B136*H87</f>
        <v>0</v>
      </c>
      <c r="J136" s="7">
        <f>$B136*I87</f>
        <v>26024.866256434252</v>
      </c>
      <c r="K136" s="7">
        <f>$B136*J87</f>
        <v>0</v>
      </c>
      <c r="L136" s="7">
        <f>$B136*K87</f>
        <v>31840.331820308846</v>
      </c>
      <c r="M136" s="7">
        <f>$B136*L87</f>
        <v>0</v>
      </c>
      <c r="N136" s="7">
        <f>$B136*M87</f>
        <v>0</v>
      </c>
      <c r="O136" s="7">
        <f>$B136*N87</f>
        <v>0</v>
      </c>
      <c r="P136" s="7">
        <f>$B136*O87</f>
        <v>1368.3448385587271</v>
      </c>
      <c r="Q136" s="7">
        <f>$B136*P87</f>
        <v>0</v>
      </c>
      <c r="R136" s="7">
        <f>$B136*Q87</f>
        <v>0</v>
      </c>
      <c r="S136" s="7">
        <f>$B136*R87</f>
        <v>0</v>
      </c>
      <c r="T136" s="7">
        <f>$B136*S87</f>
        <v>0</v>
      </c>
      <c r="U136" s="7">
        <f>$B136*T87</f>
        <v>0</v>
      </c>
      <c r="V136" s="7">
        <f>$B136*U87</f>
        <v>52918.105198876932</v>
      </c>
      <c r="W136" s="98">
        <f t="shared" si="49"/>
        <v>112467.42</v>
      </c>
    </row>
    <row r="137" spans="1:24" x14ac:dyDescent="0.25">
      <c r="A137" s="61" t="s">
        <v>183</v>
      </c>
      <c r="B137" s="7">
        <f>INDEX('Reference Sheet'!$G$9:$J$100,MATCH('Time Breakdown'!$A137,'Reference Sheet'!$F$9:$F$100),MATCH($A$97,'Reference Sheet'!$G$8:$J$8))</f>
        <v>41192.269999999997</v>
      </c>
      <c r="C137" s="7">
        <f>$B137*B88</f>
        <v>0</v>
      </c>
      <c r="D137" s="7">
        <f>$B137*C88</f>
        <v>0</v>
      </c>
      <c r="E137" s="7">
        <f>$B137*D88</f>
        <v>0</v>
      </c>
      <c r="F137" s="7">
        <f>$B137*E88</f>
        <v>0</v>
      </c>
      <c r="G137" s="7">
        <f>$B137*F88</f>
        <v>0</v>
      </c>
      <c r="H137" s="7">
        <f>$B137*G88</f>
        <v>0</v>
      </c>
      <c r="I137" s="7">
        <f>$B137*H88</f>
        <v>0</v>
      </c>
      <c r="J137" s="7">
        <f>$B137*I88</f>
        <v>519.02260200000001</v>
      </c>
      <c r="K137" s="7">
        <f>$B137*J88</f>
        <v>0</v>
      </c>
      <c r="L137" s="7">
        <f>$B137*K88</f>
        <v>0</v>
      </c>
      <c r="M137" s="7">
        <f>$B137*L88</f>
        <v>0</v>
      </c>
      <c r="N137" s="7">
        <f>$B137*M88</f>
        <v>0</v>
      </c>
      <c r="O137" s="7">
        <f>$B137*N88</f>
        <v>0</v>
      </c>
      <c r="P137" s="7">
        <f>$B137*O88</f>
        <v>0</v>
      </c>
      <c r="Q137" s="7">
        <f>$B137*P88</f>
        <v>0</v>
      </c>
      <c r="R137" s="7">
        <f>$B137*Q88</f>
        <v>0</v>
      </c>
      <c r="S137" s="7">
        <f>$B137*R88</f>
        <v>0</v>
      </c>
      <c r="T137" s="7">
        <f>$B137*S88</f>
        <v>0</v>
      </c>
      <c r="U137" s="7">
        <f>$B137*T88</f>
        <v>0</v>
      </c>
      <c r="V137" s="7">
        <f>$B137*U88</f>
        <v>40673.247397999992</v>
      </c>
      <c r="W137" s="98">
        <f t="shared" si="49"/>
        <v>41192.26999999999</v>
      </c>
    </row>
    <row r="138" spans="1:24" x14ac:dyDescent="0.25">
      <c r="A138" s="61" t="s">
        <v>58</v>
      </c>
      <c r="B138" s="7">
        <f>INDEX('Reference Sheet'!$G$9:$J$100,MATCH('Time Breakdown'!$A138,'Reference Sheet'!$F$9:$F$100),MATCH($A$97,'Reference Sheet'!$G$8:$J$8))</f>
        <v>71317.16</v>
      </c>
      <c r="C138" s="7">
        <f>$B138*B89</f>
        <v>0</v>
      </c>
      <c r="D138" s="7">
        <f>$B138*C89</f>
        <v>4918.5699213929347</v>
      </c>
      <c r="E138" s="7">
        <f>$B138*D89</f>
        <v>0</v>
      </c>
      <c r="F138" s="7">
        <f>$B138*E89</f>
        <v>0</v>
      </c>
      <c r="G138" s="7">
        <f>$B138*F89</f>
        <v>0</v>
      </c>
      <c r="H138" s="7">
        <f>$B138*G89</f>
        <v>0</v>
      </c>
      <c r="I138" s="7">
        <f>$B138*H89</f>
        <v>1125.258528168958</v>
      </c>
      <c r="J138" s="7">
        <f>$B138*I89</f>
        <v>31157.889968145922</v>
      </c>
      <c r="K138" s="7">
        <f>$B138*J89</f>
        <v>7260.8033490992893</v>
      </c>
      <c r="L138" s="7">
        <f>$B138*K89</f>
        <v>13252.356337409992</v>
      </c>
      <c r="M138" s="7">
        <f>$B138*L89</f>
        <v>0</v>
      </c>
      <c r="N138" s="7">
        <f>$B138*M89</f>
        <v>0</v>
      </c>
      <c r="O138" s="7">
        <f>$B138*N89</f>
        <v>1646.5484607802216</v>
      </c>
      <c r="P138" s="7">
        <f>$B138*O89</f>
        <v>1483.56783125979</v>
      </c>
      <c r="Q138" s="7">
        <f>$B138*P89</f>
        <v>0</v>
      </c>
      <c r="R138" s="7">
        <f>$B138*Q89</f>
        <v>5163.0438932862635</v>
      </c>
      <c r="S138" s="7">
        <f>$B138*R89</f>
        <v>0</v>
      </c>
      <c r="T138" s="7">
        <f>$B138*S89</f>
        <v>0</v>
      </c>
      <c r="U138" s="7">
        <f>$B138*T89</f>
        <v>0</v>
      </c>
      <c r="V138" s="7">
        <f>$B138*U89</f>
        <v>5309.121710456624</v>
      </c>
      <c r="W138" s="98">
        <f t="shared" si="49"/>
        <v>71317.16</v>
      </c>
    </row>
    <row r="139" spans="1:24" x14ac:dyDescent="0.25">
      <c r="A139" s="61" t="s">
        <v>184</v>
      </c>
      <c r="B139" s="7">
        <f>INDEX('Reference Sheet'!$G$9:$J$100,MATCH('Time Breakdown'!$A139,'Reference Sheet'!$F$9:$F$100),MATCH($A$97,'Reference Sheet'!$G$8:$J$8))</f>
        <v>13965.95</v>
      </c>
      <c r="C139" s="7">
        <f>$B139*B90</f>
        <v>0</v>
      </c>
      <c r="D139" s="7">
        <f>$B139*C90</f>
        <v>0</v>
      </c>
      <c r="E139" s="7">
        <f>$B139*D90</f>
        <v>0</v>
      </c>
      <c r="F139" s="7">
        <f>$B139*E90</f>
        <v>0</v>
      </c>
      <c r="G139" s="7">
        <f>$B139*F90</f>
        <v>0</v>
      </c>
      <c r="H139" s="7">
        <f>$B139*G90</f>
        <v>0</v>
      </c>
      <c r="I139" s="7">
        <f>$B139*H90</f>
        <v>0</v>
      </c>
      <c r="J139" s="7">
        <f>$B139*I90</f>
        <v>13965.95</v>
      </c>
      <c r="K139" s="7">
        <f>$B139*J90</f>
        <v>0</v>
      </c>
      <c r="L139" s="7">
        <f>$B139*K90</f>
        <v>0</v>
      </c>
      <c r="M139" s="7">
        <f>$B139*L90</f>
        <v>0</v>
      </c>
      <c r="N139" s="7">
        <f>$B139*M90</f>
        <v>0</v>
      </c>
      <c r="O139" s="7">
        <f>$B139*N90</f>
        <v>0</v>
      </c>
      <c r="P139" s="7">
        <f>$B139*O90</f>
        <v>0</v>
      </c>
      <c r="Q139" s="7">
        <f>$B139*P90</f>
        <v>0</v>
      </c>
      <c r="R139" s="7">
        <f>$B139*Q90</f>
        <v>0</v>
      </c>
      <c r="S139" s="7">
        <f>$B139*R90</f>
        <v>0</v>
      </c>
      <c r="T139" s="7">
        <f>$B139*S90</f>
        <v>0</v>
      </c>
      <c r="U139" s="7">
        <f>$B139*T90</f>
        <v>0</v>
      </c>
      <c r="V139" s="7">
        <f>$B139*U90</f>
        <v>0</v>
      </c>
      <c r="W139" s="98">
        <f t="shared" si="49"/>
        <v>13965.95</v>
      </c>
    </row>
    <row r="140" spans="1:24" x14ac:dyDescent="0.25">
      <c r="A140" s="61" t="s">
        <v>185</v>
      </c>
      <c r="B140" s="7">
        <f>INDEX('Reference Sheet'!$G$9:$J$100,MATCH('Time Breakdown'!$A140,'Reference Sheet'!$F$9:$F$100),MATCH($A$97,'Reference Sheet'!$G$8:$J$8))</f>
        <v>6085.9</v>
      </c>
      <c r="C140" s="7">
        <f>$B140*B91</f>
        <v>0</v>
      </c>
      <c r="D140" s="7">
        <f>$B140*C91</f>
        <v>0</v>
      </c>
      <c r="E140" s="7">
        <f>$B140*D91</f>
        <v>0</v>
      </c>
      <c r="F140" s="7">
        <f>$B140*E91</f>
        <v>0</v>
      </c>
      <c r="G140" s="7">
        <f>$B140*F91</f>
        <v>0</v>
      </c>
      <c r="H140" s="7">
        <f>$B140*G91</f>
        <v>0</v>
      </c>
      <c r="I140" s="7">
        <f>$B140*H91</f>
        <v>0</v>
      </c>
      <c r="J140" s="7">
        <f>$B140*I91</f>
        <v>6085.9</v>
      </c>
      <c r="K140" s="7">
        <f>$B140*J91</f>
        <v>0</v>
      </c>
      <c r="L140" s="7">
        <f>$B140*K91</f>
        <v>0</v>
      </c>
      <c r="M140" s="7">
        <f>$B140*L91</f>
        <v>0</v>
      </c>
      <c r="N140" s="7">
        <f>$B140*M91</f>
        <v>0</v>
      </c>
      <c r="O140" s="7">
        <f>$B140*N91</f>
        <v>0</v>
      </c>
      <c r="P140" s="7">
        <f>$B140*O91</f>
        <v>0</v>
      </c>
      <c r="Q140" s="7">
        <f>$B140*P91</f>
        <v>0</v>
      </c>
      <c r="R140" s="7">
        <f>$B140*Q91</f>
        <v>0</v>
      </c>
      <c r="S140" s="7">
        <f>$B140*R91</f>
        <v>0</v>
      </c>
      <c r="T140" s="7">
        <f>$B140*S91</f>
        <v>0</v>
      </c>
      <c r="U140" s="7">
        <f>$B140*T91</f>
        <v>0</v>
      </c>
      <c r="V140" s="7">
        <f>$B140*U91</f>
        <v>0</v>
      </c>
      <c r="W140" s="98">
        <f t="shared" si="49"/>
        <v>6085.9</v>
      </c>
    </row>
    <row r="141" spans="1:24" x14ac:dyDescent="0.25">
      <c r="A141" s="61" t="s">
        <v>186</v>
      </c>
      <c r="B141" s="7">
        <f>INDEX('Reference Sheet'!$G$9:$J$100,MATCH('Time Breakdown'!$A141,'Reference Sheet'!$F$9:$F$100),MATCH($A$97,'Reference Sheet'!$G$8:$J$8))</f>
        <v>0</v>
      </c>
      <c r="C141" s="7">
        <f>$B141*B92</f>
        <v>0</v>
      </c>
      <c r="D141" s="7">
        <f>$B141*C92</f>
        <v>0</v>
      </c>
      <c r="E141" s="7">
        <f>$B141*D92</f>
        <v>0</v>
      </c>
      <c r="F141" s="7">
        <f>$B141*E92</f>
        <v>0</v>
      </c>
      <c r="G141" s="7">
        <f>$B141*F92</f>
        <v>0</v>
      </c>
      <c r="H141" s="7">
        <f>$B141*G92</f>
        <v>0</v>
      </c>
      <c r="I141" s="7">
        <f>$B141*H92</f>
        <v>0</v>
      </c>
      <c r="J141" s="7">
        <f>$B141*I92</f>
        <v>0</v>
      </c>
      <c r="K141" s="7">
        <f>$B141*J92</f>
        <v>0</v>
      </c>
      <c r="L141" s="7">
        <f>$B141*K92</f>
        <v>0</v>
      </c>
      <c r="M141" s="7">
        <f>$B141*L92</f>
        <v>0</v>
      </c>
      <c r="N141" s="7">
        <f>$B141*M92</f>
        <v>0</v>
      </c>
      <c r="O141" s="7">
        <f>$B141*N92</f>
        <v>0</v>
      </c>
      <c r="P141" s="7">
        <f>$B141*O92</f>
        <v>0</v>
      </c>
      <c r="Q141" s="7">
        <f>$B141*P92</f>
        <v>0</v>
      </c>
      <c r="R141" s="7">
        <f>$B141*Q92</f>
        <v>0</v>
      </c>
      <c r="S141" s="7">
        <f>$B141*R92</f>
        <v>0</v>
      </c>
      <c r="T141" s="7">
        <f>$B141*S92</f>
        <v>0</v>
      </c>
      <c r="U141" s="7">
        <f>$B141*T92</f>
        <v>0</v>
      </c>
      <c r="V141" s="7">
        <f>$B141*U92</f>
        <v>0</v>
      </c>
      <c r="W141" s="98">
        <f t="shared" si="49"/>
        <v>0</v>
      </c>
    </row>
    <row r="142" spans="1:24" x14ac:dyDescent="0.25">
      <c r="A142" s="61" t="s">
        <v>187</v>
      </c>
      <c r="B142" s="7">
        <f>INDEX('Reference Sheet'!$G$9:$J$100,MATCH('Time Breakdown'!$A142,'Reference Sheet'!$F$9:$F$100),MATCH($A$97,'Reference Sheet'!$G$8:$J$8))</f>
        <v>83316.89</v>
      </c>
      <c r="C142" s="7">
        <f>$B142*B93</f>
        <v>0</v>
      </c>
      <c r="D142" s="7">
        <f>$B142*C93</f>
        <v>0</v>
      </c>
      <c r="E142" s="7">
        <f>$B142*D93</f>
        <v>0</v>
      </c>
      <c r="F142" s="7">
        <f>$B142*E93</f>
        <v>0</v>
      </c>
      <c r="G142" s="7">
        <f>$B142*F93</f>
        <v>0</v>
      </c>
      <c r="H142" s="7">
        <f>$B142*G93</f>
        <v>0</v>
      </c>
      <c r="I142" s="7">
        <f>$B142*H93</f>
        <v>0</v>
      </c>
      <c r="J142" s="7">
        <f>$B142*I93</f>
        <v>0</v>
      </c>
      <c r="K142" s="7">
        <f>$B142*J93</f>
        <v>0</v>
      </c>
      <c r="L142" s="7">
        <f>$B142*K93</f>
        <v>0</v>
      </c>
      <c r="M142" s="7">
        <f>$B142*L93</f>
        <v>0</v>
      </c>
      <c r="N142" s="7">
        <f>$B142*M93</f>
        <v>0</v>
      </c>
      <c r="O142" s="7">
        <f>$B142*N93</f>
        <v>0</v>
      </c>
      <c r="P142" s="7">
        <f>$B142*O93</f>
        <v>83316.89</v>
      </c>
      <c r="Q142" s="7">
        <f>$B142*P93</f>
        <v>0</v>
      </c>
      <c r="R142" s="7">
        <f>$B142*Q93</f>
        <v>0</v>
      </c>
      <c r="S142" s="7">
        <f>$B142*R93</f>
        <v>0</v>
      </c>
      <c r="T142" s="7">
        <f>$B142*S93</f>
        <v>0</v>
      </c>
      <c r="U142" s="7">
        <f>$B142*T93</f>
        <v>0</v>
      </c>
      <c r="V142" s="7">
        <f>$B142*U93</f>
        <v>0</v>
      </c>
      <c r="W142" s="98">
        <f t="shared" si="49"/>
        <v>83316.89</v>
      </c>
    </row>
    <row r="143" spans="1:24" x14ac:dyDescent="0.25">
      <c r="A143" s="128" t="s">
        <v>211</v>
      </c>
      <c r="B143" s="128"/>
      <c r="C143" s="98">
        <f t="shared" ref="C143:U143" si="75">SUM(C98:C142)</f>
        <v>0</v>
      </c>
      <c r="D143" s="98">
        <f t="shared" si="75"/>
        <v>7129.627774956115</v>
      </c>
      <c r="E143" s="98">
        <f t="shared" si="75"/>
        <v>0</v>
      </c>
      <c r="F143" s="98">
        <f t="shared" si="75"/>
        <v>0</v>
      </c>
      <c r="G143" s="98">
        <f t="shared" si="75"/>
        <v>30700.460891887815</v>
      </c>
      <c r="H143" s="98">
        <f t="shared" si="75"/>
        <v>400.98472541507016</v>
      </c>
      <c r="I143" s="98">
        <f t="shared" si="75"/>
        <v>147310.09226300826</v>
      </c>
      <c r="J143" s="98">
        <f t="shared" si="75"/>
        <v>561091.52501795569</v>
      </c>
      <c r="K143" s="98">
        <f t="shared" si="75"/>
        <v>40088.801413736597</v>
      </c>
      <c r="L143" s="98">
        <f t="shared" si="75"/>
        <v>172214.45341506082</v>
      </c>
      <c r="M143" s="98">
        <f t="shared" si="75"/>
        <v>62992.638923323146</v>
      </c>
      <c r="N143" s="98">
        <f t="shared" si="75"/>
        <v>2777.3924132637926</v>
      </c>
      <c r="O143" s="98">
        <f t="shared" si="75"/>
        <v>52607.86835310777</v>
      </c>
      <c r="P143" s="98">
        <f t="shared" si="75"/>
        <v>278465.52271417144</v>
      </c>
      <c r="Q143" s="98">
        <f t="shared" si="75"/>
        <v>0</v>
      </c>
      <c r="R143" s="98">
        <f t="shared" si="75"/>
        <v>106398.4155092318</v>
      </c>
      <c r="S143" s="98">
        <f t="shared" si="75"/>
        <v>842.68161016507349</v>
      </c>
      <c r="T143" s="98">
        <f t="shared" si="75"/>
        <v>16937.310392564945</v>
      </c>
      <c r="U143" s="98">
        <f t="shared" si="75"/>
        <v>90591.305470716485</v>
      </c>
      <c r="V143" s="98">
        <f>SUM(V98:V142)</f>
        <v>264444.8891114351</v>
      </c>
      <c r="W143" s="98">
        <f>SUM(W98:W142)</f>
        <v>1834993.9699999995</v>
      </c>
      <c r="X143" s="98"/>
    </row>
    <row r="144" spans="1:24" x14ac:dyDescent="0.25">
      <c r="C144" s="99">
        <f>C143/$W$143</f>
        <v>0</v>
      </c>
      <c r="D144" s="99">
        <f>D143/$W$143</f>
        <v>3.8853685033941104E-3</v>
      </c>
      <c r="E144" s="99">
        <f>E143/$W$143</f>
        <v>0</v>
      </c>
      <c r="F144" s="99">
        <f>F143/$W$143</f>
        <v>0</v>
      </c>
      <c r="G144" s="99">
        <f>G143/$W$143</f>
        <v>1.6730551377173095E-2</v>
      </c>
      <c r="H144" s="99">
        <f>H143/$W$143</f>
        <v>2.1852100441238523E-4</v>
      </c>
      <c r="I144" s="99">
        <f>I143/$W$143</f>
        <v>8.0278243237501379E-2</v>
      </c>
      <c r="J144" s="99">
        <f>J143/$W$143</f>
        <v>0.30577295304025215</v>
      </c>
      <c r="K144" s="99">
        <f>K143/$W$143</f>
        <v>2.1846830054562311E-2</v>
      </c>
      <c r="L144" s="99">
        <f>L143/$W$143</f>
        <v>9.3850146774629925E-2</v>
      </c>
      <c r="M144" s="99">
        <f>M143/$W$143</f>
        <v>3.4328526389284623E-2</v>
      </c>
      <c r="N144" s="99">
        <f>N143/$W$143</f>
        <v>1.5135703215764754E-3</v>
      </c>
      <c r="O144" s="99">
        <f>O143/$W$143</f>
        <v>2.8669232277154448E-2</v>
      </c>
      <c r="P144" s="99">
        <f>P143/$W$143</f>
        <v>0.15175282713009217</v>
      </c>
      <c r="Q144" s="99">
        <f>Q143/$W$143</f>
        <v>0</v>
      </c>
      <c r="R144" s="99">
        <f>R143/$W$143</f>
        <v>5.7982978281520908E-2</v>
      </c>
      <c r="S144" s="99">
        <f>S143/$W$143</f>
        <v>4.5922854458484879E-4</v>
      </c>
      <c r="T144" s="99">
        <f>T143/$W$143</f>
        <v>9.2301722346068253E-3</v>
      </c>
      <c r="U144" s="99">
        <f>U143/$W$143</f>
        <v>4.9368721070356711E-2</v>
      </c>
      <c r="V144" s="99">
        <f>V143/$W$143</f>
        <v>0.14411212975889789</v>
      </c>
      <c r="W144" s="99">
        <f>W143/$W$143</f>
        <v>1</v>
      </c>
    </row>
    <row r="145" spans="1:23" x14ac:dyDescent="0.25">
      <c r="C145" s="99"/>
      <c r="D145" s="99"/>
      <c r="E145" s="99"/>
      <c r="F145" s="99"/>
      <c r="G145" s="99"/>
      <c r="H145" s="99"/>
      <c r="I145" s="99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</row>
    <row r="146" spans="1:23" x14ac:dyDescent="0.25">
      <c r="A146" s="149" t="s">
        <v>219</v>
      </c>
      <c r="B146" s="149"/>
    </row>
    <row r="147" spans="1:23" x14ac:dyDescent="0.25">
      <c r="A147" s="61" t="s">
        <v>75</v>
      </c>
      <c r="B147" s="7">
        <f>INDEX('Reference Sheet'!$G$9:$J$100,MATCH('Time Breakdown'!$A147,'Reference Sheet'!$F$9:$F$100),MATCH($A$97,'Reference Sheet'!$G$8:$J$8))</f>
        <v>72375</v>
      </c>
      <c r="C147" s="7">
        <f>$B147*B76</f>
        <v>0</v>
      </c>
      <c r="D147" s="7">
        <f>$B147*C76</f>
        <v>0</v>
      </c>
      <c r="E147" s="7">
        <f>$B147*D76</f>
        <v>0</v>
      </c>
      <c r="F147" s="7">
        <f>$B147*E76</f>
        <v>0</v>
      </c>
      <c r="G147" s="7">
        <f>$B147*F76</f>
        <v>0</v>
      </c>
      <c r="H147" s="7">
        <f>$B147*G76</f>
        <v>0</v>
      </c>
      <c r="I147" s="7">
        <f>$B147*H76</f>
        <v>0</v>
      </c>
      <c r="J147" s="7">
        <f>$B147*I76</f>
        <v>3428.7772087067851</v>
      </c>
      <c r="K147" s="7">
        <f>$B147*J76</f>
        <v>0</v>
      </c>
      <c r="L147" s="7">
        <f>$B147*K76</f>
        <v>0</v>
      </c>
      <c r="M147" s="7">
        <f>$B147*L76</f>
        <v>11120.35851472471</v>
      </c>
      <c r="N147" s="7">
        <f>$B147*M76</f>
        <v>0</v>
      </c>
      <c r="O147" s="7">
        <f>$B147*N76</f>
        <v>0</v>
      </c>
      <c r="P147" s="7">
        <f>$B147*O76</f>
        <v>0</v>
      </c>
      <c r="Q147" s="7">
        <f>$B147*P76</f>
        <v>0</v>
      </c>
      <c r="R147" s="7">
        <f>$B147*Q76</f>
        <v>11120.35851472471</v>
      </c>
      <c r="S147" s="7">
        <f>$B147*R76</f>
        <v>0</v>
      </c>
      <c r="T147" s="7">
        <f>$B147*S76</f>
        <v>0</v>
      </c>
      <c r="U147" s="7">
        <f>$B147*T76</f>
        <v>0</v>
      </c>
      <c r="V147" s="7">
        <f>$B147*U76</f>
        <v>46705.505761843786</v>
      </c>
      <c r="W147" s="98">
        <f>SUM(C147:V147)</f>
        <v>72375</v>
      </c>
    </row>
    <row r="148" spans="1:23" x14ac:dyDescent="0.25">
      <c r="C148" s="99">
        <f>C147/$W$147</f>
        <v>0</v>
      </c>
      <c r="D148" s="99">
        <f t="shared" ref="D148:V148" si="76">D147/$W$147</f>
        <v>0</v>
      </c>
      <c r="E148" s="99">
        <f t="shared" si="76"/>
        <v>0</v>
      </c>
      <c r="F148" s="99">
        <f t="shared" si="76"/>
        <v>0</v>
      </c>
      <c r="G148" s="99">
        <f t="shared" si="76"/>
        <v>0</v>
      </c>
      <c r="H148" s="99">
        <f t="shared" si="76"/>
        <v>0</v>
      </c>
      <c r="I148" s="99">
        <f t="shared" si="76"/>
        <v>0</v>
      </c>
      <c r="J148" s="99">
        <f t="shared" si="76"/>
        <v>4.7375160051216378E-2</v>
      </c>
      <c r="K148" s="99">
        <f t="shared" si="76"/>
        <v>0</v>
      </c>
      <c r="L148" s="99">
        <f t="shared" si="76"/>
        <v>0</v>
      </c>
      <c r="M148" s="99">
        <f t="shared" si="76"/>
        <v>0.15364916773367476</v>
      </c>
      <c r="N148" s="99">
        <f t="shared" si="76"/>
        <v>0</v>
      </c>
      <c r="O148" s="99">
        <f t="shared" si="76"/>
        <v>0</v>
      </c>
      <c r="P148" s="99">
        <f t="shared" si="76"/>
        <v>0</v>
      </c>
      <c r="Q148" s="99">
        <f t="shared" si="76"/>
        <v>0</v>
      </c>
      <c r="R148" s="99">
        <f t="shared" si="76"/>
        <v>0.15364916773367476</v>
      </c>
      <c r="S148" s="99">
        <f t="shared" si="76"/>
        <v>0</v>
      </c>
      <c r="T148" s="99">
        <f t="shared" si="76"/>
        <v>0</v>
      </c>
      <c r="U148" s="99">
        <f t="shared" si="76"/>
        <v>0</v>
      </c>
      <c r="V148" s="99">
        <f t="shared" si="76"/>
        <v>0.64532650448143403</v>
      </c>
      <c r="W148" s="99">
        <f t="shared" ref="W148" si="77">W147/$B$147</f>
        <v>1</v>
      </c>
    </row>
  </sheetData>
  <mergeCells count="3">
    <mergeCell ref="A143:B143"/>
    <mergeCell ref="A146:B146"/>
    <mergeCell ref="A95:B9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CA1E1-5421-46D1-84CE-5E345C26ACFF}">
  <dimension ref="A1:T49"/>
  <sheetViews>
    <sheetView topLeftCell="A2" workbookViewId="0">
      <selection activeCell="G2" sqref="G1:G1048576"/>
    </sheetView>
  </sheetViews>
  <sheetFormatPr defaultRowHeight="15" x14ac:dyDescent="0.25"/>
  <cols>
    <col min="1" max="1" width="13.42578125" bestFit="1" customWidth="1"/>
    <col min="2" max="2" width="14.28515625" bestFit="1" customWidth="1"/>
    <col min="3" max="3" width="16.140625" bestFit="1" customWidth="1"/>
    <col min="4" max="4" width="12.140625" bestFit="1" customWidth="1"/>
    <col min="5" max="5" width="17.7109375" bestFit="1" customWidth="1"/>
    <col min="6" max="6" width="11.28515625" bestFit="1" customWidth="1"/>
    <col min="7" max="7" width="15.85546875" bestFit="1" customWidth="1"/>
    <col min="8" max="8" width="11.140625" bestFit="1" customWidth="1"/>
    <col min="9" max="9" width="18.42578125" bestFit="1" customWidth="1"/>
    <col min="10" max="10" width="11.42578125" bestFit="1" customWidth="1"/>
    <col min="11" max="11" width="13.85546875" bestFit="1" customWidth="1"/>
    <col min="12" max="13" width="11.28515625" bestFit="1" customWidth="1"/>
    <col min="14" max="14" width="13.140625" bestFit="1" customWidth="1"/>
    <col min="15" max="15" width="20.5703125" bestFit="1" customWidth="1"/>
    <col min="16" max="16" width="18.85546875" bestFit="1" customWidth="1"/>
    <col min="17" max="17" width="11.42578125" bestFit="1" customWidth="1"/>
    <col min="18" max="18" width="18.28515625" bestFit="1" customWidth="1"/>
    <col min="19" max="19" width="13.140625" bestFit="1" customWidth="1"/>
    <col min="20" max="20" width="10.5703125" bestFit="1" customWidth="1"/>
  </cols>
  <sheetData>
    <row r="1" spans="1:20" x14ac:dyDescent="0.25">
      <c r="A1" s="125" t="s">
        <v>67</v>
      </c>
      <c r="B1" s="126">
        <v>2025</v>
      </c>
    </row>
    <row r="3" spans="1:20" x14ac:dyDescent="0.25">
      <c r="A3" s="125" t="s">
        <v>188</v>
      </c>
      <c r="B3" t="s">
        <v>190</v>
      </c>
      <c r="C3" t="s">
        <v>191</v>
      </c>
      <c r="D3" t="s">
        <v>192</v>
      </c>
      <c r="E3" t="s">
        <v>193</v>
      </c>
      <c r="F3" t="s">
        <v>194</v>
      </c>
      <c r="G3" t="s">
        <v>195</v>
      </c>
      <c r="H3" t="s">
        <v>196</v>
      </c>
      <c r="I3" t="s">
        <v>197</v>
      </c>
      <c r="J3" t="s">
        <v>198</v>
      </c>
      <c r="K3" t="s">
        <v>199</v>
      </c>
      <c r="L3" t="s">
        <v>200</v>
      </c>
      <c r="M3" t="s">
        <v>201</v>
      </c>
      <c r="N3" t="s">
        <v>202</v>
      </c>
      <c r="O3" t="s">
        <v>203</v>
      </c>
      <c r="P3" t="s">
        <v>204</v>
      </c>
      <c r="Q3" t="s">
        <v>205</v>
      </c>
      <c r="R3" t="s">
        <v>206</v>
      </c>
      <c r="S3" t="s">
        <v>207</v>
      </c>
      <c r="T3" t="s">
        <v>208</v>
      </c>
    </row>
    <row r="4" spans="1:20" x14ac:dyDescent="0.25">
      <c r="A4" s="126" t="s">
        <v>152</v>
      </c>
      <c r="N4">
        <v>100</v>
      </c>
    </row>
    <row r="5" spans="1:20" x14ac:dyDescent="0.25">
      <c r="A5" s="126" t="s">
        <v>153</v>
      </c>
      <c r="H5">
        <v>100</v>
      </c>
    </row>
    <row r="6" spans="1:20" x14ac:dyDescent="0.25">
      <c r="A6" s="126" t="s">
        <v>154</v>
      </c>
      <c r="H6">
        <v>100</v>
      </c>
    </row>
    <row r="7" spans="1:20" x14ac:dyDescent="0.25">
      <c r="A7" s="126" t="s">
        <v>155</v>
      </c>
      <c r="S7">
        <v>100</v>
      </c>
    </row>
    <row r="8" spans="1:20" x14ac:dyDescent="0.25">
      <c r="A8" s="126" t="s">
        <v>156</v>
      </c>
      <c r="H8">
        <v>100</v>
      </c>
    </row>
    <row r="9" spans="1:20" x14ac:dyDescent="0.25">
      <c r="A9" s="126" t="s">
        <v>157</v>
      </c>
      <c r="H9">
        <v>100</v>
      </c>
    </row>
    <row r="10" spans="1:20" x14ac:dyDescent="0.25">
      <c r="A10" s="126" t="s">
        <v>158</v>
      </c>
      <c r="N10">
        <v>100</v>
      </c>
    </row>
    <row r="11" spans="1:20" x14ac:dyDescent="0.25">
      <c r="A11" s="126" t="s">
        <v>159</v>
      </c>
      <c r="H11">
        <v>100</v>
      </c>
    </row>
    <row r="12" spans="1:20" x14ac:dyDescent="0.25">
      <c r="A12" s="126" t="s">
        <v>160</v>
      </c>
      <c r="H12">
        <v>100</v>
      </c>
    </row>
    <row r="13" spans="1:20" x14ac:dyDescent="0.25">
      <c r="A13" s="126" t="s">
        <v>76</v>
      </c>
      <c r="G13">
        <v>1180</v>
      </c>
      <c r="M13">
        <v>948</v>
      </c>
    </row>
    <row r="14" spans="1:20" x14ac:dyDescent="0.25">
      <c r="A14" s="126" t="s">
        <v>57</v>
      </c>
      <c r="H14">
        <v>1189.4099999999999</v>
      </c>
      <c r="I14">
        <v>126.31999999999998</v>
      </c>
      <c r="J14">
        <v>815</v>
      </c>
      <c r="K14">
        <v>57.599999999999987</v>
      </c>
      <c r="N14">
        <v>52.5</v>
      </c>
      <c r="P14">
        <v>2</v>
      </c>
      <c r="Q14">
        <v>6</v>
      </c>
      <c r="S14">
        <v>19.5</v>
      </c>
      <c r="T14">
        <v>353.62000000000006</v>
      </c>
    </row>
    <row r="15" spans="1:20" x14ac:dyDescent="0.25">
      <c r="A15" s="126" t="s">
        <v>161</v>
      </c>
      <c r="H15">
        <v>1739.25</v>
      </c>
      <c r="T15">
        <v>340.75</v>
      </c>
    </row>
    <row r="16" spans="1:20" x14ac:dyDescent="0.25">
      <c r="A16" s="126" t="s">
        <v>162</v>
      </c>
      <c r="H16">
        <v>100</v>
      </c>
    </row>
    <row r="17" spans="1:20" x14ac:dyDescent="0.25">
      <c r="A17" s="126" t="s">
        <v>54</v>
      </c>
      <c r="E17">
        <v>259</v>
      </c>
      <c r="G17">
        <v>554.5</v>
      </c>
      <c r="H17">
        <v>285</v>
      </c>
      <c r="J17">
        <v>627</v>
      </c>
      <c r="K17">
        <v>434</v>
      </c>
      <c r="M17">
        <v>178</v>
      </c>
      <c r="P17">
        <v>345</v>
      </c>
    </row>
    <row r="18" spans="1:20" x14ac:dyDescent="0.25">
      <c r="A18" s="126" t="s">
        <v>163</v>
      </c>
      <c r="H18">
        <v>100</v>
      </c>
    </row>
    <row r="19" spans="1:20" x14ac:dyDescent="0.25">
      <c r="A19" s="126" t="s">
        <v>164</v>
      </c>
      <c r="N19">
        <v>100</v>
      </c>
    </row>
    <row r="20" spans="1:20" x14ac:dyDescent="0.25">
      <c r="A20" s="126" t="s">
        <v>165</v>
      </c>
      <c r="H20">
        <v>100</v>
      </c>
    </row>
    <row r="21" spans="1:20" x14ac:dyDescent="0.25">
      <c r="A21" s="126" t="s">
        <v>166</v>
      </c>
      <c r="H21">
        <v>100</v>
      </c>
    </row>
    <row r="22" spans="1:20" x14ac:dyDescent="0.25">
      <c r="A22" s="126" t="s">
        <v>167</v>
      </c>
      <c r="I22">
        <v>50</v>
      </c>
      <c r="T22">
        <v>50</v>
      </c>
    </row>
    <row r="23" spans="1:20" x14ac:dyDescent="0.25">
      <c r="A23" s="126" t="s">
        <v>168</v>
      </c>
      <c r="H23">
        <v>100</v>
      </c>
    </row>
    <row r="24" spans="1:20" x14ac:dyDescent="0.25">
      <c r="A24" s="126" t="s">
        <v>55</v>
      </c>
      <c r="F24">
        <v>11</v>
      </c>
      <c r="G24">
        <v>756</v>
      </c>
      <c r="K24">
        <v>56</v>
      </c>
      <c r="L24">
        <v>78</v>
      </c>
      <c r="M24">
        <v>131</v>
      </c>
      <c r="P24">
        <v>144</v>
      </c>
      <c r="T24">
        <v>953</v>
      </c>
    </row>
    <row r="25" spans="1:20" x14ac:dyDescent="0.25">
      <c r="A25" s="126" t="s">
        <v>74</v>
      </c>
      <c r="G25">
        <v>223</v>
      </c>
      <c r="H25">
        <v>1382.9999999999998</v>
      </c>
      <c r="J25">
        <v>1001</v>
      </c>
      <c r="P25">
        <v>40</v>
      </c>
    </row>
    <row r="26" spans="1:20" x14ac:dyDescent="0.25">
      <c r="A26" s="126" t="s">
        <v>169</v>
      </c>
      <c r="C26">
        <v>35</v>
      </c>
      <c r="H26">
        <v>925</v>
      </c>
      <c r="I26">
        <v>31</v>
      </c>
      <c r="N26">
        <v>84</v>
      </c>
      <c r="Q26">
        <v>7.5</v>
      </c>
      <c r="S26">
        <v>49</v>
      </c>
      <c r="T26">
        <v>1038.5</v>
      </c>
    </row>
    <row r="27" spans="1:20" x14ac:dyDescent="0.25">
      <c r="A27" s="126" t="s">
        <v>170</v>
      </c>
      <c r="H27">
        <v>100</v>
      </c>
    </row>
    <row r="28" spans="1:20" x14ac:dyDescent="0.25">
      <c r="A28" s="126" t="s">
        <v>171</v>
      </c>
      <c r="H28">
        <v>100</v>
      </c>
    </row>
    <row r="29" spans="1:20" x14ac:dyDescent="0.25">
      <c r="A29" s="126" t="s">
        <v>172</v>
      </c>
      <c r="H29">
        <v>100</v>
      </c>
    </row>
    <row r="30" spans="1:20" x14ac:dyDescent="0.25">
      <c r="A30" s="126" t="s">
        <v>56</v>
      </c>
      <c r="E30">
        <v>316</v>
      </c>
      <c r="K30">
        <v>654</v>
      </c>
      <c r="P30">
        <v>1115</v>
      </c>
    </row>
    <row r="31" spans="1:20" x14ac:dyDescent="0.25">
      <c r="A31" s="126" t="s">
        <v>75</v>
      </c>
      <c r="H31">
        <v>36.999999999999993</v>
      </c>
      <c r="K31">
        <v>120</v>
      </c>
      <c r="P31">
        <v>120</v>
      </c>
      <c r="T31">
        <v>504</v>
      </c>
    </row>
    <row r="32" spans="1:20" x14ac:dyDescent="0.25">
      <c r="A32" s="126" t="s">
        <v>173</v>
      </c>
      <c r="H32">
        <v>100</v>
      </c>
    </row>
    <row r="33" spans="1:20" x14ac:dyDescent="0.25">
      <c r="A33" s="126" t="s">
        <v>174</v>
      </c>
      <c r="H33">
        <v>100</v>
      </c>
    </row>
    <row r="34" spans="1:20" x14ac:dyDescent="0.25">
      <c r="A34" s="126" t="s">
        <v>61</v>
      </c>
      <c r="G34">
        <v>973</v>
      </c>
      <c r="P34">
        <v>664</v>
      </c>
      <c r="R34">
        <v>469</v>
      </c>
    </row>
    <row r="35" spans="1:20" x14ac:dyDescent="0.25">
      <c r="A35" s="126" t="s">
        <v>175</v>
      </c>
      <c r="H35">
        <v>480</v>
      </c>
      <c r="N35">
        <v>12</v>
      </c>
    </row>
    <row r="36" spans="1:20" x14ac:dyDescent="0.25">
      <c r="A36" s="126" t="s">
        <v>176</v>
      </c>
      <c r="S36">
        <v>100</v>
      </c>
    </row>
    <row r="37" spans="1:20" x14ac:dyDescent="0.25">
      <c r="A37" s="126" t="s">
        <v>177</v>
      </c>
      <c r="H37">
        <v>810</v>
      </c>
      <c r="I37">
        <v>526</v>
      </c>
      <c r="T37">
        <v>885</v>
      </c>
    </row>
    <row r="38" spans="1:20" x14ac:dyDescent="0.25">
      <c r="A38" s="126" t="s">
        <v>178</v>
      </c>
      <c r="H38">
        <v>100</v>
      </c>
    </row>
    <row r="39" spans="1:20" x14ac:dyDescent="0.25">
      <c r="A39" s="126" t="s">
        <v>179</v>
      </c>
      <c r="H39">
        <v>100</v>
      </c>
    </row>
    <row r="40" spans="1:20" x14ac:dyDescent="0.25">
      <c r="A40" s="126" t="s">
        <v>180</v>
      </c>
      <c r="H40">
        <v>93.42</v>
      </c>
      <c r="N40">
        <v>0.85</v>
      </c>
      <c r="T40">
        <v>5.73</v>
      </c>
    </row>
    <row r="41" spans="1:20" x14ac:dyDescent="0.25">
      <c r="A41" s="126" t="s">
        <v>181</v>
      </c>
      <c r="H41">
        <v>100</v>
      </c>
    </row>
    <row r="42" spans="1:20" x14ac:dyDescent="0.25">
      <c r="A42" s="126" t="s">
        <v>182</v>
      </c>
      <c r="C42">
        <v>6</v>
      </c>
      <c r="H42">
        <v>494.5</v>
      </c>
      <c r="J42">
        <v>605</v>
      </c>
      <c r="N42">
        <v>26</v>
      </c>
      <c r="T42">
        <v>1005.5</v>
      </c>
    </row>
    <row r="43" spans="1:20" x14ac:dyDescent="0.25">
      <c r="A43" s="126" t="s">
        <v>183</v>
      </c>
      <c r="H43">
        <v>1.26</v>
      </c>
      <c r="T43">
        <v>98.74</v>
      </c>
    </row>
    <row r="44" spans="1:20" x14ac:dyDescent="0.25">
      <c r="A44" s="126" t="s">
        <v>58</v>
      </c>
      <c r="C44">
        <v>141.6</v>
      </c>
      <c r="G44">
        <v>33.75</v>
      </c>
      <c r="H44">
        <v>897</v>
      </c>
      <c r="I44">
        <v>209.03000000000009</v>
      </c>
      <c r="J44">
        <v>400</v>
      </c>
      <c r="M44">
        <v>47.75</v>
      </c>
      <c r="N44">
        <v>42.71</v>
      </c>
      <c r="P44">
        <v>155.32</v>
      </c>
      <c r="T44">
        <v>152.83999999999997</v>
      </c>
    </row>
    <row r="45" spans="1:20" x14ac:dyDescent="0.25">
      <c r="A45" s="126" t="s">
        <v>184</v>
      </c>
      <c r="H45">
        <v>100</v>
      </c>
    </row>
    <row r="46" spans="1:20" x14ac:dyDescent="0.25">
      <c r="A46" s="126" t="s">
        <v>185</v>
      </c>
      <c r="H46">
        <v>100</v>
      </c>
    </row>
    <row r="47" spans="1:20" x14ac:dyDescent="0.25">
      <c r="A47" s="126" t="s">
        <v>186</v>
      </c>
      <c r="H47">
        <v>100</v>
      </c>
    </row>
    <row r="48" spans="1:20" x14ac:dyDescent="0.25">
      <c r="A48" s="126" t="s">
        <v>187</v>
      </c>
      <c r="N48">
        <v>100</v>
      </c>
    </row>
    <row r="49" spans="1:20" x14ac:dyDescent="0.25">
      <c r="A49" s="126" t="s">
        <v>189</v>
      </c>
      <c r="C49">
        <v>182.6</v>
      </c>
      <c r="E49">
        <v>575</v>
      </c>
      <c r="F49">
        <v>11</v>
      </c>
      <c r="G49">
        <v>3720.25</v>
      </c>
      <c r="H49">
        <v>10534.84</v>
      </c>
      <c r="I49">
        <v>942.35</v>
      </c>
      <c r="J49">
        <v>3448</v>
      </c>
      <c r="K49">
        <v>1321.6</v>
      </c>
      <c r="L49">
        <v>78</v>
      </c>
      <c r="M49">
        <v>1304.75</v>
      </c>
      <c r="N49">
        <v>618.06000000000006</v>
      </c>
      <c r="P49">
        <v>2585.3200000000002</v>
      </c>
      <c r="Q49">
        <v>13.5</v>
      </c>
      <c r="R49">
        <v>469</v>
      </c>
      <c r="S49">
        <v>268.5</v>
      </c>
      <c r="T49">
        <v>5387.6799999999994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D54ED-2933-4049-9431-ABA4281982DD}">
  <dimension ref="A1:EZ323"/>
  <sheetViews>
    <sheetView topLeftCell="AL1" workbookViewId="0">
      <pane ySplit="1" topLeftCell="A35" activePane="bottomLeft" state="frozen"/>
      <selection pane="bottomLeft" activeCell="AW1" sqref="AW1:AW1048576"/>
    </sheetView>
  </sheetViews>
  <sheetFormatPr defaultRowHeight="15" x14ac:dyDescent="0.25"/>
  <cols>
    <col min="1" max="1" width="10.5703125" bestFit="1" customWidth="1"/>
    <col min="2" max="2" width="10" bestFit="1" customWidth="1"/>
    <col min="4" max="4" width="11" bestFit="1" customWidth="1"/>
    <col min="5" max="5" width="10.7109375" customWidth="1"/>
    <col min="8" max="8" width="13.7109375" bestFit="1" customWidth="1"/>
    <col min="9" max="10" width="9.140625" style="9" customWidth="1"/>
    <col min="11" max="11" width="10.7109375" style="9" customWidth="1"/>
    <col min="12" max="12" width="9.140625" style="9" customWidth="1"/>
    <col min="13" max="15" width="13.5703125" style="9" customWidth="1"/>
    <col min="16" max="20" width="9.140625" style="9" customWidth="1"/>
    <col min="21" max="21" width="17.7109375" style="9" bestFit="1" customWidth="1"/>
    <col min="22" max="22" width="16" style="9" bestFit="1" customWidth="1"/>
    <col min="23" max="23" width="16" style="9" customWidth="1"/>
    <col min="24" max="24" width="15.42578125" style="9" bestFit="1" customWidth="1"/>
    <col min="25" max="25" width="9.140625" style="9" customWidth="1"/>
    <col min="26" max="26" width="9.5703125" style="9" bestFit="1" customWidth="1"/>
    <col min="27" max="27" width="13.5703125" bestFit="1" customWidth="1"/>
    <col min="28" max="28" width="11.7109375" customWidth="1"/>
    <col min="29" max="29" width="9.140625" customWidth="1"/>
    <col min="30" max="30" width="15.140625" bestFit="1" customWidth="1"/>
    <col min="31" max="31" width="15.140625" customWidth="1"/>
    <col min="32" max="32" width="9" customWidth="1"/>
    <col min="33" max="33" width="14.140625" bestFit="1" customWidth="1"/>
    <col min="34" max="34" width="14.42578125" customWidth="1"/>
    <col min="35" max="35" width="8.140625" customWidth="1"/>
    <col min="36" max="37" width="12.5703125" customWidth="1"/>
    <col min="38" max="38" width="19.140625" bestFit="1" customWidth="1"/>
    <col min="39" max="39" width="9.140625" customWidth="1"/>
    <col min="40" max="40" width="10.5703125" customWidth="1"/>
    <col min="41" max="43" width="9.140625" customWidth="1"/>
    <col min="44" max="44" width="10.42578125" customWidth="1"/>
    <col min="45" max="46" width="15.5703125" customWidth="1"/>
    <col min="47" max="49" width="9.140625" customWidth="1"/>
    <col min="50" max="52" width="12.7109375" customWidth="1"/>
    <col min="57" max="57" width="10.85546875" bestFit="1" customWidth="1"/>
    <col min="58" max="59" width="10.85546875" customWidth="1"/>
    <col min="60" max="60" width="10.7109375" bestFit="1" customWidth="1"/>
    <col min="61" max="61" width="13" bestFit="1" customWidth="1"/>
    <col min="63" max="63" width="9.5703125" bestFit="1" customWidth="1"/>
    <col min="64" max="64" width="9.5703125" customWidth="1"/>
    <col min="66" max="66" width="17.85546875" bestFit="1" customWidth="1"/>
    <col min="67" max="67" width="17.85546875" customWidth="1"/>
    <col min="68" max="68" width="11" bestFit="1" customWidth="1"/>
    <col min="69" max="69" width="11" customWidth="1"/>
    <col min="70" max="70" width="9.5703125" bestFit="1" customWidth="1"/>
  </cols>
  <sheetData>
    <row r="1" spans="1:70" x14ac:dyDescent="0.25">
      <c r="A1" s="10" t="s">
        <v>65</v>
      </c>
      <c r="B1" s="10" t="s">
        <v>66</v>
      </c>
      <c r="C1" s="10" t="s">
        <v>67</v>
      </c>
      <c r="D1" s="10" t="s">
        <v>68</v>
      </c>
      <c r="E1" s="10" t="s">
        <v>69</v>
      </c>
      <c r="F1" s="10" t="s">
        <v>70</v>
      </c>
      <c r="G1" s="10" t="s">
        <v>125</v>
      </c>
      <c r="H1" s="10" t="s">
        <v>140</v>
      </c>
      <c r="I1" s="10" t="s">
        <v>81</v>
      </c>
      <c r="J1" s="10" t="s">
        <v>127</v>
      </c>
      <c r="K1" s="10" t="s">
        <v>83</v>
      </c>
      <c r="L1" s="10" t="s">
        <v>82</v>
      </c>
      <c r="M1" s="10" t="s">
        <v>21</v>
      </c>
      <c r="N1" s="10" t="s">
        <v>136</v>
      </c>
      <c r="O1" s="10" t="s">
        <v>148</v>
      </c>
      <c r="P1" s="10" t="s">
        <v>77</v>
      </c>
      <c r="Q1" s="10" t="s">
        <v>18</v>
      </c>
      <c r="R1" s="10" t="s">
        <v>80</v>
      </c>
      <c r="S1" s="10" t="s">
        <v>22</v>
      </c>
      <c r="T1" s="10" t="s">
        <v>133</v>
      </c>
      <c r="U1" s="10" t="s">
        <v>131</v>
      </c>
      <c r="V1" s="10" t="s">
        <v>4</v>
      </c>
      <c r="W1" s="10" t="s">
        <v>145</v>
      </c>
      <c r="X1" s="10" t="s">
        <v>132</v>
      </c>
      <c r="Y1" s="10" t="s">
        <v>142</v>
      </c>
      <c r="Z1" s="10" t="s">
        <v>26</v>
      </c>
      <c r="AA1" s="10" t="s">
        <v>78</v>
      </c>
      <c r="AB1" s="10" t="s">
        <v>79</v>
      </c>
      <c r="AC1" s="1" t="s">
        <v>53</v>
      </c>
      <c r="AD1" s="1" t="s">
        <v>126</v>
      </c>
      <c r="AE1" s="1" t="s">
        <v>139</v>
      </c>
      <c r="AF1" s="10" t="s">
        <v>85</v>
      </c>
      <c r="AG1" s="10" t="s">
        <v>128</v>
      </c>
      <c r="AH1" s="10" t="s">
        <v>86</v>
      </c>
      <c r="AI1" s="10" t="s">
        <v>87</v>
      </c>
      <c r="AJ1" s="10" t="s">
        <v>88</v>
      </c>
      <c r="AK1" s="10" t="s">
        <v>137</v>
      </c>
      <c r="AL1" s="10" t="s">
        <v>149</v>
      </c>
      <c r="AM1" s="10" t="s">
        <v>89</v>
      </c>
      <c r="AN1" s="10" t="s">
        <v>90</v>
      </c>
      <c r="AO1" s="10" t="s">
        <v>91</v>
      </c>
      <c r="AP1" s="10" t="s">
        <v>92</v>
      </c>
      <c r="AQ1" s="10" t="s">
        <v>134</v>
      </c>
      <c r="AR1" s="10" t="s">
        <v>93</v>
      </c>
      <c r="AS1" s="10" t="s">
        <v>94</v>
      </c>
      <c r="AT1" s="10" t="s">
        <v>146</v>
      </c>
      <c r="AU1" s="10" t="s">
        <v>95</v>
      </c>
      <c r="AV1" s="10" t="s">
        <v>143</v>
      </c>
      <c r="AW1" s="10" t="s">
        <v>96</v>
      </c>
      <c r="AX1" s="10" t="s">
        <v>84</v>
      </c>
      <c r="AY1" s="10" t="s">
        <v>129</v>
      </c>
      <c r="AZ1" s="10" t="s">
        <v>141</v>
      </c>
      <c r="BA1" s="10" t="s">
        <v>107</v>
      </c>
      <c r="BB1" s="10" t="s">
        <v>130</v>
      </c>
      <c r="BC1" s="10" t="s">
        <v>108</v>
      </c>
      <c r="BD1" s="10" t="s">
        <v>109</v>
      </c>
      <c r="BE1" s="10" t="s">
        <v>110</v>
      </c>
      <c r="BF1" s="10" t="s">
        <v>138</v>
      </c>
      <c r="BG1" s="10" t="s">
        <v>150</v>
      </c>
      <c r="BH1" s="10" t="s">
        <v>111</v>
      </c>
      <c r="BI1" s="10" t="s">
        <v>112</v>
      </c>
      <c r="BJ1" s="10" t="s">
        <v>113</v>
      </c>
      <c r="BK1" s="10" t="s">
        <v>114</v>
      </c>
      <c r="BL1" s="10" t="s">
        <v>135</v>
      </c>
      <c r="BM1" s="10" t="s">
        <v>115</v>
      </c>
      <c r="BN1" s="10" t="s">
        <v>116</v>
      </c>
      <c r="BO1" s="10" t="s">
        <v>147</v>
      </c>
      <c r="BP1" s="10" t="s">
        <v>117</v>
      </c>
      <c r="BQ1" s="10" t="s">
        <v>144</v>
      </c>
      <c r="BR1" s="10" t="s">
        <v>118</v>
      </c>
    </row>
    <row r="2" spans="1:70" x14ac:dyDescent="0.25">
      <c r="A2" t="s">
        <v>76</v>
      </c>
      <c r="B2" t="s">
        <v>8</v>
      </c>
      <c r="C2">
        <v>2024</v>
      </c>
      <c r="D2" s="98">
        <f>INDEX('Reference Sheet'!$G$9:$J$100, MATCH(A2,'Reference Sheet'!$F$9:$F$100,0), MATCH(C2,'Reference Sheet'!$G$8:$J$8,0))/2080</f>
        <v>35.239991902834007</v>
      </c>
      <c r="E2" s="99">
        <f>VLOOKUP(C2,'Reference Sheet'!$A$2:$B$5,2)</f>
        <v>0.1913</v>
      </c>
      <c r="F2" s="98">
        <f t="shared" ref="F2:F66" si="0">D2*(1+E2)</f>
        <v>41.98140235384615</v>
      </c>
      <c r="G2" s="98"/>
      <c r="H2" s="98"/>
      <c r="I2" s="32"/>
      <c r="J2" s="32"/>
      <c r="K2" s="32"/>
      <c r="L2" s="32"/>
      <c r="M2" s="32">
        <v>80</v>
      </c>
      <c r="N2" s="32"/>
      <c r="O2" s="32"/>
      <c r="P2" s="32"/>
      <c r="Q2" s="32"/>
      <c r="R2" s="32"/>
      <c r="S2" s="32"/>
      <c r="T2" s="32"/>
      <c r="U2" s="32"/>
      <c r="V2" s="32"/>
      <c r="W2" s="32"/>
      <c r="X2" s="32"/>
      <c r="Y2" s="32"/>
      <c r="Z2" s="32"/>
      <c r="AA2" s="98">
        <f t="shared" ref="AA2:AA65" si="1">SUM(G2:Z2)</f>
        <v>80</v>
      </c>
      <c r="AB2" s="98">
        <v>80</v>
      </c>
      <c r="AC2" s="98">
        <f t="shared" ref="AC2:AC66" si="2">AB2-AA2</f>
        <v>0</v>
      </c>
      <c r="AD2" s="100">
        <f t="shared" ref="AD2:AW2" si="3">(G2/$AA2)*$AB2</f>
        <v>0</v>
      </c>
      <c r="AE2" s="100">
        <f t="shared" si="3"/>
        <v>0</v>
      </c>
      <c r="AF2" s="100">
        <f t="shared" si="3"/>
        <v>0</v>
      </c>
      <c r="AG2" s="100">
        <f t="shared" si="3"/>
        <v>0</v>
      </c>
      <c r="AH2" s="100">
        <f t="shared" si="3"/>
        <v>0</v>
      </c>
      <c r="AI2" s="100">
        <f t="shared" si="3"/>
        <v>0</v>
      </c>
      <c r="AJ2" s="100">
        <f t="shared" si="3"/>
        <v>80</v>
      </c>
      <c r="AK2" s="100">
        <f t="shared" si="3"/>
        <v>0</v>
      </c>
      <c r="AL2" s="100">
        <f t="shared" si="3"/>
        <v>0</v>
      </c>
      <c r="AM2" s="100">
        <f t="shared" si="3"/>
        <v>0</v>
      </c>
      <c r="AN2" s="100">
        <f t="shared" si="3"/>
        <v>0</v>
      </c>
      <c r="AO2" s="100">
        <f t="shared" si="3"/>
        <v>0</v>
      </c>
      <c r="AP2" s="100">
        <f t="shared" si="3"/>
        <v>0</v>
      </c>
      <c r="AQ2" s="100">
        <f t="shared" si="3"/>
        <v>0</v>
      </c>
      <c r="AR2" s="100">
        <f t="shared" si="3"/>
        <v>0</v>
      </c>
      <c r="AS2" s="100">
        <f t="shared" si="3"/>
        <v>0</v>
      </c>
      <c r="AT2" s="100">
        <f t="shared" si="3"/>
        <v>0</v>
      </c>
      <c r="AU2" s="100">
        <f t="shared" si="3"/>
        <v>0</v>
      </c>
      <c r="AV2" s="100">
        <f t="shared" si="3"/>
        <v>0</v>
      </c>
      <c r="AW2" s="100">
        <f t="shared" si="3"/>
        <v>0</v>
      </c>
      <c r="AX2">
        <f t="shared" ref="AX2:AX66" si="4">SUM(AF2:AW2)</f>
        <v>80</v>
      </c>
      <c r="AY2" s="98">
        <f>$F2*AD2</f>
        <v>0</v>
      </c>
      <c r="AZ2" s="98">
        <f>$F2*AE2</f>
        <v>0</v>
      </c>
      <c r="BA2" s="98">
        <f>$F2*AF2</f>
        <v>0</v>
      </c>
      <c r="BB2" s="98">
        <f>$F2*AG2</f>
        <v>0</v>
      </c>
      <c r="BC2" s="98">
        <f>$F2*AH2</f>
        <v>0</v>
      </c>
      <c r="BD2" s="98">
        <f t="shared" ref="BD2:BD66" si="5">$F2*AI2</f>
        <v>0</v>
      </c>
      <c r="BE2" s="98">
        <f t="shared" ref="BE2:BE66" si="6">$F2*AJ2</f>
        <v>3358.5121883076918</v>
      </c>
      <c r="BF2" s="98">
        <f>$F2*AK2</f>
        <v>0</v>
      </c>
      <c r="BG2" s="98">
        <f>$F2*AL2</f>
        <v>0</v>
      </c>
      <c r="BH2" s="98">
        <f>$F2*AM2</f>
        <v>0</v>
      </c>
      <c r="BI2" s="98">
        <f t="shared" ref="BI2:BI66" si="7">$F2*AN2</f>
        <v>0</v>
      </c>
      <c r="BJ2" s="98">
        <f t="shared" ref="BJ2:BJ66" si="8">$F2*AO2</f>
        <v>0</v>
      </c>
      <c r="BK2" s="98">
        <f t="shared" ref="BK2:BK66" si="9">$F2*AP2</f>
        <v>0</v>
      </c>
      <c r="BL2" s="98">
        <f>$F2*AQ2</f>
        <v>0</v>
      </c>
      <c r="BM2" s="98">
        <f>$F2*AR2</f>
        <v>0</v>
      </c>
      <c r="BN2" s="98">
        <f t="shared" ref="BN2:BN66" si="10">$F2*AS2</f>
        <v>0</v>
      </c>
      <c r="BO2" s="98">
        <f>$F2*AT2</f>
        <v>0</v>
      </c>
      <c r="BP2" s="98">
        <f>$F2*AU2</f>
        <v>0</v>
      </c>
      <c r="BQ2" s="98">
        <f>$F2*AV2</f>
        <v>0</v>
      </c>
      <c r="BR2" s="98">
        <f>$F2*AW2</f>
        <v>0</v>
      </c>
    </row>
    <row r="3" spans="1:70" x14ac:dyDescent="0.25">
      <c r="A3" t="s">
        <v>76</v>
      </c>
      <c r="B3" t="s">
        <v>11</v>
      </c>
      <c r="C3">
        <v>2024</v>
      </c>
      <c r="D3" s="98">
        <f>INDEX('Reference Sheet'!$G$9:$J$100, MATCH(A3,'Reference Sheet'!$F$9:$F$100,0), MATCH(C3,'Reference Sheet'!$G$8:$J$8,0))/2080</f>
        <v>35.239991902834007</v>
      </c>
      <c r="E3" s="99">
        <f>VLOOKUP(C3,'Reference Sheet'!$A$2:$B$5,2)</f>
        <v>0.1913</v>
      </c>
      <c r="F3" s="98">
        <f t="shared" si="0"/>
        <v>41.98140235384615</v>
      </c>
      <c r="G3" s="98"/>
      <c r="H3" s="98"/>
      <c r="I3" s="32"/>
      <c r="J3" s="32"/>
      <c r="K3" s="32"/>
      <c r="L3" s="32"/>
      <c r="M3" s="32">
        <v>168</v>
      </c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98">
        <f t="shared" si="1"/>
        <v>168</v>
      </c>
      <c r="AB3" s="98">
        <f>IF(OR(B3="",C3=""),"",SUMIFS('Reference Sheet'!$D$9:$D$42,'Reference Sheet'!$A$9:$A$42,C3,'Reference Sheet'!$B$9:$B$42,B3))</f>
        <v>160</v>
      </c>
      <c r="AC3" s="98">
        <f t="shared" si="2"/>
        <v>-8</v>
      </c>
      <c r="AD3" s="100">
        <f t="shared" ref="AD3:AD34" si="11">(G3/$AA3)*$AB3</f>
        <v>0</v>
      </c>
      <c r="AE3" s="100">
        <f t="shared" ref="AE3:AE34" si="12">(H3/$AA3)*$AB3</f>
        <v>0</v>
      </c>
      <c r="AF3" s="100">
        <f t="shared" ref="AF3:AF34" si="13">(I3/$AA3)*$AB3</f>
        <v>0</v>
      </c>
      <c r="AG3" s="100">
        <f t="shared" ref="AG3:AG34" si="14">(J3/$AA3)*$AB3</f>
        <v>0</v>
      </c>
      <c r="AH3" s="100">
        <f t="shared" ref="AH3:AH34" si="15">(K3/$AA3)*$AB3</f>
        <v>0</v>
      </c>
      <c r="AI3" s="100">
        <f t="shared" ref="AI3:AI34" si="16">(L3/$AA3)*$AB3</f>
        <v>0</v>
      </c>
      <c r="AJ3" s="100">
        <f t="shared" ref="AJ3:AJ34" si="17">(M3/$AA3)*$AB3</f>
        <v>160</v>
      </c>
      <c r="AK3" s="100">
        <f t="shared" ref="AK3:AK34" si="18">(N3/$AA3)*$AB3</f>
        <v>0</v>
      </c>
      <c r="AL3" s="100">
        <f t="shared" ref="AL3:AL66" si="19">(O3/$AA3)*$AB3</f>
        <v>0</v>
      </c>
      <c r="AM3" s="100">
        <f t="shared" ref="AM3:AM34" si="20">(P3/$AA3)*$AB3</f>
        <v>0</v>
      </c>
      <c r="AN3" s="100">
        <f t="shared" ref="AN3:AN34" si="21">(Q3/$AA3)*$AB3</f>
        <v>0</v>
      </c>
      <c r="AO3" s="100">
        <f t="shared" ref="AO3:AO34" si="22">(R3/$AA3)*$AB3</f>
        <v>0</v>
      </c>
      <c r="AP3" s="100">
        <f t="shared" ref="AP3:AP34" si="23">(S3/$AA3)*$AB3</f>
        <v>0</v>
      </c>
      <c r="AQ3" s="100">
        <f t="shared" ref="AQ3:AQ34" si="24">(T3/$AA3)*$AB3</f>
        <v>0</v>
      </c>
      <c r="AR3" s="100">
        <f t="shared" ref="AR3:AR34" si="25">(U3/$AA3)*$AB3</f>
        <v>0</v>
      </c>
      <c r="AS3" s="100">
        <f t="shared" ref="AS3:AS34" si="26">(V3/$AA3)*$AB3</f>
        <v>0</v>
      </c>
      <c r="AT3" s="100">
        <f t="shared" ref="AT3:AT66" si="27">(W3/$AA3)*$AB3</f>
        <v>0</v>
      </c>
      <c r="AU3" s="100">
        <f t="shared" ref="AU3:AU30" si="28">(X3/$AA3)*$AB3</f>
        <v>0</v>
      </c>
      <c r="AV3" s="100">
        <f t="shared" ref="AV3:AV66" si="29">(Y3/$AA3)*$AB3</f>
        <v>0</v>
      </c>
      <c r="AW3" s="100">
        <f t="shared" ref="AW3:AW30" si="30">(Z3/$AA3)*$AB3</f>
        <v>0</v>
      </c>
      <c r="AX3">
        <f t="shared" si="4"/>
        <v>160</v>
      </c>
      <c r="AY3" s="98">
        <f t="shared" ref="AY3:AY66" si="31">$F3*AD3</f>
        <v>0</v>
      </c>
      <c r="AZ3" s="98">
        <f t="shared" ref="AZ3:AZ66" si="32">$F3*AE3</f>
        <v>0</v>
      </c>
      <c r="BA3" s="98">
        <f t="shared" ref="BA3:BA30" si="33">$F3*AF3</f>
        <v>0</v>
      </c>
      <c r="BB3" s="98">
        <f t="shared" ref="BB3:BB66" si="34">$F3*AG3</f>
        <v>0</v>
      </c>
      <c r="BC3" s="98">
        <f t="shared" ref="BC3:BC30" si="35">$F3*AH3</f>
        <v>0</v>
      </c>
      <c r="BD3" s="98">
        <f t="shared" si="5"/>
        <v>0</v>
      </c>
      <c r="BE3" s="98">
        <f t="shared" si="6"/>
        <v>6717.0243766153835</v>
      </c>
      <c r="BF3" s="98">
        <f t="shared" ref="BF3:BF66" si="36">$F3*AK3</f>
        <v>0</v>
      </c>
      <c r="BG3" s="98">
        <f t="shared" ref="BG3:BG66" si="37">$F3*AL3</f>
        <v>0</v>
      </c>
      <c r="BH3" s="98">
        <f t="shared" ref="BH3:BH30" si="38">$F3*AM3</f>
        <v>0</v>
      </c>
      <c r="BI3" s="98">
        <f t="shared" si="7"/>
        <v>0</v>
      </c>
      <c r="BJ3" s="98">
        <f t="shared" si="8"/>
        <v>0</v>
      </c>
      <c r="BK3" s="98">
        <f t="shared" si="9"/>
        <v>0</v>
      </c>
      <c r="BL3" s="98">
        <f t="shared" ref="BL3:BL66" si="39">$F3*AQ3</f>
        <v>0</v>
      </c>
      <c r="BM3" s="98">
        <f t="shared" ref="BM3:BM30" si="40">$F3*AR3</f>
        <v>0</v>
      </c>
      <c r="BN3" s="98">
        <f t="shared" si="10"/>
        <v>0</v>
      </c>
      <c r="BO3" s="98">
        <f t="shared" ref="BO3:BO66" si="41">$F3*AT3</f>
        <v>0</v>
      </c>
      <c r="BP3" s="98">
        <f t="shared" ref="BP3:BP30" si="42">$F3*AU3</f>
        <v>0</v>
      </c>
      <c r="BQ3" s="98">
        <f t="shared" ref="BQ3:BQ66" si="43">$F3*AV3</f>
        <v>0</v>
      </c>
      <c r="BR3" s="98">
        <f t="shared" ref="BR3:BR30" si="44">$F3*AW3</f>
        <v>0</v>
      </c>
    </row>
    <row r="4" spans="1:70" x14ac:dyDescent="0.25">
      <c r="A4" t="s">
        <v>76</v>
      </c>
      <c r="B4" t="s">
        <v>14</v>
      </c>
      <c r="C4">
        <v>2024</v>
      </c>
      <c r="D4" s="98">
        <f>INDEX('Reference Sheet'!$G$9:$J$100, MATCH(A4,'Reference Sheet'!$F$9:$F$100,0), MATCH(C4,'Reference Sheet'!$G$8:$J$8,0))/2080</f>
        <v>35.239991902834007</v>
      </c>
      <c r="E4" s="99">
        <f>VLOOKUP(C4,'Reference Sheet'!$A$2:$B$5,2)</f>
        <v>0.1913</v>
      </c>
      <c r="F4" s="98">
        <f t="shared" si="0"/>
        <v>41.98140235384615</v>
      </c>
      <c r="G4" s="98"/>
      <c r="H4" s="98"/>
      <c r="I4" s="32"/>
      <c r="J4" s="32"/>
      <c r="K4" s="32"/>
      <c r="L4" s="32"/>
      <c r="M4" s="32">
        <v>168</v>
      </c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98">
        <f t="shared" si="1"/>
        <v>168</v>
      </c>
      <c r="AB4" s="98">
        <f>IF(OR(B4="",C4=""),"",SUMIFS('Reference Sheet'!$D$9:$D$42,'Reference Sheet'!$A$9:$A$42,C4,'Reference Sheet'!$B$9:$B$42,B4))</f>
        <v>168</v>
      </c>
      <c r="AC4" s="98">
        <f t="shared" si="2"/>
        <v>0</v>
      </c>
      <c r="AD4" s="100">
        <f t="shared" si="11"/>
        <v>0</v>
      </c>
      <c r="AE4" s="100">
        <f t="shared" si="12"/>
        <v>0</v>
      </c>
      <c r="AF4" s="100">
        <f t="shared" si="13"/>
        <v>0</v>
      </c>
      <c r="AG4" s="100">
        <f t="shared" si="14"/>
        <v>0</v>
      </c>
      <c r="AH4" s="100">
        <f t="shared" si="15"/>
        <v>0</v>
      </c>
      <c r="AI4" s="100">
        <f t="shared" si="16"/>
        <v>0</v>
      </c>
      <c r="AJ4" s="100">
        <f t="shared" si="17"/>
        <v>168</v>
      </c>
      <c r="AK4" s="100">
        <f t="shared" si="18"/>
        <v>0</v>
      </c>
      <c r="AL4" s="100">
        <f t="shared" si="19"/>
        <v>0</v>
      </c>
      <c r="AM4" s="100">
        <f t="shared" si="20"/>
        <v>0</v>
      </c>
      <c r="AN4" s="100">
        <f t="shared" si="21"/>
        <v>0</v>
      </c>
      <c r="AO4" s="100">
        <f t="shared" si="22"/>
        <v>0</v>
      </c>
      <c r="AP4" s="100">
        <f t="shared" si="23"/>
        <v>0</v>
      </c>
      <c r="AQ4" s="100">
        <f t="shared" si="24"/>
        <v>0</v>
      </c>
      <c r="AR4" s="100">
        <f t="shared" si="25"/>
        <v>0</v>
      </c>
      <c r="AS4" s="100">
        <f t="shared" si="26"/>
        <v>0</v>
      </c>
      <c r="AT4" s="100">
        <f t="shared" si="27"/>
        <v>0</v>
      </c>
      <c r="AU4" s="100">
        <f t="shared" si="28"/>
        <v>0</v>
      </c>
      <c r="AV4" s="100">
        <f t="shared" si="29"/>
        <v>0</v>
      </c>
      <c r="AW4" s="100">
        <f t="shared" si="30"/>
        <v>0</v>
      </c>
      <c r="AX4">
        <f t="shared" si="4"/>
        <v>168</v>
      </c>
      <c r="AY4" s="98">
        <f t="shared" si="31"/>
        <v>0</v>
      </c>
      <c r="AZ4" s="98">
        <f t="shared" si="32"/>
        <v>0</v>
      </c>
      <c r="BA4" s="98">
        <f t="shared" si="33"/>
        <v>0</v>
      </c>
      <c r="BB4" s="98">
        <f t="shared" si="34"/>
        <v>0</v>
      </c>
      <c r="BC4" s="98">
        <f t="shared" si="35"/>
        <v>0</v>
      </c>
      <c r="BD4" s="98">
        <f t="shared" si="5"/>
        <v>0</v>
      </c>
      <c r="BE4" s="98">
        <f t="shared" si="6"/>
        <v>7052.8755954461531</v>
      </c>
      <c r="BF4" s="98">
        <f t="shared" si="36"/>
        <v>0</v>
      </c>
      <c r="BG4" s="98">
        <f t="shared" si="37"/>
        <v>0</v>
      </c>
      <c r="BH4" s="98">
        <f t="shared" si="38"/>
        <v>0</v>
      </c>
      <c r="BI4" s="98">
        <f t="shared" si="7"/>
        <v>0</v>
      </c>
      <c r="BJ4" s="98">
        <f t="shared" si="8"/>
        <v>0</v>
      </c>
      <c r="BK4" s="98">
        <f t="shared" si="9"/>
        <v>0</v>
      </c>
      <c r="BL4" s="98">
        <f t="shared" si="39"/>
        <v>0</v>
      </c>
      <c r="BM4" s="98">
        <f t="shared" si="40"/>
        <v>0</v>
      </c>
      <c r="BN4" s="98">
        <f t="shared" si="10"/>
        <v>0</v>
      </c>
      <c r="BO4" s="98">
        <f t="shared" si="41"/>
        <v>0</v>
      </c>
      <c r="BP4" s="98">
        <f t="shared" si="42"/>
        <v>0</v>
      </c>
      <c r="BQ4" s="98">
        <f t="shared" si="43"/>
        <v>0</v>
      </c>
      <c r="BR4" s="98">
        <f t="shared" si="44"/>
        <v>0</v>
      </c>
    </row>
    <row r="5" spans="1:70" x14ac:dyDescent="0.25">
      <c r="A5" t="s">
        <v>76</v>
      </c>
      <c r="B5" t="s">
        <v>9</v>
      </c>
      <c r="C5">
        <v>2024</v>
      </c>
      <c r="D5" s="98">
        <f>INDEX('Reference Sheet'!$G$9:$J$100, MATCH(A5,'Reference Sheet'!$F$9:$F$100,0), MATCH(C5,'Reference Sheet'!$G$8:$J$8,0))/2080</f>
        <v>35.239991902834007</v>
      </c>
      <c r="E5" s="99">
        <f>VLOOKUP(C5,'Reference Sheet'!$A$2:$B$5,2)</f>
        <v>0.1913</v>
      </c>
      <c r="F5" s="98">
        <f t="shared" si="0"/>
        <v>41.98140235384615</v>
      </c>
      <c r="G5" s="98"/>
      <c r="H5" s="98"/>
      <c r="I5" s="32"/>
      <c r="J5" s="32"/>
      <c r="K5" s="32"/>
      <c r="L5" s="32"/>
      <c r="M5" s="32">
        <v>176</v>
      </c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98">
        <f t="shared" si="1"/>
        <v>176</v>
      </c>
      <c r="AB5" s="98">
        <f>IF(OR(B5="",C5=""),"",SUMIFS('Reference Sheet'!$D$9:$D$42,'Reference Sheet'!$A$9:$A$42,C5,'Reference Sheet'!$B$9:$B$42,B5))</f>
        <v>176</v>
      </c>
      <c r="AC5" s="98">
        <f t="shared" si="2"/>
        <v>0</v>
      </c>
      <c r="AD5" s="100">
        <f t="shared" si="11"/>
        <v>0</v>
      </c>
      <c r="AE5" s="100">
        <f t="shared" si="12"/>
        <v>0</v>
      </c>
      <c r="AF5" s="100">
        <f t="shared" si="13"/>
        <v>0</v>
      </c>
      <c r="AG5" s="100">
        <f t="shared" si="14"/>
        <v>0</v>
      </c>
      <c r="AH5" s="100">
        <f t="shared" si="15"/>
        <v>0</v>
      </c>
      <c r="AI5" s="100">
        <f t="shared" si="16"/>
        <v>0</v>
      </c>
      <c r="AJ5" s="100">
        <f t="shared" si="17"/>
        <v>176</v>
      </c>
      <c r="AK5" s="100">
        <f t="shared" si="18"/>
        <v>0</v>
      </c>
      <c r="AL5" s="100">
        <f t="shared" si="19"/>
        <v>0</v>
      </c>
      <c r="AM5" s="100">
        <f t="shared" si="20"/>
        <v>0</v>
      </c>
      <c r="AN5" s="100">
        <f t="shared" si="21"/>
        <v>0</v>
      </c>
      <c r="AO5" s="100">
        <f t="shared" si="22"/>
        <v>0</v>
      </c>
      <c r="AP5" s="100">
        <f t="shared" si="23"/>
        <v>0</v>
      </c>
      <c r="AQ5" s="100">
        <f t="shared" si="24"/>
        <v>0</v>
      </c>
      <c r="AR5" s="100">
        <f t="shared" si="25"/>
        <v>0</v>
      </c>
      <c r="AS5" s="100">
        <f t="shared" si="26"/>
        <v>0</v>
      </c>
      <c r="AT5" s="100">
        <f t="shared" si="27"/>
        <v>0</v>
      </c>
      <c r="AU5" s="100">
        <f t="shared" si="28"/>
        <v>0</v>
      </c>
      <c r="AV5" s="100">
        <f t="shared" si="29"/>
        <v>0</v>
      </c>
      <c r="AW5" s="100">
        <f t="shared" si="30"/>
        <v>0</v>
      </c>
      <c r="AX5">
        <f t="shared" si="4"/>
        <v>176</v>
      </c>
      <c r="AY5" s="98">
        <f t="shared" si="31"/>
        <v>0</v>
      </c>
      <c r="AZ5" s="98">
        <f t="shared" si="32"/>
        <v>0</v>
      </c>
      <c r="BA5" s="98">
        <f t="shared" si="33"/>
        <v>0</v>
      </c>
      <c r="BB5" s="98">
        <f t="shared" si="34"/>
        <v>0</v>
      </c>
      <c r="BC5" s="98">
        <f t="shared" si="35"/>
        <v>0</v>
      </c>
      <c r="BD5" s="98">
        <f t="shared" si="5"/>
        <v>0</v>
      </c>
      <c r="BE5" s="98">
        <f t="shared" si="6"/>
        <v>7388.7268142769226</v>
      </c>
      <c r="BF5" s="98">
        <f t="shared" si="36"/>
        <v>0</v>
      </c>
      <c r="BG5" s="98">
        <f t="shared" si="37"/>
        <v>0</v>
      </c>
      <c r="BH5" s="98">
        <f t="shared" si="38"/>
        <v>0</v>
      </c>
      <c r="BI5" s="98">
        <f t="shared" si="7"/>
        <v>0</v>
      </c>
      <c r="BJ5" s="98">
        <f t="shared" si="8"/>
        <v>0</v>
      </c>
      <c r="BK5" s="98">
        <f t="shared" si="9"/>
        <v>0</v>
      </c>
      <c r="BL5" s="98">
        <f t="shared" si="39"/>
        <v>0</v>
      </c>
      <c r="BM5" s="98">
        <f t="shared" si="40"/>
        <v>0</v>
      </c>
      <c r="BN5" s="98">
        <f t="shared" si="10"/>
        <v>0</v>
      </c>
      <c r="BO5" s="98">
        <f t="shared" si="41"/>
        <v>0</v>
      </c>
      <c r="BP5" s="98">
        <f t="shared" si="42"/>
        <v>0</v>
      </c>
      <c r="BQ5" s="98">
        <f t="shared" si="43"/>
        <v>0</v>
      </c>
      <c r="BR5" s="98">
        <f t="shared" si="44"/>
        <v>0</v>
      </c>
    </row>
    <row r="6" spans="1:70" x14ac:dyDescent="0.25">
      <c r="A6" t="s">
        <v>76</v>
      </c>
      <c r="B6" t="s">
        <v>13</v>
      </c>
      <c r="C6">
        <v>2024</v>
      </c>
      <c r="D6" s="98">
        <f>INDEX('Reference Sheet'!$G$9:$J$100, MATCH(A6,'Reference Sheet'!$F$9:$F$100,0), MATCH(C6,'Reference Sheet'!$G$8:$J$8,0))/2080</f>
        <v>35.239991902834007</v>
      </c>
      <c r="E6" s="99">
        <f>VLOOKUP(C6,'Reference Sheet'!$A$2:$B$5,2)</f>
        <v>0.1913</v>
      </c>
      <c r="F6" s="98">
        <f t="shared" si="0"/>
        <v>41.98140235384615</v>
      </c>
      <c r="G6" s="98"/>
      <c r="H6" s="98"/>
      <c r="I6" s="32"/>
      <c r="J6" s="32"/>
      <c r="K6" s="32"/>
      <c r="L6" s="32"/>
      <c r="M6" s="32">
        <v>176</v>
      </c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98">
        <f t="shared" si="1"/>
        <v>176</v>
      </c>
      <c r="AB6" s="98">
        <f>IF(OR(B6="",C6=""),"",SUMIFS('Reference Sheet'!$D$9:$D$42,'Reference Sheet'!$A$9:$A$42,C6,'Reference Sheet'!$B$9:$B$42,B6))</f>
        <v>176</v>
      </c>
      <c r="AC6" s="98">
        <f t="shared" si="2"/>
        <v>0</v>
      </c>
      <c r="AD6" s="100">
        <f t="shared" si="11"/>
        <v>0</v>
      </c>
      <c r="AE6" s="100">
        <f t="shared" si="12"/>
        <v>0</v>
      </c>
      <c r="AF6" s="100">
        <f t="shared" si="13"/>
        <v>0</v>
      </c>
      <c r="AG6" s="100">
        <f t="shared" si="14"/>
        <v>0</v>
      </c>
      <c r="AH6" s="100">
        <f t="shared" si="15"/>
        <v>0</v>
      </c>
      <c r="AI6" s="100">
        <f t="shared" si="16"/>
        <v>0</v>
      </c>
      <c r="AJ6" s="100">
        <f t="shared" si="17"/>
        <v>176</v>
      </c>
      <c r="AK6" s="100">
        <f t="shared" si="18"/>
        <v>0</v>
      </c>
      <c r="AL6" s="100">
        <f t="shared" si="19"/>
        <v>0</v>
      </c>
      <c r="AM6" s="100">
        <f t="shared" si="20"/>
        <v>0</v>
      </c>
      <c r="AN6" s="100">
        <f t="shared" si="21"/>
        <v>0</v>
      </c>
      <c r="AO6" s="100">
        <f t="shared" si="22"/>
        <v>0</v>
      </c>
      <c r="AP6" s="100">
        <f t="shared" si="23"/>
        <v>0</v>
      </c>
      <c r="AQ6" s="100">
        <f t="shared" si="24"/>
        <v>0</v>
      </c>
      <c r="AR6" s="100">
        <f t="shared" si="25"/>
        <v>0</v>
      </c>
      <c r="AS6" s="100">
        <f t="shared" si="26"/>
        <v>0</v>
      </c>
      <c r="AT6" s="100">
        <f t="shared" si="27"/>
        <v>0</v>
      </c>
      <c r="AU6" s="100">
        <f t="shared" si="28"/>
        <v>0</v>
      </c>
      <c r="AV6" s="100">
        <f t="shared" si="29"/>
        <v>0</v>
      </c>
      <c r="AW6" s="100">
        <f t="shared" si="30"/>
        <v>0</v>
      </c>
      <c r="AX6">
        <f t="shared" si="4"/>
        <v>176</v>
      </c>
      <c r="AY6" s="98">
        <f t="shared" si="31"/>
        <v>0</v>
      </c>
      <c r="AZ6" s="98">
        <f t="shared" si="32"/>
        <v>0</v>
      </c>
      <c r="BA6" s="98">
        <f t="shared" si="33"/>
        <v>0</v>
      </c>
      <c r="BB6" s="98">
        <f t="shared" si="34"/>
        <v>0</v>
      </c>
      <c r="BC6" s="98">
        <f t="shared" si="35"/>
        <v>0</v>
      </c>
      <c r="BD6" s="98">
        <f t="shared" si="5"/>
        <v>0</v>
      </c>
      <c r="BE6" s="98">
        <f t="shared" si="6"/>
        <v>7388.7268142769226</v>
      </c>
      <c r="BF6" s="98">
        <f t="shared" si="36"/>
        <v>0</v>
      </c>
      <c r="BG6" s="98">
        <f t="shared" si="37"/>
        <v>0</v>
      </c>
      <c r="BH6" s="98">
        <f t="shared" si="38"/>
        <v>0</v>
      </c>
      <c r="BI6" s="98">
        <f t="shared" si="7"/>
        <v>0</v>
      </c>
      <c r="BJ6" s="98">
        <f t="shared" si="8"/>
        <v>0</v>
      </c>
      <c r="BK6" s="98">
        <f t="shared" si="9"/>
        <v>0</v>
      </c>
      <c r="BL6" s="98">
        <f t="shared" si="39"/>
        <v>0</v>
      </c>
      <c r="BM6" s="98">
        <f t="shared" si="40"/>
        <v>0</v>
      </c>
      <c r="BN6" s="98">
        <f t="shared" si="10"/>
        <v>0</v>
      </c>
      <c r="BO6" s="98">
        <f t="shared" si="41"/>
        <v>0</v>
      </c>
      <c r="BP6" s="98">
        <f t="shared" si="42"/>
        <v>0</v>
      </c>
      <c r="BQ6" s="98">
        <f t="shared" si="43"/>
        <v>0</v>
      </c>
      <c r="BR6" s="98">
        <f t="shared" si="44"/>
        <v>0</v>
      </c>
    </row>
    <row r="7" spans="1:70" x14ac:dyDescent="0.25">
      <c r="A7" t="s">
        <v>76</v>
      </c>
      <c r="B7" t="s">
        <v>16</v>
      </c>
      <c r="C7">
        <v>2024</v>
      </c>
      <c r="D7" s="98">
        <f>INDEX('Reference Sheet'!$G$9:$J$100, MATCH(A7,'Reference Sheet'!$F$9:$F$100,0), MATCH(C7,'Reference Sheet'!$G$8:$J$8,0))/2080</f>
        <v>35.239991902834007</v>
      </c>
      <c r="E7" s="99">
        <f>VLOOKUP(C7,'Reference Sheet'!$A$2:$B$5,2)</f>
        <v>0.1913</v>
      </c>
      <c r="F7" s="98">
        <f t="shared" si="0"/>
        <v>41.98140235384615</v>
      </c>
      <c r="G7" s="98"/>
      <c r="H7" s="98"/>
      <c r="I7" s="32"/>
      <c r="J7" s="32"/>
      <c r="K7" s="32"/>
      <c r="L7" s="32"/>
      <c r="M7" s="32">
        <v>100</v>
      </c>
      <c r="N7" s="32"/>
      <c r="O7" s="32"/>
      <c r="P7" s="32"/>
      <c r="Q7" s="32"/>
      <c r="R7" s="32"/>
      <c r="S7" s="32">
        <v>80</v>
      </c>
      <c r="T7" s="32"/>
      <c r="U7" s="32"/>
      <c r="V7" s="32"/>
      <c r="W7" s="32"/>
      <c r="X7" s="32"/>
      <c r="Y7" s="32"/>
      <c r="Z7" s="32"/>
      <c r="AA7" s="98">
        <f t="shared" si="1"/>
        <v>180</v>
      </c>
      <c r="AB7" s="98">
        <f>IF(OR(B7="",C7=""),"",SUMIFS('Reference Sheet'!$D$9:$D$42,'Reference Sheet'!$A$9:$A$42,C7,'Reference Sheet'!$B$9:$B$42,B7))</f>
        <v>168</v>
      </c>
      <c r="AC7" s="98">
        <f t="shared" si="2"/>
        <v>-12</v>
      </c>
      <c r="AD7" s="100">
        <f t="shared" si="11"/>
        <v>0</v>
      </c>
      <c r="AE7" s="100">
        <f t="shared" si="12"/>
        <v>0</v>
      </c>
      <c r="AF7" s="100">
        <f t="shared" si="13"/>
        <v>0</v>
      </c>
      <c r="AG7" s="100">
        <f t="shared" si="14"/>
        <v>0</v>
      </c>
      <c r="AH7" s="100">
        <f t="shared" si="15"/>
        <v>0</v>
      </c>
      <c r="AI7" s="100">
        <f t="shared" si="16"/>
        <v>0</v>
      </c>
      <c r="AJ7" s="100">
        <f t="shared" si="17"/>
        <v>93.333333333333343</v>
      </c>
      <c r="AK7" s="100">
        <f t="shared" si="18"/>
        <v>0</v>
      </c>
      <c r="AL7" s="100">
        <f t="shared" si="19"/>
        <v>0</v>
      </c>
      <c r="AM7" s="100">
        <f t="shared" si="20"/>
        <v>0</v>
      </c>
      <c r="AN7" s="100">
        <f t="shared" si="21"/>
        <v>0</v>
      </c>
      <c r="AO7" s="100">
        <f t="shared" si="22"/>
        <v>0</v>
      </c>
      <c r="AP7" s="100">
        <f t="shared" si="23"/>
        <v>74.666666666666657</v>
      </c>
      <c r="AQ7" s="100">
        <f t="shared" si="24"/>
        <v>0</v>
      </c>
      <c r="AR7" s="100">
        <f t="shared" si="25"/>
        <v>0</v>
      </c>
      <c r="AS7" s="100">
        <f t="shared" si="26"/>
        <v>0</v>
      </c>
      <c r="AT7" s="100">
        <f t="shared" si="27"/>
        <v>0</v>
      </c>
      <c r="AU7" s="100">
        <f t="shared" si="28"/>
        <v>0</v>
      </c>
      <c r="AV7" s="100">
        <f t="shared" si="29"/>
        <v>0</v>
      </c>
      <c r="AW7" s="100">
        <f t="shared" si="30"/>
        <v>0</v>
      </c>
      <c r="AX7">
        <f t="shared" si="4"/>
        <v>168</v>
      </c>
      <c r="AY7" s="98">
        <f t="shared" si="31"/>
        <v>0</v>
      </c>
      <c r="AZ7" s="98">
        <f t="shared" si="32"/>
        <v>0</v>
      </c>
      <c r="BA7" s="98">
        <f t="shared" si="33"/>
        <v>0</v>
      </c>
      <c r="BB7" s="98">
        <f t="shared" si="34"/>
        <v>0</v>
      </c>
      <c r="BC7" s="98">
        <f t="shared" si="35"/>
        <v>0</v>
      </c>
      <c r="BD7" s="98">
        <f t="shared" si="5"/>
        <v>0</v>
      </c>
      <c r="BE7" s="98">
        <f t="shared" si="6"/>
        <v>3918.2642196923075</v>
      </c>
      <c r="BF7" s="98">
        <f t="shared" si="36"/>
        <v>0</v>
      </c>
      <c r="BG7" s="98">
        <f t="shared" si="37"/>
        <v>0</v>
      </c>
      <c r="BH7" s="98">
        <f t="shared" si="38"/>
        <v>0</v>
      </c>
      <c r="BI7" s="98">
        <f t="shared" si="7"/>
        <v>0</v>
      </c>
      <c r="BJ7" s="98">
        <f t="shared" si="8"/>
        <v>0</v>
      </c>
      <c r="BK7" s="98">
        <f t="shared" si="9"/>
        <v>3134.6113757538456</v>
      </c>
      <c r="BL7" s="98">
        <f t="shared" si="39"/>
        <v>0</v>
      </c>
      <c r="BM7" s="98">
        <f t="shared" si="40"/>
        <v>0</v>
      </c>
      <c r="BN7" s="98">
        <f t="shared" si="10"/>
        <v>0</v>
      </c>
      <c r="BO7" s="98">
        <f t="shared" si="41"/>
        <v>0</v>
      </c>
      <c r="BP7" s="98">
        <f t="shared" si="42"/>
        <v>0</v>
      </c>
      <c r="BQ7" s="98">
        <f t="shared" si="43"/>
        <v>0</v>
      </c>
      <c r="BR7" s="98">
        <f t="shared" si="44"/>
        <v>0</v>
      </c>
    </row>
    <row r="8" spans="1:70" x14ac:dyDescent="0.25">
      <c r="A8" t="s">
        <v>76</v>
      </c>
      <c r="B8" t="s">
        <v>17</v>
      </c>
      <c r="C8">
        <v>2024</v>
      </c>
      <c r="D8" s="98">
        <f>INDEX('Reference Sheet'!$G$9:$J$100, MATCH(A8,'Reference Sheet'!$F$9:$F$100,0), MATCH(C8,'Reference Sheet'!$G$8:$J$8,0))/2080</f>
        <v>35.239991902834007</v>
      </c>
      <c r="E8" s="99">
        <f>VLOOKUP(C8,'Reference Sheet'!$A$2:$B$5,2)</f>
        <v>0.1913</v>
      </c>
      <c r="F8" s="98">
        <f t="shared" si="0"/>
        <v>41.98140235384615</v>
      </c>
      <c r="G8" s="98"/>
      <c r="H8" s="98"/>
      <c r="I8" s="32"/>
      <c r="J8" s="32"/>
      <c r="K8" s="32"/>
      <c r="L8" s="32"/>
      <c r="M8" s="32">
        <v>100</v>
      </c>
      <c r="N8" s="32"/>
      <c r="O8" s="32"/>
      <c r="P8" s="32"/>
      <c r="Q8" s="32"/>
      <c r="R8" s="32"/>
      <c r="S8" s="32">
        <v>80</v>
      </c>
      <c r="T8" s="32"/>
      <c r="U8" s="32"/>
      <c r="V8" s="32"/>
      <c r="W8" s="32"/>
      <c r="X8" s="32"/>
      <c r="Y8" s="32"/>
      <c r="Z8" s="32"/>
      <c r="AA8" s="98">
        <f t="shared" si="1"/>
        <v>180</v>
      </c>
      <c r="AB8" s="98">
        <f>IF(OR(B8="",C8=""),"",SUMIFS('Reference Sheet'!$D$9:$D$42,'Reference Sheet'!$A$9:$A$42,C8,'Reference Sheet'!$B$9:$B$42,B8))</f>
        <v>176</v>
      </c>
      <c r="AC8" s="98">
        <f t="shared" si="2"/>
        <v>-4</v>
      </c>
      <c r="AD8" s="100">
        <f t="shared" si="11"/>
        <v>0</v>
      </c>
      <c r="AE8" s="100">
        <f t="shared" si="12"/>
        <v>0</v>
      </c>
      <c r="AF8" s="100">
        <f t="shared" si="13"/>
        <v>0</v>
      </c>
      <c r="AG8" s="100">
        <f t="shared" si="14"/>
        <v>0</v>
      </c>
      <c r="AH8" s="100">
        <f t="shared" si="15"/>
        <v>0</v>
      </c>
      <c r="AI8" s="100">
        <f t="shared" si="16"/>
        <v>0</v>
      </c>
      <c r="AJ8" s="100">
        <f t="shared" si="17"/>
        <v>97.777777777777786</v>
      </c>
      <c r="AK8" s="100">
        <f t="shared" si="18"/>
        <v>0</v>
      </c>
      <c r="AL8" s="100">
        <f t="shared" si="19"/>
        <v>0</v>
      </c>
      <c r="AM8" s="100">
        <f t="shared" si="20"/>
        <v>0</v>
      </c>
      <c r="AN8" s="100">
        <f t="shared" si="21"/>
        <v>0</v>
      </c>
      <c r="AO8" s="100">
        <f t="shared" si="22"/>
        <v>0</v>
      </c>
      <c r="AP8" s="100">
        <f t="shared" si="23"/>
        <v>78.222222222222214</v>
      </c>
      <c r="AQ8" s="100">
        <f t="shared" si="24"/>
        <v>0</v>
      </c>
      <c r="AR8" s="100">
        <f t="shared" si="25"/>
        <v>0</v>
      </c>
      <c r="AS8" s="100">
        <f t="shared" si="26"/>
        <v>0</v>
      </c>
      <c r="AT8" s="100">
        <f t="shared" si="27"/>
        <v>0</v>
      </c>
      <c r="AU8" s="100">
        <f t="shared" si="28"/>
        <v>0</v>
      </c>
      <c r="AV8" s="100">
        <f t="shared" si="29"/>
        <v>0</v>
      </c>
      <c r="AW8" s="100">
        <f t="shared" si="30"/>
        <v>0</v>
      </c>
      <c r="AX8">
        <f t="shared" si="4"/>
        <v>176</v>
      </c>
      <c r="AY8" s="98">
        <f t="shared" si="31"/>
        <v>0</v>
      </c>
      <c r="AZ8" s="98">
        <f t="shared" si="32"/>
        <v>0</v>
      </c>
      <c r="BA8" s="98">
        <f t="shared" si="33"/>
        <v>0</v>
      </c>
      <c r="BB8" s="98">
        <f t="shared" si="34"/>
        <v>0</v>
      </c>
      <c r="BC8" s="98">
        <f t="shared" si="35"/>
        <v>0</v>
      </c>
      <c r="BD8" s="98">
        <f t="shared" si="5"/>
        <v>0</v>
      </c>
      <c r="BE8" s="98">
        <f t="shared" si="6"/>
        <v>4104.8482301538461</v>
      </c>
      <c r="BF8" s="98">
        <f t="shared" si="36"/>
        <v>0</v>
      </c>
      <c r="BG8" s="98">
        <f t="shared" si="37"/>
        <v>0</v>
      </c>
      <c r="BH8" s="98">
        <f t="shared" si="38"/>
        <v>0</v>
      </c>
      <c r="BI8" s="98">
        <f t="shared" si="7"/>
        <v>0</v>
      </c>
      <c r="BJ8" s="98">
        <f t="shared" si="8"/>
        <v>0</v>
      </c>
      <c r="BK8" s="98">
        <f t="shared" si="9"/>
        <v>3283.8785841230761</v>
      </c>
      <c r="BL8" s="98">
        <f t="shared" si="39"/>
        <v>0</v>
      </c>
      <c r="BM8" s="98">
        <f t="shared" si="40"/>
        <v>0</v>
      </c>
      <c r="BN8" s="98">
        <f t="shared" si="10"/>
        <v>0</v>
      </c>
      <c r="BO8" s="98">
        <f t="shared" si="41"/>
        <v>0</v>
      </c>
      <c r="BP8" s="98">
        <f t="shared" si="42"/>
        <v>0</v>
      </c>
      <c r="BQ8" s="98">
        <f t="shared" si="43"/>
        <v>0</v>
      </c>
      <c r="BR8" s="98">
        <f t="shared" si="44"/>
        <v>0</v>
      </c>
    </row>
    <row r="9" spans="1:70" x14ac:dyDescent="0.25">
      <c r="A9" t="s">
        <v>76</v>
      </c>
      <c r="B9" t="s">
        <v>15</v>
      </c>
      <c r="C9">
        <v>2024</v>
      </c>
      <c r="D9" s="98">
        <f>INDEX('Reference Sheet'!$G$9:$J$100, MATCH(A9,'Reference Sheet'!$F$9:$F$100,0), MATCH(C9,'Reference Sheet'!$G$8:$J$8,0))/2080</f>
        <v>35.239991902834007</v>
      </c>
      <c r="E9" s="99">
        <f>VLOOKUP(C9,'Reference Sheet'!$A$2:$B$5,2)</f>
        <v>0.1913</v>
      </c>
      <c r="F9" s="98">
        <f t="shared" si="0"/>
        <v>41.98140235384615</v>
      </c>
      <c r="G9" s="98"/>
      <c r="H9" s="98"/>
      <c r="I9" s="32"/>
      <c r="J9" s="32"/>
      <c r="K9" s="32"/>
      <c r="L9" s="32"/>
      <c r="M9" s="32">
        <v>100</v>
      </c>
      <c r="N9" s="32"/>
      <c r="O9" s="32"/>
      <c r="P9" s="32"/>
      <c r="Q9" s="32"/>
      <c r="R9" s="32"/>
      <c r="S9" s="32">
        <v>83</v>
      </c>
      <c r="T9" s="32"/>
      <c r="U9" s="32"/>
      <c r="V9" s="32"/>
      <c r="W9" s="32"/>
      <c r="X9" s="32"/>
      <c r="Y9" s="32"/>
      <c r="Z9" s="32"/>
      <c r="AA9" s="98">
        <f t="shared" si="1"/>
        <v>183</v>
      </c>
      <c r="AB9" s="98">
        <f>IF(OR(B9="",C9=""),"",SUMIFS('Reference Sheet'!$D$9:$D$42,'Reference Sheet'!$A$9:$A$42,C9,'Reference Sheet'!$B$9:$B$42,B9))</f>
        <v>184</v>
      </c>
      <c r="AC9" s="98">
        <f t="shared" si="2"/>
        <v>1</v>
      </c>
      <c r="AD9" s="100">
        <f t="shared" si="11"/>
        <v>0</v>
      </c>
      <c r="AE9" s="100">
        <f t="shared" si="12"/>
        <v>0</v>
      </c>
      <c r="AF9" s="100">
        <f t="shared" si="13"/>
        <v>0</v>
      </c>
      <c r="AG9" s="100">
        <f t="shared" si="14"/>
        <v>0</v>
      </c>
      <c r="AH9" s="100">
        <f t="shared" si="15"/>
        <v>0</v>
      </c>
      <c r="AI9" s="100">
        <f t="shared" si="16"/>
        <v>0</v>
      </c>
      <c r="AJ9" s="100">
        <f t="shared" si="17"/>
        <v>100.5464480874317</v>
      </c>
      <c r="AK9" s="100">
        <f t="shared" si="18"/>
        <v>0</v>
      </c>
      <c r="AL9" s="100">
        <f t="shared" si="19"/>
        <v>0</v>
      </c>
      <c r="AM9" s="100">
        <f t="shared" si="20"/>
        <v>0</v>
      </c>
      <c r="AN9" s="100">
        <f t="shared" si="21"/>
        <v>0</v>
      </c>
      <c r="AO9" s="100">
        <f t="shared" si="22"/>
        <v>0</v>
      </c>
      <c r="AP9" s="100">
        <f t="shared" si="23"/>
        <v>83.453551912568301</v>
      </c>
      <c r="AQ9" s="100">
        <f t="shared" si="24"/>
        <v>0</v>
      </c>
      <c r="AR9" s="100">
        <f t="shared" si="25"/>
        <v>0</v>
      </c>
      <c r="AS9" s="100">
        <f t="shared" si="26"/>
        <v>0</v>
      </c>
      <c r="AT9" s="100">
        <f t="shared" si="27"/>
        <v>0</v>
      </c>
      <c r="AU9" s="100">
        <f t="shared" si="28"/>
        <v>0</v>
      </c>
      <c r="AV9" s="100">
        <f t="shared" si="29"/>
        <v>0</v>
      </c>
      <c r="AW9" s="100">
        <f t="shared" si="30"/>
        <v>0</v>
      </c>
      <c r="AX9">
        <f t="shared" si="4"/>
        <v>184</v>
      </c>
      <c r="AY9" s="98">
        <f t="shared" si="31"/>
        <v>0</v>
      </c>
      <c r="AZ9" s="98">
        <f t="shared" si="32"/>
        <v>0</v>
      </c>
      <c r="BA9" s="98">
        <f t="shared" si="33"/>
        <v>0</v>
      </c>
      <c r="BB9" s="98">
        <f t="shared" si="34"/>
        <v>0</v>
      </c>
      <c r="BC9" s="98">
        <f t="shared" si="35"/>
        <v>0</v>
      </c>
      <c r="BD9" s="98">
        <f t="shared" si="5"/>
        <v>0</v>
      </c>
      <c r="BE9" s="98">
        <f t="shared" si="6"/>
        <v>4221.080892408575</v>
      </c>
      <c r="BF9" s="98">
        <f t="shared" si="36"/>
        <v>0</v>
      </c>
      <c r="BG9" s="98">
        <f t="shared" si="37"/>
        <v>0</v>
      </c>
      <c r="BH9" s="98">
        <f t="shared" si="38"/>
        <v>0</v>
      </c>
      <c r="BI9" s="98">
        <f t="shared" si="7"/>
        <v>0</v>
      </c>
      <c r="BJ9" s="98">
        <f t="shared" si="8"/>
        <v>0</v>
      </c>
      <c r="BK9" s="98">
        <f t="shared" si="9"/>
        <v>3503.4971406991167</v>
      </c>
      <c r="BL9" s="98">
        <f t="shared" si="39"/>
        <v>0</v>
      </c>
      <c r="BM9" s="98">
        <f t="shared" si="40"/>
        <v>0</v>
      </c>
      <c r="BN9" s="98">
        <f t="shared" si="10"/>
        <v>0</v>
      </c>
      <c r="BO9" s="98">
        <f t="shared" si="41"/>
        <v>0</v>
      </c>
      <c r="BP9" s="98">
        <f t="shared" si="42"/>
        <v>0</v>
      </c>
      <c r="BQ9" s="98">
        <f t="shared" si="43"/>
        <v>0</v>
      </c>
      <c r="BR9" s="98">
        <f t="shared" si="44"/>
        <v>0</v>
      </c>
    </row>
    <row r="10" spans="1:70" x14ac:dyDescent="0.25">
      <c r="A10" t="s">
        <v>76</v>
      </c>
      <c r="B10" t="s">
        <v>10</v>
      </c>
      <c r="C10">
        <v>2024</v>
      </c>
      <c r="D10" s="98">
        <f>INDEX('Reference Sheet'!$G$9:$J$100, MATCH(A10,'Reference Sheet'!$F$9:$F$100,0), MATCH(C10,'Reference Sheet'!$G$8:$J$8,0))/2080</f>
        <v>35.239991902834007</v>
      </c>
      <c r="E10" s="99">
        <f>VLOOKUP(C10,'Reference Sheet'!$A$2:$B$5,2)</f>
        <v>0.1913</v>
      </c>
      <c r="F10" s="98">
        <f t="shared" si="0"/>
        <v>41.98140235384615</v>
      </c>
      <c r="G10" s="98"/>
      <c r="H10" s="98"/>
      <c r="I10" s="32"/>
      <c r="J10" s="32"/>
      <c r="K10" s="32"/>
      <c r="L10" s="32"/>
      <c r="M10" s="32">
        <v>184</v>
      </c>
      <c r="N10" s="32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98">
        <f t="shared" si="1"/>
        <v>184</v>
      </c>
      <c r="AB10" s="98">
        <f>IF(OR(B10="",C10=""),"",SUMIFS('Reference Sheet'!$D$9:$D$42,'Reference Sheet'!$A$9:$A$42,C10,'Reference Sheet'!$B$9:$B$42,B10))</f>
        <v>184</v>
      </c>
      <c r="AC10" s="98">
        <f t="shared" si="2"/>
        <v>0</v>
      </c>
      <c r="AD10" s="100">
        <f t="shared" si="11"/>
        <v>0</v>
      </c>
      <c r="AE10" s="100">
        <f t="shared" si="12"/>
        <v>0</v>
      </c>
      <c r="AF10" s="100">
        <f t="shared" si="13"/>
        <v>0</v>
      </c>
      <c r="AG10" s="100">
        <f t="shared" si="14"/>
        <v>0</v>
      </c>
      <c r="AH10" s="100">
        <f t="shared" si="15"/>
        <v>0</v>
      </c>
      <c r="AI10" s="100">
        <f t="shared" si="16"/>
        <v>0</v>
      </c>
      <c r="AJ10" s="100">
        <f t="shared" si="17"/>
        <v>184</v>
      </c>
      <c r="AK10" s="100">
        <f t="shared" si="18"/>
        <v>0</v>
      </c>
      <c r="AL10" s="100">
        <f t="shared" si="19"/>
        <v>0</v>
      </c>
      <c r="AM10" s="100">
        <f t="shared" si="20"/>
        <v>0</v>
      </c>
      <c r="AN10" s="100">
        <f t="shared" si="21"/>
        <v>0</v>
      </c>
      <c r="AO10" s="100">
        <f t="shared" si="22"/>
        <v>0</v>
      </c>
      <c r="AP10" s="100">
        <f t="shared" si="23"/>
        <v>0</v>
      </c>
      <c r="AQ10" s="100">
        <f t="shared" si="24"/>
        <v>0</v>
      </c>
      <c r="AR10" s="100">
        <f t="shared" si="25"/>
        <v>0</v>
      </c>
      <c r="AS10" s="100">
        <f t="shared" si="26"/>
        <v>0</v>
      </c>
      <c r="AT10" s="100">
        <f t="shared" si="27"/>
        <v>0</v>
      </c>
      <c r="AU10" s="100">
        <f t="shared" si="28"/>
        <v>0</v>
      </c>
      <c r="AV10" s="100">
        <f t="shared" si="29"/>
        <v>0</v>
      </c>
      <c r="AW10" s="100">
        <f t="shared" si="30"/>
        <v>0</v>
      </c>
      <c r="AX10">
        <f t="shared" si="4"/>
        <v>184</v>
      </c>
      <c r="AY10" s="98">
        <f t="shared" si="31"/>
        <v>0</v>
      </c>
      <c r="AZ10" s="98">
        <f t="shared" si="32"/>
        <v>0</v>
      </c>
      <c r="BA10" s="98">
        <f t="shared" si="33"/>
        <v>0</v>
      </c>
      <c r="BB10" s="98">
        <f t="shared" si="34"/>
        <v>0</v>
      </c>
      <c r="BC10" s="98">
        <f t="shared" si="35"/>
        <v>0</v>
      </c>
      <c r="BD10" s="98">
        <f t="shared" si="5"/>
        <v>0</v>
      </c>
      <c r="BE10" s="98">
        <f t="shared" si="6"/>
        <v>7724.5780331076912</v>
      </c>
      <c r="BF10" s="98">
        <f t="shared" si="36"/>
        <v>0</v>
      </c>
      <c r="BG10" s="98">
        <f t="shared" si="37"/>
        <v>0</v>
      </c>
      <c r="BH10" s="98">
        <f t="shared" si="38"/>
        <v>0</v>
      </c>
      <c r="BI10" s="98">
        <f t="shared" si="7"/>
        <v>0</v>
      </c>
      <c r="BJ10" s="98">
        <f t="shared" si="8"/>
        <v>0</v>
      </c>
      <c r="BK10" s="98">
        <f t="shared" si="9"/>
        <v>0</v>
      </c>
      <c r="BL10" s="98">
        <f t="shared" si="39"/>
        <v>0</v>
      </c>
      <c r="BM10" s="98">
        <f t="shared" si="40"/>
        <v>0</v>
      </c>
      <c r="BN10" s="98">
        <f t="shared" si="10"/>
        <v>0</v>
      </c>
      <c r="BO10" s="98">
        <f t="shared" si="41"/>
        <v>0</v>
      </c>
      <c r="BP10" s="98">
        <f t="shared" si="42"/>
        <v>0</v>
      </c>
      <c r="BQ10" s="98">
        <f t="shared" si="43"/>
        <v>0</v>
      </c>
      <c r="BR10" s="98">
        <f t="shared" si="44"/>
        <v>0</v>
      </c>
    </row>
    <row r="11" spans="1:70" x14ac:dyDescent="0.25">
      <c r="A11" t="s">
        <v>76</v>
      </c>
      <c r="B11" t="s">
        <v>12</v>
      </c>
      <c r="C11">
        <v>2024</v>
      </c>
      <c r="D11" s="98">
        <f>INDEX('Reference Sheet'!$G$9:$J$100, MATCH(A11,'Reference Sheet'!$F$9:$F$100,0), MATCH(C11,'Reference Sheet'!$G$8:$J$8,0))/2080</f>
        <v>35.239991902834007</v>
      </c>
      <c r="E11" s="99">
        <f>VLOOKUP(C11,'Reference Sheet'!$A$2:$B$5,2)</f>
        <v>0.1913</v>
      </c>
      <c r="F11" s="98">
        <f t="shared" si="0"/>
        <v>41.98140235384615</v>
      </c>
      <c r="G11" s="98"/>
      <c r="H11" s="98"/>
      <c r="I11" s="32"/>
      <c r="J11" s="32"/>
      <c r="K11" s="32"/>
      <c r="L11" s="32"/>
      <c r="M11" s="32">
        <v>184</v>
      </c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98">
        <f t="shared" si="1"/>
        <v>184</v>
      </c>
      <c r="AB11" s="98">
        <f>IF(OR(B11="",C11=""),"",SUMIFS('Reference Sheet'!$D$9:$D$42,'Reference Sheet'!$A$9:$A$42,C11,'Reference Sheet'!$B$9:$B$42,B11))</f>
        <v>184</v>
      </c>
      <c r="AC11" s="98">
        <f t="shared" si="2"/>
        <v>0</v>
      </c>
      <c r="AD11" s="100">
        <f t="shared" si="11"/>
        <v>0</v>
      </c>
      <c r="AE11" s="100">
        <f t="shared" si="12"/>
        <v>0</v>
      </c>
      <c r="AF11" s="100">
        <f t="shared" si="13"/>
        <v>0</v>
      </c>
      <c r="AG11" s="100">
        <f t="shared" si="14"/>
        <v>0</v>
      </c>
      <c r="AH11" s="100">
        <f t="shared" si="15"/>
        <v>0</v>
      </c>
      <c r="AI11" s="100">
        <f t="shared" si="16"/>
        <v>0</v>
      </c>
      <c r="AJ11" s="100">
        <f t="shared" si="17"/>
        <v>184</v>
      </c>
      <c r="AK11" s="100">
        <f t="shared" si="18"/>
        <v>0</v>
      </c>
      <c r="AL11" s="100">
        <f t="shared" si="19"/>
        <v>0</v>
      </c>
      <c r="AM11" s="100">
        <f t="shared" si="20"/>
        <v>0</v>
      </c>
      <c r="AN11" s="100">
        <f t="shared" si="21"/>
        <v>0</v>
      </c>
      <c r="AO11" s="100">
        <f t="shared" si="22"/>
        <v>0</v>
      </c>
      <c r="AP11" s="100">
        <f t="shared" si="23"/>
        <v>0</v>
      </c>
      <c r="AQ11" s="100">
        <f t="shared" si="24"/>
        <v>0</v>
      </c>
      <c r="AR11" s="100">
        <f t="shared" si="25"/>
        <v>0</v>
      </c>
      <c r="AS11" s="100">
        <f t="shared" si="26"/>
        <v>0</v>
      </c>
      <c r="AT11" s="100">
        <f t="shared" si="27"/>
        <v>0</v>
      </c>
      <c r="AU11" s="100">
        <f t="shared" si="28"/>
        <v>0</v>
      </c>
      <c r="AV11" s="100">
        <f t="shared" si="29"/>
        <v>0</v>
      </c>
      <c r="AW11" s="100">
        <f t="shared" si="30"/>
        <v>0</v>
      </c>
      <c r="AX11">
        <f t="shared" si="4"/>
        <v>184</v>
      </c>
      <c r="AY11" s="98">
        <f t="shared" si="31"/>
        <v>0</v>
      </c>
      <c r="AZ11" s="98">
        <f t="shared" si="32"/>
        <v>0</v>
      </c>
      <c r="BA11" s="98">
        <f t="shared" si="33"/>
        <v>0</v>
      </c>
      <c r="BB11" s="98">
        <f t="shared" si="34"/>
        <v>0</v>
      </c>
      <c r="BC11" s="98">
        <f t="shared" si="35"/>
        <v>0</v>
      </c>
      <c r="BD11" s="98">
        <f t="shared" si="5"/>
        <v>0</v>
      </c>
      <c r="BE11" s="98">
        <f t="shared" si="6"/>
        <v>7724.5780331076912</v>
      </c>
      <c r="BF11" s="98">
        <f t="shared" si="36"/>
        <v>0</v>
      </c>
      <c r="BG11" s="98">
        <f t="shared" si="37"/>
        <v>0</v>
      </c>
      <c r="BH11" s="98">
        <f t="shared" si="38"/>
        <v>0</v>
      </c>
      <c r="BI11" s="98">
        <f t="shared" si="7"/>
        <v>0</v>
      </c>
      <c r="BJ11" s="98">
        <f t="shared" si="8"/>
        <v>0</v>
      </c>
      <c r="BK11" s="98">
        <f t="shared" si="9"/>
        <v>0</v>
      </c>
      <c r="BL11" s="98">
        <f t="shared" si="39"/>
        <v>0</v>
      </c>
      <c r="BM11" s="98">
        <f t="shared" si="40"/>
        <v>0</v>
      </c>
      <c r="BN11" s="98">
        <f t="shared" si="10"/>
        <v>0</v>
      </c>
      <c r="BO11" s="98">
        <f t="shared" si="41"/>
        <v>0</v>
      </c>
      <c r="BP11" s="98">
        <f t="shared" si="42"/>
        <v>0</v>
      </c>
      <c r="BQ11" s="98">
        <f t="shared" si="43"/>
        <v>0</v>
      </c>
      <c r="BR11" s="98">
        <f t="shared" si="44"/>
        <v>0</v>
      </c>
    </row>
    <row r="12" spans="1:70" x14ac:dyDescent="0.25">
      <c r="A12" t="s">
        <v>76</v>
      </c>
      <c r="B12" t="s">
        <v>10</v>
      </c>
      <c r="C12">
        <v>2025</v>
      </c>
      <c r="D12" s="98">
        <f>INDEX('Reference Sheet'!$G$9:$J$100, MATCH(A12,'Reference Sheet'!$F$9:$F$100,0), MATCH(C12,'Reference Sheet'!$G$8:$J$8,0))/2080</f>
        <v>37.647947115384611</v>
      </c>
      <c r="E12" s="99">
        <f>VLOOKUP(C12,'Reference Sheet'!$A$2:$B$5,2)</f>
        <v>0.22450000000000001</v>
      </c>
      <c r="F12" s="98">
        <f t="shared" si="0"/>
        <v>46.099911242788451</v>
      </c>
      <c r="G12" s="98"/>
      <c r="H12" s="98"/>
      <c r="I12" s="32"/>
      <c r="J12" s="32"/>
      <c r="K12" s="32"/>
      <c r="L12" s="32"/>
      <c r="M12" s="32">
        <v>100</v>
      </c>
      <c r="N12" s="32"/>
      <c r="O12" s="32"/>
      <c r="P12" s="32"/>
      <c r="Q12" s="32"/>
      <c r="R12" s="32"/>
      <c r="S12" s="32">
        <v>56</v>
      </c>
      <c r="T12" s="32"/>
      <c r="U12" s="32"/>
      <c r="V12" s="32"/>
      <c r="W12" s="32"/>
      <c r="X12" s="32"/>
      <c r="Y12" s="32"/>
      <c r="Z12" s="32"/>
      <c r="AA12" s="98">
        <f t="shared" si="1"/>
        <v>156</v>
      </c>
      <c r="AB12" s="98">
        <f>IF(OR(B12="",C12=""),"",SUMIFS('Reference Sheet'!$D$9:$D$42,'Reference Sheet'!$A$9:$A$42,C12,'Reference Sheet'!$B$9:$B$42,B12))</f>
        <v>176</v>
      </c>
      <c r="AC12" s="98">
        <f t="shared" si="2"/>
        <v>20</v>
      </c>
      <c r="AD12" s="100">
        <f t="shared" si="11"/>
        <v>0</v>
      </c>
      <c r="AE12" s="100">
        <f t="shared" si="12"/>
        <v>0</v>
      </c>
      <c r="AF12" s="100">
        <f t="shared" si="13"/>
        <v>0</v>
      </c>
      <c r="AG12" s="100">
        <f t="shared" si="14"/>
        <v>0</v>
      </c>
      <c r="AH12" s="100">
        <f t="shared" si="15"/>
        <v>0</v>
      </c>
      <c r="AI12" s="100">
        <f t="shared" si="16"/>
        <v>0</v>
      </c>
      <c r="AJ12" s="100">
        <f t="shared" si="17"/>
        <v>112.82051282051283</v>
      </c>
      <c r="AK12" s="100">
        <f t="shared" si="18"/>
        <v>0</v>
      </c>
      <c r="AL12" s="100">
        <f t="shared" si="19"/>
        <v>0</v>
      </c>
      <c r="AM12" s="100">
        <f t="shared" si="20"/>
        <v>0</v>
      </c>
      <c r="AN12" s="100">
        <f t="shared" si="21"/>
        <v>0</v>
      </c>
      <c r="AO12" s="100">
        <f t="shared" si="22"/>
        <v>0</v>
      </c>
      <c r="AP12" s="100">
        <f t="shared" si="23"/>
        <v>63.179487179487182</v>
      </c>
      <c r="AQ12" s="100">
        <f t="shared" si="24"/>
        <v>0</v>
      </c>
      <c r="AR12" s="100">
        <f t="shared" si="25"/>
        <v>0</v>
      </c>
      <c r="AS12" s="100">
        <f t="shared" si="26"/>
        <v>0</v>
      </c>
      <c r="AT12" s="100">
        <f t="shared" si="27"/>
        <v>0</v>
      </c>
      <c r="AU12" s="100">
        <f t="shared" si="28"/>
        <v>0</v>
      </c>
      <c r="AV12" s="100">
        <f t="shared" si="29"/>
        <v>0</v>
      </c>
      <c r="AW12" s="100">
        <f t="shared" si="30"/>
        <v>0</v>
      </c>
      <c r="AX12">
        <f t="shared" si="4"/>
        <v>176</v>
      </c>
      <c r="AY12" s="98">
        <f t="shared" si="31"/>
        <v>0</v>
      </c>
      <c r="AZ12" s="98">
        <f t="shared" si="32"/>
        <v>0</v>
      </c>
      <c r="BA12" s="98">
        <f t="shared" si="33"/>
        <v>0</v>
      </c>
      <c r="BB12" s="98">
        <f t="shared" si="34"/>
        <v>0</v>
      </c>
      <c r="BC12" s="98">
        <f t="shared" si="35"/>
        <v>0</v>
      </c>
      <c r="BD12" s="98">
        <f t="shared" si="5"/>
        <v>0</v>
      </c>
      <c r="BE12" s="98">
        <f t="shared" si="6"/>
        <v>5201.0156273915181</v>
      </c>
      <c r="BF12" s="98">
        <f t="shared" si="36"/>
        <v>0</v>
      </c>
      <c r="BG12" s="98">
        <f t="shared" si="37"/>
        <v>0</v>
      </c>
      <c r="BH12" s="98">
        <f t="shared" si="38"/>
        <v>0</v>
      </c>
      <c r="BI12" s="98">
        <f t="shared" si="7"/>
        <v>0</v>
      </c>
      <c r="BJ12" s="98">
        <f t="shared" si="8"/>
        <v>0</v>
      </c>
      <c r="BK12" s="98">
        <f t="shared" si="9"/>
        <v>2912.56875133925</v>
      </c>
      <c r="BL12" s="98">
        <f t="shared" si="39"/>
        <v>0</v>
      </c>
      <c r="BM12" s="98">
        <f t="shared" si="40"/>
        <v>0</v>
      </c>
      <c r="BN12" s="98">
        <f t="shared" si="10"/>
        <v>0</v>
      </c>
      <c r="BO12" s="98">
        <f t="shared" si="41"/>
        <v>0</v>
      </c>
      <c r="BP12" s="98">
        <f t="shared" si="42"/>
        <v>0</v>
      </c>
      <c r="BQ12" s="98">
        <f t="shared" si="43"/>
        <v>0</v>
      </c>
      <c r="BR12" s="98">
        <f t="shared" si="44"/>
        <v>0</v>
      </c>
    </row>
    <row r="13" spans="1:70" x14ac:dyDescent="0.25">
      <c r="A13" t="s">
        <v>76</v>
      </c>
      <c r="B13" t="s">
        <v>7</v>
      </c>
      <c r="C13">
        <v>2025</v>
      </c>
      <c r="D13" s="98">
        <f>INDEX('Reference Sheet'!$G$9:$J$100, MATCH(A13,'Reference Sheet'!$F$9:$F$100,0), MATCH(C13,'Reference Sheet'!$G$8:$J$8,0))/2080</f>
        <v>37.647947115384611</v>
      </c>
      <c r="E13" s="99">
        <f>VLOOKUP(C13,'Reference Sheet'!$A$2:$B$5,2)</f>
        <v>0.22450000000000001</v>
      </c>
      <c r="F13" s="98">
        <f t="shared" si="0"/>
        <v>46.099911242788451</v>
      </c>
      <c r="G13" s="98"/>
      <c r="H13" s="98"/>
      <c r="I13" s="32"/>
      <c r="J13" s="32"/>
      <c r="K13" s="32"/>
      <c r="L13" s="32"/>
      <c r="M13" s="32">
        <v>80</v>
      </c>
      <c r="N13" s="32"/>
      <c r="O13" s="32"/>
      <c r="P13" s="32"/>
      <c r="Q13" s="32"/>
      <c r="R13" s="32"/>
      <c r="S13" s="32">
        <v>80</v>
      </c>
      <c r="T13" s="32"/>
      <c r="U13" s="32"/>
      <c r="V13" s="32"/>
      <c r="W13" s="32"/>
      <c r="X13" s="32"/>
      <c r="Y13" s="32"/>
      <c r="Z13" s="32"/>
      <c r="AA13" s="98">
        <f t="shared" si="1"/>
        <v>160</v>
      </c>
      <c r="AB13" s="98">
        <f>IF(OR(B13="",C13=""),"",SUMIFS('Reference Sheet'!$D$9:$D$42,'Reference Sheet'!$A$9:$A$42,C13,'Reference Sheet'!$B$9:$B$42,B13))</f>
        <v>160</v>
      </c>
      <c r="AC13" s="98">
        <f t="shared" si="2"/>
        <v>0</v>
      </c>
      <c r="AD13" s="100">
        <f t="shared" si="11"/>
        <v>0</v>
      </c>
      <c r="AE13" s="100">
        <f t="shared" si="12"/>
        <v>0</v>
      </c>
      <c r="AF13" s="100">
        <f t="shared" si="13"/>
        <v>0</v>
      </c>
      <c r="AG13" s="100">
        <f t="shared" si="14"/>
        <v>0</v>
      </c>
      <c r="AH13" s="100">
        <f t="shared" si="15"/>
        <v>0</v>
      </c>
      <c r="AI13" s="100">
        <f t="shared" si="16"/>
        <v>0</v>
      </c>
      <c r="AJ13" s="100">
        <f t="shared" si="17"/>
        <v>80</v>
      </c>
      <c r="AK13" s="100">
        <f t="shared" si="18"/>
        <v>0</v>
      </c>
      <c r="AL13" s="100">
        <f t="shared" si="19"/>
        <v>0</v>
      </c>
      <c r="AM13" s="100">
        <f t="shared" si="20"/>
        <v>0</v>
      </c>
      <c r="AN13" s="100">
        <f t="shared" si="21"/>
        <v>0</v>
      </c>
      <c r="AO13" s="100">
        <f t="shared" si="22"/>
        <v>0</v>
      </c>
      <c r="AP13" s="100">
        <f t="shared" si="23"/>
        <v>80</v>
      </c>
      <c r="AQ13" s="100">
        <f t="shared" si="24"/>
        <v>0</v>
      </c>
      <c r="AR13" s="100">
        <f t="shared" si="25"/>
        <v>0</v>
      </c>
      <c r="AS13" s="100">
        <f t="shared" si="26"/>
        <v>0</v>
      </c>
      <c r="AT13" s="100">
        <f t="shared" si="27"/>
        <v>0</v>
      </c>
      <c r="AU13" s="100">
        <f t="shared" si="28"/>
        <v>0</v>
      </c>
      <c r="AV13" s="100">
        <f t="shared" si="29"/>
        <v>0</v>
      </c>
      <c r="AW13" s="100">
        <f t="shared" si="30"/>
        <v>0</v>
      </c>
      <c r="AX13">
        <f t="shared" si="4"/>
        <v>160</v>
      </c>
      <c r="AY13" s="98">
        <f t="shared" si="31"/>
        <v>0</v>
      </c>
      <c r="AZ13" s="98">
        <f t="shared" si="32"/>
        <v>0</v>
      </c>
      <c r="BA13" s="98">
        <f t="shared" si="33"/>
        <v>0</v>
      </c>
      <c r="BB13" s="98">
        <f t="shared" si="34"/>
        <v>0</v>
      </c>
      <c r="BC13" s="98">
        <f t="shared" si="35"/>
        <v>0</v>
      </c>
      <c r="BD13" s="98">
        <f t="shared" si="5"/>
        <v>0</v>
      </c>
      <c r="BE13" s="98">
        <f t="shared" si="6"/>
        <v>3687.9928994230759</v>
      </c>
      <c r="BF13" s="98">
        <f t="shared" si="36"/>
        <v>0</v>
      </c>
      <c r="BG13" s="98">
        <f t="shared" si="37"/>
        <v>0</v>
      </c>
      <c r="BH13" s="98">
        <f t="shared" si="38"/>
        <v>0</v>
      </c>
      <c r="BI13" s="98">
        <f t="shared" si="7"/>
        <v>0</v>
      </c>
      <c r="BJ13" s="98">
        <f t="shared" si="8"/>
        <v>0</v>
      </c>
      <c r="BK13" s="98">
        <f t="shared" si="9"/>
        <v>3687.9928994230759</v>
      </c>
      <c r="BL13" s="98">
        <f t="shared" si="39"/>
        <v>0</v>
      </c>
      <c r="BM13" s="98">
        <f t="shared" si="40"/>
        <v>0</v>
      </c>
      <c r="BN13" s="98">
        <f t="shared" si="10"/>
        <v>0</v>
      </c>
      <c r="BO13" s="98">
        <f t="shared" si="41"/>
        <v>0</v>
      </c>
      <c r="BP13" s="98">
        <f t="shared" si="42"/>
        <v>0</v>
      </c>
      <c r="BQ13" s="98">
        <f t="shared" si="43"/>
        <v>0</v>
      </c>
      <c r="BR13" s="98">
        <f t="shared" si="44"/>
        <v>0</v>
      </c>
    </row>
    <row r="14" spans="1:70" x14ac:dyDescent="0.25">
      <c r="A14" t="s">
        <v>76</v>
      </c>
      <c r="B14" t="s">
        <v>6</v>
      </c>
      <c r="C14">
        <v>2025</v>
      </c>
      <c r="D14" s="98">
        <f>INDEX('Reference Sheet'!$G$9:$J$100, MATCH(A14,'Reference Sheet'!$F$9:$F$100,0), MATCH(C14,'Reference Sheet'!$G$8:$J$8,0))/2080</f>
        <v>37.647947115384611</v>
      </c>
      <c r="E14" s="99">
        <f>VLOOKUP(C14,'Reference Sheet'!$A$2:$B$5,2)</f>
        <v>0.22450000000000001</v>
      </c>
      <c r="F14" s="98">
        <f t="shared" si="0"/>
        <v>46.099911242788451</v>
      </c>
      <c r="G14" s="98"/>
      <c r="H14" s="98"/>
      <c r="I14" s="32"/>
      <c r="J14" s="32"/>
      <c r="K14" s="32"/>
      <c r="L14" s="32"/>
      <c r="M14" s="32">
        <v>100</v>
      </c>
      <c r="N14" s="32"/>
      <c r="O14" s="32"/>
      <c r="P14" s="32"/>
      <c r="Q14" s="32"/>
      <c r="R14" s="32"/>
      <c r="S14" s="32">
        <v>80</v>
      </c>
      <c r="T14" s="32"/>
      <c r="U14" s="32"/>
      <c r="V14" s="32"/>
      <c r="W14" s="32"/>
      <c r="X14" s="32"/>
      <c r="Y14" s="32"/>
      <c r="Z14" s="32"/>
      <c r="AA14" s="98">
        <f t="shared" si="1"/>
        <v>180</v>
      </c>
      <c r="AB14" s="98">
        <f>IF(OR(B14="",C14=""),"",SUMIFS('Reference Sheet'!$D$9:$D$42,'Reference Sheet'!$A$9:$A$42,C14,'Reference Sheet'!$B$9:$B$42,B14))</f>
        <v>184</v>
      </c>
      <c r="AC14" s="98">
        <f t="shared" si="2"/>
        <v>4</v>
      </c>
      <c r="AD14" s="100">
        <f t="shared" si="11"/>
        <v>0</v>
      </c>
      <c r="AE14" s="100">
        <f t="shared" si="12"/>
        <v>0</v>
      </c>
      <c r="AF14" s="100">
        <f t="shared" si="13"/>
        <v>0</v>
      </c>
      <c r="AG14" s="100">
        <f t="shared" si="14"/>
        <v>0</v>
      </c>
      <c r="AH14" s="100">
        <f t="shared" si="15"/>
        <v>0</v>
      </c>
      <c r="AI14" s="100">
        <f t="shared" si="16"/>
        <v>0</v>
      </c>
      <c r="AJ14" s="100">
        <f t="shared" si="17"/>
        <v>102.22222222222223</v>
      </c>
      <c r="AK14" s="100">
        <f t="shared" si="18"/>
        <v>0</v>
      </c>
      <c r="AL14" s="100">
        <f t="shared" si="19"/>
        <v>0</v>
      </c>
      <c r="AM14" s="100">
        <f t="shared" si="20"/>
        <v>0</v>
      </c>
      <c r="AN14" s="100">
        <f t="shared" si="21"/>
        <v>0</v>
      </c>
      <c r="AO14" s="100">
        <f t="shared" si="22"/>
        <v>0</v>
      </c>
      <c r="AP14" s="100">
        <f t="shared" si="23"/>
        <v>81.777777777777771</v>
      </c>
      <c r="AQ14" s="100">
        <f t="shared" si="24"/>
        <v>0</v>
      </c>
      <c r="AR14" s="100">
        <f t="shared" si="25"/>
        <v>0</v>
      </c>
      <c r="AS14" s="100">
        <f t="shared" si="26"/>
        <v>0</v>
      </c>
      <c r="AT14" s="100">
        <f t="shared" si="27"/>
        <v>0</v>
      </c>
      <c r="AU14" s="100">
        <f t="shared" si="28"/>
        <v>0</v>
      </c>
      <c r="AV14" s="100">
        <f t="shared" si="29"/>
        <v>0</v>
      </c>
      <c r="AW14" s="100">
        <f t="shared" si="30"/>
        <v>0</v>
      </c>
      <c r="AX14">
        <f t="shared" si="4"/>
        <v>184</v>
      </c>
      <c r="AY14" s="98">
        <f t="shared" si="31"/>
        <v>0</v>
      </c>
      <c r="AZ14" s="98">
        <f t="shared" si="32"/>
        <v>0</v>
      </c>
      <c r="BA14" s="98">
        <f t="shared" si="33"/>
        <v>0</v>
      </c>
      <c r="BB14" s="98">
        <f t="shared" si="34"/>
        <v>0</v>
      </c>
      <c r="BC14" s="98">
        <f t="shared" si="35"/>
        <v>0</v>
      </c>
      <c r="BD14" s="98">
        <f t="shared" si="5"/>
        <v>0</v>
      </c>
      <c r="BE14" s="98">
        <f t="shared" si="6"/>
        <v>4712.4353714850422</v>
      </c>
      <c r="BF14" s="98">
        <f t="shared" si="36"/>
        <v>0</v>
      </c>
      <c r="BG14" s="98">
        <f t="shared" si="37"/>
        <v>0</v>
      </c>
      <c r="BH14" s="98">
        <f t="shared" si="38"/>
        <v>0</v>
      </c>
      <c r="BI14" s="98">
        <f t="shared" si="7"/>
        <v>0</v>
      </c>
      <c r="BJ14" s="98">
        <f t="shared" si="8"/>
        <v>0</v>
      </c>
      <c r="BK14" s="98">
        <f t="shared" si="9"/>
        <v>3769.9482971880329</v>
      </c>
      <c r="BL14" s="98">
        <f t="shared" si="39"/>
        <v>0</v>
      </c>
      <c r="BM14" s="98">
        <f t="shared" si="40"/>
        <v>0</v>
      </c>
      <c r="BN14" s="98">
        <f t="shared" si="10"/>
        <v>0</v>
      </c>
      <c r="BO14" s="98">
        <f t="shared" si="41"/>
        <v>0</v>
      </c>
      <c r="BP14" s="98">
        <f t="shared" si="42"/>
        <v>0</v>
      </c>
      <c r="BQ14" s="98">
        <f t="shared" si="43"/>
        <v>0</v>
      </c>
      <c r="BR14" s="98">
        <f t="shared" si="44"/>
        <v>0</v>
      </c>
    </row>
    <row r="15" spans="1:70" x14ac:dyDescent="0.25">
      <c r="A15" t="s">
        <v>76</v>
      </c>
      <c r="B15" t="s">
        <v>8</v>
      </c>
      <c r="C15">
        <v>2025</v>
      </c>
      <c r="D15" s="98">
        <f>INDEX('Reference Sheet'!$G$9:$J$100, MATCH(A15,'Reference Sheet'!$F$9:$F$100,0), MATCH(C15,'Reference Sheet'!$G$8:$J$8,0))/2080</f>
        <v>37.647947115384611</v>
      </c>
      <c r="E15" s="99">
        <f>VLOOKUP(C15,'Reference Sheet'!$A$2:$B$5,2)</f>
        <v>0.22450000000000001</v>
      </c>
      <c r="F15" s="98">
        <f t="shared" si="0"/>
        <v>46.099911242788451</v>
      </c>
      <c r="G15" s="98"/>
      <c r="H15" s="98"/>
      <c r="I15" s="32"/>
      <c r="J15" s="32"/>
      <c r="K15" s="32"/>
      <c r="L15" s="32"/>
      <c r="M15" s="32">
        <v>100</v>
      </c>
      <c r="N15" s="32"/>
      <c r="O15" s="32"/>
      <c r="P15" s="32"/>
      <c r="Q15" s="32"/>
      <c r="R15" s="32"/>
      <c r="S15" s="32">
        <v>80</v>
      </c>
      <c r="T15" s="32"/>
      <c r="U15" s="32"/>
      <c r="V15" s="32"/>
      <c r="W15" s="32"/>
      <c r="X15" s="32"/>
      <c r="Y15" s="32"/>
      <c r="Z15" s="32"/>
      <c r="AA15" s="98">
        <f t="shared" si="1"/>
        <v>180</v>
      </c>
      <c r="AB15" s="98">
        <f>IF(OR(B15="",C15=""),"",SUMIFS('Reference Sheet'!$D$9:$D$42,'Reference Sheet'!$A$9:$A$42,C15,'Reference Sheet'!$B$9:$B$42,B15))</f>
        <v>168</v>
      </c>
      <c r="AC15" s="98">
        <f t="shared" si="2"/>
        <v>-12</v>
      </c>
      <c r="AD15" s="100">
        <f t="shared" si="11"/>
        <v>0</v>
      </c>
      <c r="AE15" s="100">
        <f t="shared" si="12"/>
        <v>0</v>
      </c>
      <c r="AF15" s="100">
        <f t="shared" si="13"/>
        <v>0</v>
      </c>
      <c r="AG15" s="100">
        <f t="shared" si="14"/>
        <v>0</v>
      </c>
      <c r="AH15" s="100">
        <f t="shared" si="15"/>
        <v>0</v>
      </c>
      <c r="AI15" s="100">
        <f t="shared" si="16"/>
        <v>0</v>
      </c>
      <c r="AJ15" s="100">
        <f t="shared" si="17"/>
        <v>93.333333333333343</v>
      </c>
      <c r="AK15" s="100">
        <f t="shared" si="18"/>
        <v>0</v>
      </c>
      <c r="AL15" s="100">
        <f t="shared" si="19"/>
        <v>0</v>
      </c>
      <c r="AM15" s="100">
        <f t="shared" si="20"/>
        <v>0</v>
      </c>
      <c r="AN15" s="100">
        <f t="shared" si="21"/>
        <v>0</v>
      </c>
      <c r="AO15" s="100">
        <f t="shared" si="22"/>
        <v>0</v>
      </c>
      <c r="AP15" s="100">
        <f t="shared" si="23"/>
        <v>74.666666666666657</v>
      </c>
      <c r="AQ15" s="100">
        <f t="shared" si="24"/>
        <v>0</v>
      </c>
      <c r="AR15" s="100">
        <f t="shared" si="25"/>
        <v>0</v>
      </c>
      <c r="AS15" s="100">
        <f t="shared" si="26"/>
        <v>0</v>
      </c>
      <c r="AT15" s="100">
        <f t="shared" si="27"/>
        <v>0</v>
      </c>
      <c r="AU15" s="100">
        <f t="shared" si="28"/>
        <v>0</v>
      </c>
      <c r="AV15" s="100">
        <f t="shared" si="29"/>
        <v>0</v>
      </c>
      <c r="AW15" s="100">
        <f t="shared" si="30"/>
        <v>0</v>
      </c>
      <c r="AX15">
        <f t="shared" si="4"/>
        <v>168</v>
      </c>
      <c r="AY15" s="98">
        <f t="shared" si="31"/>
        <v>0</v>
      </c>
      <c r="AZ15" s="98">
        <f t="shared" si="32"/>
        <v>0</v>
      </c>
      <c r="BA15" s="98">
        <f t="shared" si="33"/>
        <v>0</v>
      </c>
      <c r="BB15" s="98">
        <f t="shared" si="34"/>
        <v>0</v>
      </c>
      <c r="BC15" s="98">
        <f t="shared" si="35"/>
        <v>0</v>
      </c>
      <c r="BD15" s="98">
        <f t="shared" si="5"/>
        <v>0</v>
      </c>
      <c r="BE15" s="98">
        <f t="shared" si="6"/>
        <v>4302.6583826602555</v>
      </c>
      <c r="BF15" s="98">
        <f t="shared" si="36"/>
        <v>0</v>
      </c>
      <c r="BG15" s="98">
        <f t="shared" si="37"/>
        <v>0</v>
      </c>
      <c r="BH15" s="98">
        <f t="shared" si="38"/>
        <v>0</v>
      </c>
      <c r="BI15" s="98">
        <f t="shared" si="7"/>
        <v>0</v>
      </c>
      <c r="BJ15" s="98">
        <f t="shared" si="8"/>
        <v>0</v>
      </c>
      <c r="BK15" s="98">
        <f t="shared" si="9"/>
        <v>3442.1267061282038</v>
      </c>
      <c r="BL15" s="98">
        <f t="shared" si="39"/>
        <v>0</v>
      </c>
      <c r="BM15" s="98">
        <f t="shared" si="40"/>
        <v>0</v>
      </c>
      <c r="BN15" s="98">
        <f t="shared" si="10"/>
        <v>0</v>
      </c>
      <c r="BO15" s="98">
        <f t="shared" si="41"/>
        <v>0</v>
      </c>
      <c r="BP15" s="98">
        <f t="shared" si="42"/>
        <v>0</v>
      </c>
      <c r="BQ15" s="98">
        <f t="shared" si="43"/>
        <v>0</v>
      </c>
      <c r="BR15" s="98">
        <f t="shared" si="44"/>
        <v>0</v>
      </c>
    </row>
    <row r="16" spans="1:70" x14ac:dyDescent="0.25">
      <c r="A16" t="s">
        <v>76</v>
      </c>
      <c r="B16" t="s">
        <v>9</v>
      </c>
      <c r="C16">
        <v>2025</v>
      </c>
      <c r="D16" s="98">
        <f>INDEX('Reference Sheet'!$G$9:$J$100, MATCH(A16,'Reference Sheet'!$F$9:$F$100,0), MATCH(C16,'Reference Sheet'!$G$8:$J$8,0))/2080</f>
        <v>37.647947115384611</v>
      </c>
      <c r="E16" s="99">
        <f>VLOOKUP(C16,'Reference Sheet'!$A$2:$B$5,2)</f>
        <v>0.22450000000000001</v>
      </c>
      <c r="F16" s="98">
        <f t="shared" si="0"/>
        <v>46.099911242788451</v>
      </c>
      <c r="G16" s="98"/>
      <c r="H16" s="98"/>
      <c r="I16" s="32"/>
      <c r="J16" s="32"/>
      <c r="K16" s="32"/>
      <c r="L16" s="32"/>
      <c r="M16" s="32">
        <v>100</v>
      </c>
      <c r="N16" s="32"/>
      <c r="O16" s="32"/>
      <c r="P16" s="32"/>
      <c r="Q16" s="32"/>
      <c r="R16" s="32"/>
      <c r="S16" s="32">
        <v>80</v>
      </c>
      <c r="T16" s="32"/>
      <c r="U16" s="32"/>
      <c r="V16" s="32"/>
      <c r="W16" s="32"/>
      <c r="X16" s="32"/>
      <c r="Y16" s="32"/>
      <c r="Z16" s="32"/>
      <c r="AA16" s="98">
        <f t="shared" si="1"/>
        <v>180</v>
      </c>
      <c r="AB16" s="98">
        <f>IF(OR(B16="",C16=""),"",SUMIFS('Reference Sheet'!$D$9:$D$42,'Reference Sheet'!$A$9:$A$42,C16,'Reference Sheet'!$B$9:$B$42,B16))</f>
        <v>176</v>
      </c>
      <c r="AC16" s="98">
        <f t="shared" si="2"/>
        <v>-4</v>
      </c>
      <c r="AD16" s="100">
        <f t="shared" si="11"/>
        <v>0</v>
      </c>
      <c r="AE16" s="100">
        <f t="shared" si="12"/>
        <v>0</v>
      </c>
      <c r="AF16" s="100">
        <f t="shared" si="13"/>
        <v>0</v>
      </c>
      <c r="AG16" s="100">
        <f t="shared" si="14"/>
        <v>0</v>
      </c>
      <c r="AH16" s="100">
        <f t="shared" si="15"/>
        <v>0</v>
      </c>
      <c r="AI16" s="100">
        <f t="shared" si="16"/>
        <v>0</v>
      </c>
      <c r="AJ16" s="100">
        <f t="shared" si="17"/>
        <v>97.777777777777786</v>
      </c>
      <c r="AK16" s="100">
        <f t="shared" si="18"/>
        <v>0</v>
      </c>
      <c r="AL16" s="100">
        <f t="shared" si="19"/>
        <v>0</v>
      </c>
      <c r="AM16" s="100">
        <f t="shared" si="20"/>
        <v>0</v>
      </c>
      <c r="AN16" s="100">
        <f t="shared" si="21"/>
        <v>0</v>
      </c>
      <c r="AO16" s="100">
        <f t="shared" si="22"/>
        <v>0</v>
      </c>
      <c r="AP16" s="100">
        <f t="shared" si="23"/>
        <v>78.222222222222214</v>
      </c>
      <c r="AQ16" s="100">
        <f t="shared" si="24"/>
        <v>0</v>
      </c>
      <c r="AR16" s="100">
        <f t="shared" si="25"/>
        <v>0</v>
      </c>
      <c r="AS16" s="100">
        <f t="shared" si="26"/>
        <v>0</v>
      </c>
      <c r="AT16" s="100">
        <f t="shared" si="27"/>
        <v>0</v>
      </c>
      <c r="AU16" s="100">
        <f t="shared" si="28"/>
        <v>0</v>
      </c>
      <c r="AV16" s="100">
        <f t="shared" si="29"/>
        <v>0</v>
      </c>
      <c r="AW16" s="100">
        <f t="shared" si="30"/>
        <v>0</v>
      </c>
      <c r="AX16">
        <f t="shared" si="4"/>
        <v>176</v>
      </c>
      <c r="AY16" s="98">
        <f t="shared" si="31"/>
        <v>0</v>
      </c>
      <c r="AZ16" s="98">
        <f t="shared" si="32"/>
        <v>0</v>
      </c>
      <c r="BA16" s="98">
        <f t="shared" si="33"/>
        <v>0</v>
      </c>
      <c r="BB16" s="98">
        <f t="shared" si="34"/>
        <v>0</v>
      </c>
      <c r="BC16" s="98">
        <f t="shared" si="35"/>
        <v>0</v>
      </c>
      <c r="BD16" s="98">
        <f t="shared" si="5"/>
        <v>0</v>
      </c>
      <c r="BE16" s="98">
        <f t="shared" si="6"/>
        <v>4507.5468770726493</v>
      </c>
      <c r="BF16" s="98">
        <f t="shared" si="36"/>
        <v>0</v>
      </c>
      <c r="BG16" s="98">
        <f t="shared" si="37"/>
        <v>0</v>
      </c>
      <c r="BH16" s="98">
        <f t="shared" si="38"/>
        <v>0</v>
      </c>
      <c r="BI16" s="98">
        <f t="shared" si="7"/>
        <v>0</v>
      </c>
      <c r="BJ16" s="98">
        <f t="shared" si="8"/>
        <v>0</v>
      </c>
      <c r="BK16" s="98">
        <f t="shared" si="9"/>
        <v>3606.0375016581183</v>
      </c>
      <c r="BL16" s="98">
        <f t="shared" si="39"/>
        <v>0</v>
      </c>
      <c r="BM16" s="98">
        <f t="shared" si="40"/>
        <v>0</v>
      </c>
      <c r="BN16" s="98">
        <f t="shared" si="10"/>
        <v>0</v>
      </c>
      <c r="BO16" s="98">
        <f t="shared" si="41"/>
        <v>0</v>
      </c>
      <c r="BP16" s="98">
        <f t="shared" si="42"/>
        <v>0</v>
      </c>
      <c r="BQ16" s="98">
        <f t="shared" si="43"/>
        <v>0</v>
      </c>
      <c r="BR16" s="98">
        <f t="shared" si="44"/>
        <v>0</v>
      </c>
    </row>
    <row r="17" spans="1:70" x14ac:dyDescent="0.25">
      <c r="A17" t="s">
        <v>76</v>
      </c>
      <c r="B17" t="s">
        <v>12</v>
      </c>
      <c r="C17">
        <v>2025</v>
      </c>
      <c r="D17" s="98">
        <f>INDEX('Reference Sheet'!$G$9:$J$100, MATCH(A17,'Reference Sheet'!$F$9:$F$100,0), MATCH(C17,'Reference Sheet'!$G$8:$J$8,0))/2080</f>
        <v>37.647947115384611</v>
      </c>
      <c r="E17" s="99">
        <f>VLOOKUP(C17,'Reference Sheet'!$A$2:$B$5,2)</f>
        <v>0.22450000000000001</v>
      </c>
      <c r="F17" s="98">
        <f t="shared" si="0"/>
        <v>46.099911242788451</v>
      </c>
      <c r="G17" s="98"/>
      <c r="H17" s="98"/>
      <c r="I17" s="32"/>
      <c r="J17" s="32"/>
      <c r="K17" s="32"/>
      <c r="L17" s="32"/>
      <c r="M17" s="32">
        <v>100</v>
      </c>
      <c r="N17" s="32"/>
      <c r="O17" s="32"/>
      <c r="P17" s="32"/>
      <c r="Q17" s="32"/>
      <c r="R17" s="32"/>
      <c r="S17" s="32">
        <v>80</v>
      </c>
      <c r="T17" s="32"/>
      <c r="U17" s="32"/>
      <c r="V17" s="32"/>
      <c r="W17" s="32"/>
      <c r="X17" s="32"/>
      <c r="Y17" s="32"/>
      <c r="Z17" s="32"/>
      <c r="AA17" s="98">
        <f t="shared" si="1"/>
        <v>180</v>
      </c>
      <c r="AB17" s="98">
        <f>IF(OR(B17="",C17=""),"",SUMIFS('Reference Sheet'!$D$9:$D$42,'Reference Sheet'!$A$9:$A$42,C17,'Reference Sheet'!$B$9:$B$42,B17))</f>
        <v>184</v>
      </c>
      <c r="AC17" s="98">
        <f t="shared" si="2"/>
        <v>4</v>
      </c>
      <c r="AD17" s="100">
        <f t="shared" si="11"/>
        <v>0</v>
      </c>
      <c r="AE17" s="100">
        <f t="shared" si="12"/>
        <v>0</v>
      </c>
      <c r="AF17" s="100">
        <f t="shared" si="13"/>
        <v>0</v>
      </c>
      <c r="AG17" s="100">
        <f t="shared" si="14"/>
        <v>0</v>
      </c>
      <c r="AH17" s="100">
        <f t="shared" si="15"/>
        <v>0</v>
      </c>
      <c r="AI17" s="100">
        <f t="shared" si="16"/>
        <v>0</v>
      </c>
      <c r="AJ17" s="100">
        <f t="shared" si="17"/>
        <v>102.22222222222223</v>
      </c>
      <c r="AK17" s="100">
        <f t="shared" si="18"/>
        <v>0</v>
      </c>
      <c r="AL17" s="100">
        <f t="shared" si="19"/>
        <v>0</v>
      </c>
      <c r="AM17" s="100">
        <f t="shared" si="20"/>
        <v>0</v>
      </c>
      <c r="AN17" s="100">
        <f t="shared" si="21"/>
        <v>0</v>
      </c>
      <c r="AO17" s="100">
        <f t="shared" si="22"/>
        <v>0</v>
      </c>
      <c r="AP17" s="100">
        <f t="shared" si="23"/>
        <v>81.777777777777771</v>
      </c>
      <c r="AQ17" s="100">
        <f t="shared" si="24"/>
        <v>0</v>
      </c>
      <c r="AR17" s="100">
        <f t="shared" si="25"/>
        <v>0</v>
      </c>
      <c r="AS17" s="100">
        <f t="shared" si="26"/>
        <v>0</v>
      </c>
      <c r="AT17" s="100">
        <f t="shared" si="27"/>
        <v>0</v>
      </c>
      <c r="AU17" s="100">
        <f t="shared" si="28"/>
        <v>0</v>
      </c>
      <c r="AV17" s="100">
        <f t="shared" si="29"/>
        <v>0</v>
      </c>
      <c r="AW17" s="100">
        <f t="shared" si="30"/>
        <v>0</v>
      </c>
      <c r="AX17">
        <f t="shared" si="4"/>
        <v>184</v>
      </c>
      <c r="AY17" s="98">
        <f t="shared" si="31"/>
        <v>0</v>
      </c>
      <c r="AZ17" s="98">
        <f t="shared" si="32"/>
        <v>0</v>
      </c>
      <c r="BA17" s="98">
        <f t="shared" si="33"/>
        <v>0</v>
      </c>
      <c r="BB17" s="98">
        <f t="shared" si="34"/>
        <v>0</v>
      </c>
      <c r="BC17" s="98">
        <f t="shared" si="35"/>
        <v>0</v>
      </c>
      <c r="BD17" s="98">
        <f t="shared" si="5"/>
        <v>0</v>
      </c>
      <c r="BE17" s="98">
        <f t="shared" si="6"/>
        <v>4712.4353714850422</v>
      </c>
      <c r="BF17" s="98">
        <f t="shared" si="36"/>
        <v>0</v>
      </c>
      <c r="BG17" s="98">
        <f t="shared" si="37"/>
        <v>0</v>
      </c>
      <c r="BH17" s="98">
        <f t="shared" si="38"/>
        <v>0</v>
      </c>
      <c r="BI17" s="98">
        <f t="shared" si="7"/>
        <v>0</v>
      </c>
      <c r="BJ17" s="98">
        <f t="shared" si="8"/>
        <v>0</v>
      </c>
      <c r="BK17" s="98">
        <f t="shared" si="9"/>
        <v>3769.9482971880329</v>
      </c>
      <c r="BL17" s="98">
        <f t="shared" si="39"/>
        <v>0</v>
      </c>
      <c r="BM17" s="98">
        <f t="shared" si="40"/>
        <v>0</v>
      </c>
      <c r="BN17" s="98">
        <f t="shared" si="10"/>
        <v>0</v>
      </c>
      <c r="BO17" s="98">
        <f t="shared" si="41"/>
        <v>0</v>
      </c>
      <c r="BP17" s="98">
        <f t="shared" si="42"/>
        <v>0</v>
      </c>
      <c r="BQ17" s="98">
        <f t="shared" si="43"/>
        <v>0</v>
      </c>
      <c r="BR17" s="98">
        <f t="shared" si="44"/>
        <v>0</v>
      </c>
    </row>
    <row r="18" spans="1:70" x14ac:dyDescent="0.25">
      <c r="A18" t="s">
        <v>76</v>
      </c>
      <c r="B18" t="s">
        <v>13</v>
      </c>
      <c r="C18">
        <v>2025</v>
      </c>
      <c r="D18" s="98">
        <f>INDEX('Reference Sheet'!$G$9:$J$100, MATCH(A18,'Reference Sheet'!$F$9:$F$100,0), MATCH(C18,'Reference Sheet'!$G$8:$J$8,0))/2080</f>
        <v>37.647947115384611</v>
      </c>
      <c r="E18" s="99">
        <f>VLOOKUP(C18,'Reference Sheet'!$A$2:$B$5,2)</f>
        <v>0.22450000000000001</v>
      </c>
      <c r="F18" s="98">
        <f t="shared" si="0"/>
        <v>46.099911242788451</v>
      </c>
      <c r="G18" s="98"/>
      <c r="H18" s="98"/>
      <c r="I18" s="32"/>
      <c r="J18" s="32"/>
      <c r="K18" s="32"/>
      <c r="L18" s="32"/>
      <c r="M18" s="32">
        <v>100</v>
      </c>
      <c r="N18" s="32"/>
      <c r="O18" s="32"/>
      <c r="P18" s="32"/>
      <c r="Q18" s="32"/>
      <c r="R18" s="32"/>
      <c r="S18" s="32">
        <v>80</v>
      </c>
      <c r="T18" s="32"/>
      <c r="U18" s="32"/>
      <c r="V18" s="32"/>
      <c r="W18" s="32"/>
      <c r="X18" s="32"/>
      <c r="Y18" s="32"/>
      <c r="Z18" s="32"/>
      <c r="AA18" s="98">
        <f t="shared" si="1"/>
        <v>180</v>
      </c>
      <c r="AB18" s="98">
        <f>IF(OR(B18="",C18=""),"",SUMIFS('Reference Sheet'!$D$9:$D$42,'Reference Sheet'!$A$9:$A$42,C18,'Reference Sheet'!$B$9:$B$42,B18))</f>
        <v>168</v>
      </c>
      <c r="AC18" s="98">
        <f t="shared" si="2"/>
        <v>-12</v>
      </c>
      <c r="AD18" s="100">
        <f t="shared" si="11"/>
        <v>0</v>
      </c>
      <c r="AE18" s="100">
        <f t="shared" si="12"/>
        <v>0</v>
      </c>
      <c r="AF18" s="100">
        <f t="shared" si="13"/>
        <v>0</v>
      </c>
      <c r="AG18" s="100">
        <f t="shared" si="14"/>
        <v>0</v>
      </c>
      <c r="AH18" s="100">
        <f t="shared" si="15"/>
        <v>0</v>
      </c>
      <c r="AI18" s="100">
        <f t="shared" si="16"/>
        <v>0</v>
      </c>
      <c r="AJ18" s="100">
        <f t="shared" si="17"/>
        <v>93.333333333333343</v>
      </c>
      <c r="AK18" s="100">
        <f t="shared" si="18"/>
        <v>0</v>
      </c>
      <c r="AL18" s="100">
        <f t="shared" si="19"/>
        <v>0</v>
      </c>
      <c r="AM18" s="100">
        <f t="shared" si="20"/>
        <v>0</v>
      </c>
      <c r="AN18" s="100">
        <f t="shared" si="21"/>
        <v>0</v>
      </c>
      <c r="AO18" s="100">
        <f t="shared" si="22"/>
        <v>0</v>
      </c>
      <c r="AP18" s="100">
        <f t="shared" si="23"/>
        <v>74.666666666666657</v>
      </c>
      <c r="AQ18" s="100">
        <f t="shared" si="24"/>
        <v>0</v>
      </c>
      <c r="AR18" s="100">
        <f t="shared" si="25"/>
        <v>0</v>
      </c>
      <c r="AS18" s="100">
        <f t="shared" si="26"/>
        <v>0</v>
      </c>
      <c r="AT18" s="100">
        <f t="shared" si="27"/>
        <v>0</v>
      </c>
      <c r="AU18" s="100">
        <f t="shared" si="28"/>
        <v>0</v>
      </c>
      <c r="AV18" s="100">
        <f t="shared" si="29"/>
        <v>0</v>
      </c>
      <c r="AW18" s="100">
        <f t="shared" si="30"/>
        <v>0</v>
      </c>
      <c r="AX18">
        <f t="shared" si="4"/>
        <v>168</v>
      </c>
      <c r="AY18" s="98">
        <f t="shared" si="31"/>
        <v>0</v>
      </c>
      <c r="AZ18" s="98">
        <f t="shared" si="32"/>
        <v>0</v>
      </c>
      <c r="BA18" s="98">
        <f t="shared" si="33"/>
        <v>0</v>
      </c>
      <c r="BB18" s="98">
        <f t="shared" si="34"/>
        <v>0</v>
      </c>
      <c r="BC18" s="98">
        <f t="shared" si="35"/>
        <v>0</v>
      </c>
      <c r="BD18" s="98">
        <f t="shared" si="5"/>
        <v>0</v>
      </c>
      <c r="BE18" s="98">
        <f t="shared" si="6"/>
        <v>4302.6583826602555</v>
      </c>
      <c r="BF18" s="98">
        <f t="shared" si="36"/>
        <v>0</v>
      </c>
      <c r="BG18" s="98">
        <f t="shared" si="37"/>
        <v>0</v>
      </c>
      <c r="BH18" s="98">
        <f t="shared" si="38"/>
        <v>0</v>
      </c>
      <c r="BI18" s="98">
        <f t="shared" si="7"/>
        <v>0</v>
      </c>
      <c r="BJ18" s="98">
        <f t="shared" si="8"/>
        <v>0</v>
      </c>
      <c r="BK18" s="98">
        <f t="shared" si="9"/>
        <v>3442.1267061282038</v>
      </c>
      <c r="BL18" s="98">
        <f t="shared" si="39"/>
        <v>0</v>
      </c>
      <c r="BM18" s="98">
        <f t="shared" si="40"/>
        <v>0</v>
      </c>
      <c r="BN18" s="98">
        <f t="shared" si="10"/>
        <v>0</v>
      </c>
      <c r="BO18" s="98">
        <f t="shared" si="41"/>
        <v>0</v>
      </c>
      <c r="BP18" s="98">
        <f t="shared" si="42"/>
        <v>0</v>
      </c>
      <c r="BQ18" s="98">
        <f t="shared" si="43"/>
        <v>0</v>
      </c>
      <c r="BR18" s="98">
        <f t="shared" si="44"/>
        <v>0</v>
      </c>
    </row>
    <row r="19" spans="1:70" x14ac:dyDescent="0.25">
      <c r="A19" t="s">
        <v>76</v>
      </c>
      <c r="B19" t="s">
        <v>14</v>
      </c>
      <c r="C19">
        <v>2025</v>
      </c>
      <c r="D19" s="98">
        <f>INDEX('Reference Sheet'!$G$9:$J$100, MATCH(A19,'Reference Sheet'!$F$9:$F$100,0), MATCH(C19,'Reference Sheet'!$G$8:$J$8,0))/2080</f>
        <v>37.647947115384611</v>
      </c>
      <c r="E19" s="99">
        <f>VLOOKUP(C19,'Reference Sheet'!$A$2:$B$5,2)</f>
        <v>0.22450000000000001</v>
      </c>
      <c r="F19" s="98">
        <f t="shared" si="0"/>
        <v>46.099911242788451</v>
      </c>
      <c r="G19" s="98"/>
      <c r="H19" s="98"/>
      <c r="I19" s="21"/>
      <c r="J19" s="21"/>
      <c r="K19" s="21"/>
      <c r="L19" s="21"/>
      <c r="M19" s="21">
        <v>100</v>
      </c>
      <c r="N19" s="21"/>
      <c r="O19" s="21"/>
      <c r="P19" s="21"/>
      <c r="Q19" s="21"/>
      <c r="R19" s="21"/>
      <c r="S19" s="21">
        <v>80</v>
      </c>
      <c r="T19" s="21"/>
      <c r="U19" s="21"/>
      <c r="V19" s="21"/>
      <c r="W19" s="21"/>
      <c r="X19" s="21"/>
      <c r="Y19" s="21"/>
      <c r="Z19" s="21"/>
      <c r="AA19" s="98">
        <f t="shared" si="1"/>
        <v>180</v>
      </c>
      <c r="AB19" s="98">
        <f>IF(OR(B19="",C19=""),"",SUMIFS('Reference Sheet'!$D$9:$D$42,'Reference Sheet'!$A$9:$A$42,C19,'Reference Sheet'!$B$9:$B$42,B19))</f>
        <v>176</v>
      </c>
      <c r="AC19" s="98">
        <f t="shared" si="2"/>
        <v>-4</v>
      </c>
      <c r="AD19" s="100">
        <f t="shared" si="11"/>
        <v>0</v>
      </c>
      <c r="AE19" s="100">
        <f t="shared" si="12"/>
        <v>0</v>
      </c>
      <c r="AF19" s="100">
        <f t="shared" si="13"/>
        <v>0</v>
      </c>
      <c r="AG19" s="100">
        <f t="shared" si="14"/>
        <v>0</v>
      </c>
      <c r="AH19" s="100">
        <f t="shared" si="15"/>
        <v>0</v>
      </c>
      <c r="AI19" s="100">
        <f t="shared" si="16"/>
        <v>0</v>
      </c>
      <c r="AJ19" s="100">
        <f t="shared" si="17"/>
        <v>97.777777777777786</v>
      </c>
      <c r="AK19" s="100">
        <f t="shared" si="18"/>
        <v>0</v>
      </c>
      <c r="AL19" s="100">
        <f t="shared" si="19"/>
        <v>0</v>
      </c>
      <c r="AM19" s="100">
        <f t="shared" si="20"/>
        <v>0</v>
      </c>
      <c r="AN19" s="100">
        <f t="shared" si="21"/>
        <v>0</v>
      </c>
      <c r="AO19" s="100">
        <f t="shared" si="22"/>
        <v>0</v>
      </c>
      <c r="AP19" s="100">
        <f t="shared" si="23"/>
        <v>78.222222222222214</v>
      </c>
      <c r="AQ19" s="100">
        <f t="shared" si="24"/>
        <v>0</v>
      </c>
      <c r="AR19" s="100">
        <f t="shared" si="25"/>
        <v>0</v>
      </c>
      <c r="AS19" s="100">
        <f t="shared" si="26"/>
        <v>0</v>
      </c>
      <c r="AT19" s="100">
        <f t="shared" si="27"/>
        <v>0</v>
      </c>
      <c r="AU19" s="100">
        <f t="shared" si="28"/>
        <v>0</v>
      </c>
      <c r="AV19" s="100">
        <f t="shared" si="29"/>
        <v>0</v>
      </c>
      <c r="AW19" s="100">
        <f t="shared" si="30"/>
        <v>0</v>
      </c>
      <c r="AX19">
        <f t="shared" si="4"/>
        <v>176</v>
      </c>
      <c r="AY19" s="98">
        <f t="shared" si="31"/>
        <v>0</v>
      </c>
      <c r="AZ19" s="98">
        <f t="shared" si="32"/>
        <v>0</v>
      </c>
      <c r="BA19" s="98">
        <f t="shared" si="33"/>
        <v>0</v>
      </c>
      <c r="BB19" s="98">
        <f t="shared" si="34"/>
        <v>0</v>
      </c>
      <c r="BC19" s="98">
        <f t="shared" si="35"/>
        <v>0</v>
      </c>
      <c r="BD19" s="98">
        <f t="shared" si="5"/>
        <v>0</v>
      </c>
      <c r="BE19" s="98">
        <f t="shared" si="6"/>
        <v>4507.5468770726493</v>
      </c>
      <c r="BF19" s="98">
        <f t="shared" si="36"/>
        <v>0</v>
      </c>
      <c r="BG19" s="98">
        <f t="shared" si="37"/>
        <v>0</v>
      </c>
      <c r="BH19" s="98">
        <f t="shared" si="38"/>
        <v>0</v>
      </c>
      <c r="BI19" s="98">
        <f t="shared" si="7"/>
        <v>0</v>
      </c>
      <c r="BJ19" s="98">
        <f t="shared" si="8"/>
        <v>0</v>
      </c>
      <c r="BK19" s="98">
        <f t="shared" si="9"/>
        <v>3606.0375016581183</v>
      </c>
      <c r="BL19" s="98">
        <f t="shared" si="39"/>
        <v>0</v>
      </c>
      <c r="BM19" s="98">
        <f t="shared" si="40"/>
        <v>0</v>
      </c>
      <c r="BN19" s="98">
        <f t="shared" si="10"/>
        <v>0</v>
      </c>
      <c r="BO19" s="98">
        <f t="shared" si="41"/>
        <v>0</v>
      </c>
      <c r="BP19" s="98">
        <f t="shared" si="42"/>
        <v>0</v>
      </c>
      <c r="BQ19" s="98">
        <f t="shared" si="43"/>
        <v>0</v>
      </c>
      <c r="BR19" s="98">
        <f t="shared" si="44"/>
        <v>0</v>
      </c>
    </row>
    <row r="20" spans="1:70" x14ac:dyDescent="0.25">
      <c r="A20" t="s">
        <v>76</v>
      </c>
      <c r="B20" t="s">
        <v>15</v>
      </c>
      <c r="C20">
        <v>2025</v>
      </c>
      <c r="D20" s="98">
        <f>INDEX('Reference Sheet'!$G$9:$J$100, MATCH(A20,'Reference Sheet'!$F$9:$F$100,0), MATCH(C20,'Reference Sheet'!$G$8:$J$8,0))/2080</f>
        <v>37.647947115384611</v>
      </c>
      <c r="E20" s="99">
        <f>VLOOKUP(C20,'Reference Sheet'!$A$2:$B$5,2)</f>
        <v>0.22450000000000001</v>
      </c>
      <c r="F20" s="98">
        <f t="shared" si="0"/>
        <v>46.099911242788451</v>
      </c>
      <c r="G20" s="98"/>
      <c r="H20" s="98"/>
      <c r="I20" s="21"/>
      <c r="J20" s="21"/>
      <c r="K20" s="21"/>
      <c r="L20" s="21"/>
      <c r="M20" s="21">
        <v>100</v>
      </c>
      <c r="N20" s="21"/>
      <c r="O20" s="21"/>
      <c r="P20" s="21"/>
      <c r="Q20" s="21"/>
      <c r="R20" s="21"/>
      <c r="S20" s="21">
        <v>80</v>
      </c>
      <c r="T20" s="21"/>
      <c r="U20" s="21"/>
      <c r="V20" s="21"/>
      <c r="W20" s="21"/>
      <c r="X20" s="21"/>
      <c r="Y20" s="21"/>
      <c r="Z20" s="21"/>
      <c r="AA20" s="98">
        <f t="shared" si="1"/>
        <v>180</v>
      </c>
      <c r="AB20" s="98">
        <f>IF(OR(B20="",C20=""),"",SUMIFS('Reference Sheet'!$D$9:$D$42,'Reference Sheet'!$A$9:$A$42,C20,'Reference Sheet'!$B$9:$B$42,B20))</f>
        <v>184</v>
      </c>
      <c r="AC20" s="98">
        <f t="shared" si="2"/>
        <v>4</v>
      </c>
      <c r="AD20" s="100">
        <f t="shared" si="11"/>
        <v>0</v>
      </c>
      <c r="AE20" s="100">
        <f t="shared" si="12"/>
        <v>0</v>
      </c>
      <c r="AF20" s="100">
        <f t="shared" si="13"/>
        <v>0</v>
      </c>
      <c r="AG20" s="100">
        <f t="shared" si="14"/>
        <v>0</v>
      </c>
      <c r="AH20" s="100">
        <f t="shared" si="15"/>
        <v>0</v>
      </c>
      <c r="AI20" s="100">
        <f t="shared" si="16"/>
        <v>0</v>
      </c>
      <c r="AJ20" s="100">
        <f t="shared" si="17"/>
        <v>102.22222222222223</v>
      </c>
      <c r="AK20" s="100">
        <f t="shared" si="18"/>
        <v>0</v>
      </c>
      <c r="AL20" s="100">
        <f t="shared" si="19"/>
        <v>0</v>
      </c>
      <c r="AM20" s="100">
        <f t="shared" si="20"/>
        <v>0</v>
      </c>
      <c r="AN20" s="100">
        <f t="shared" si="21"/>
        <v>0</v>
      </c>
      <c r="AO20" s="100">
        <f t="shared" si="22"/>
        <v>0</v>
      </c>
      <c r="AP20" s="100">
        <f t="shared" si="23"/>
        <v>81.777777777777771</v>
      </c>
      <c r="AQ20" s="100">
        <f t="shared" si="24"/>
        <v>0</v>
      </c>
      <c r="AR20" s="100">
        <f t="shared" si="25"/>
        <v>0</v>
      </c>
      <c r="AS20" s="100">
        <f t="shared" si="26"/>
        <v>0</v>
      </c>
      <c r="AT20" s="100">
        <f t="shared" si="27"/>
        <v>0</v>
      </c>
      <c r="AU20" s="100">
        <f t="shared" si="28"/>
        <v>0</v>
      </c>
      <c r="AV20" s="100">
        <f t="shared" si="29"/>
        <v>0</v>
      </c>
      <c r="AW20" s="100">
        <f t="shared" si="30"/>
        <v>0</v>
      </c>
      <c r="AX20">
        <f t="shared" si="4"/>
        <v>184</v>
      </c>
      <c r="AY20" s="98">
        <f t="shared" si="31"/>
        <v>0</v>
      </c>
      <c r="AZ20" s="98">
        <f t="shared" si="32"/>
        <v>0</v>
      </c>
      <c r="BA20" s="98">
        <f t="shared" si="33"/>
        <v>0</v>
      </c>
      <c r="BB20" s="98">
        <f t="shared" si="34"/>
        <v>0</v>
      </c>
      <c r="BC20" s="98">
        <f t="shared" si="35"/>
        <v>0</v>
      </c>
      <c r="BD20" s="98">
        <f t="shared" si="5"/>
        <v>0</v>
      </c>
      <c r="BE20" s="98">
        <f t="shared" si="6"/>
        <v>4712.4353714850422</v>
      </c>
      <c r="BF20" s="98">
        <f t="shared" si="36"/>
        <v>0</v>
      </c>
      <c r="BG20" s="98">
        <f t="shared" si="37"/>
        <v>0</v>
      </c>
      <c r="BH20" s="98">
        <f t="shared" si="38"/>
        <v>0</v>
      </c>
      <c r="BI20" s="98">
        <f t="shared" si="7"/>
        <v>0</v>
      </c>
      <c r="BJ20" s="98">
        <f t="shared" si="8"/>
        <v>0</v>
      </c>
      <c r="BK20" s="98">
        <f t="shared" si="9"/>
        <v>3769.9482971880329</v>
      </c>
      <c r="BL20" s="98">
        <f t="shared" si="39"/>
        <v>0</v>
      </c>
      <c r="BM20" s="98">
        <f t="shared" si="40"/>
        <v>0</v>
      </c>
      <c r="BN20" s="98">
        <f t="shared" si="10"/>
        <v>0</v>
      </c>
      <c r="BO20" s="98">
        <f t="shared" si="41"/>
        <v>0</v>
      </c>
      <c r="BP20" s="98">
        <f t="shared" si="42"/>
        <v>0</v>
      </c>
      <c r="BQ20" s="98">
        <f t="shared" si="43"/>
        <v>0</v>
      </c>
      <c r="BR20" s="98">
        <f t="shared" si="44"/>
        <v>0</v>
      </c>
    </row>
    <row r="21" spans="1:70" x14ac:dyDescent="0.25">
      <c r="A21" t="s">
        <v>76</v>
      </c>
      <c r="B21" t="s">
        <v>16</v>
      </c>
      <c r="C21">
        <v>2025</v>
      </c>
      <c r="D21" s="98">
        <f>INDEX('Reference Sheet'!$G$9:$J$100, MATCH(A21,'Reference Sheet'!$F$9:$F$100,0), MATCH(C21,'Reference Sheet'!$G$8:$J$8,0))/2080</f>
        <v>37.647947115384611</v>
      </c>
      <c r="E21" s="99">
        <f>VLOOKUP(C21,'Reference Sheet'!$A$2:$B$5,2)</f>
        <v>0.22450000000000001</v>
      </c>
      <c r="F21" s="98">
        <f t="shared" si="0"/>
        <v>46.099911242788451</v>
      </c>
      <c r="G21" s="98"/>
      <c r="H21" s="98"/>
      <c r="I21" s="21"/>
      <c r="J21" s="21"/>
      <c r="K21" s="21"/>
      <c r="L21" s="21"/>
      <c r="M21" s="21">
        <v>100</v>
      </c>
      <c r="N21" s="21"/>
      <c r="O21" s="21"/>
      <c r="P21" s="21"/>
      <c r="Q21" s="21"/>
      <c r="R21" s="21"/>
      <c r="S21" s="21">
        <v>80</v>
      </c>
      <c r="T21" s="21"/>
      <c r="U21" s="21"/>
      <c r="V21" s="21"/>
      <c r="W21" s="21"/>
      <c r="X21" s="21"/>
      <c r="Y21" s="21"/>
      <c r="Z21" s="21"/>
      <c r="AA21" s="98">
        <f t="shared" si="1"/>
        <v>180</v>
      </c>
      <c r="AB21" s="98">
        <f>IF(OR(B21="",C21=""),"",SUMIFS('Reference Sheet'!$D$9:$D$42,'Reference Sheet'!$A$9:$A$42,C21,'Reference Sheet'!$B$9:$B$42,B21))</f>
        <v>160</v>
      </c>
      <c r="AC21" s="98">
        <f t="shared" si="2"/>
        <v>-20</v>
      </c>
      <c r="AD21" s="100">
        <f t="shared" si="11"/>
        <v>0</v>
      </c>
      <c r="AE21" s="100">
        <f t="shared" si="12"/>
        <v>0</v>
      </c>
      <c r="AF21" s="100">
        <f t="shared" si="13"/>
        <v>0</v>
      </c>
      <c r="AG21" s="100">
        <f t="shared" si="14"/>
        <v>0</v>
      </c>
      <c r="AH21" s="100">
        <f t="shared" si="15"/>
        <v>0</v>
      </c>
      <c r="AI21" s="100">
        <f t="shared" si="16"/>
        <v>0</v>
      </c>
      <c r="AJ21" s="100">
        <f t="shared" si="17"/>
        <v>88.888888888888886</v>
      </c>
      <c r="AK21" s="100">
        <f t="shared" si="18"/>
        <v>0</v>
      </c>
      <c r="AL21" s="100">
        <f t="shared" si="19"/>
        <v>0</v>
      </c>
      <c r="AM21" s="100">
        <f t="shared" si="20"/>
        <v>0</v>
      </c>
      <c r="AN21" s="100">
        <f t="shared" si="21"/>
        <v>0</v>
      </c>
      <c r="AO21" s="100">
        <f t="shared" si="22"/>
        <v>0</v>
      </c>
      <c r="AP21" s="100">
        <f t="shared" si="23"/>
        <v>71.111111111111114</v>
      </c>
      <c r="AQ21" s="100">
        <f t="shared" si="24"/>
        <v>0</v>
      </c>
      <c r="AR21" s="100">
        <f t="shared" si="25"/>
        <v>0</v>
      </c>
      <c r="AS21" s="100">
        <f t="shared" si="26"/>
        <v>0</v>
      </c>
      <c r="AT21" s="100">
        <f t="shared" si="27"/>
        <v>0</v>
      </c>
      <c r="AU21" s="100">
        <f t="shared" si="28"/>
        <v>0</v>
      </c>
      <c r="AV21" s="100">
        <f t="shared" si="29"/>
        <v>0</v>
      </c>
      <c r="AW21" s="100">
        <f t="shared" si="30"/>
        <v>0</v>
      </c>
      <c r="AX21">
        <f t="shared" si="4"/>
        <v>160</v>
      </c>
      <c r="AY21" s="98">
        <f t="shared" si="31"/>
        <v>0</v>
      </c>
      <c r="AZ21" s="98">
        <f t="shared" si="32"/>
        <v>0</v>
      </c>
      <c r="BA21" s="98">
        <f t="shared" si="33"/>
        <v>0</v>
      </c>
      <c r="BB21" s="98">
        <f t="shared" si="34"/>
        <v>0</v>
      </c>
      <c r="BC21" s="98">
        <f t="shared" si="35"/>
        <v>0</v>
      </c>
      <c r="BD21" s="98">
        <f t="shared" si="5"/>
        <v>0</v>
      </c>
      <c r="BE21" s="98">
        <f t="shared" si="6"/>
        <v>4097.7698882478626</v>
      </c>
      <c r="BF21" s="98">
        <f t="shared" si="36"/>
        <v>0</v>
      </c>
      <c r="BG21" s="98">
        <f t="shared" si="37"/>
        <v>0</v>
      </c>
      <c r="BH21" s="98">
        <f t="shared" si="38"/>
        <v>0</v>
      </c>
      <c r="BI21" s="98">
        <f t="shared" si="7"/>
        <v>0</v>
      </c>
      <c r="BJ21" s="98">
        <f t="shared" si="8"/>
        <v>0</v>
      </c>
      <c r="BK21" s="98">
        <f t="shared" si="9"/>
        <v>3278.2159105982901</v>
      </c>
      <c r="BL21" s="98">
        <f t="shared" si="39"/>
        <v>0</v>
      </c>
      <c r="BM21" s="98">
        <f t="shared" si="40"/>
        <v>0</v>
      </c>
      <c r="BN21" s="98">
        <f t="shared" si="10"/>
        <v>0</v>
      </c>
      <c r="BO21" s="98">
        <f t="shared" si="41"/>
        <v>0</v>
      </c>
      <c r="BP21" s="98">
        <f t="shared" si="42"/>
        <v>0</v>
      </c>
      <c r="BQ21" s="98">
        <f t="shared" si="43"/>
        <v>0</v>
      </c>
      <c r="BR21" s="98">
        <f t="shared" si="44"/>
        <v>0</v>
      </c>
    </row>
    <row r="22" spans="1:70" x14ac:dyDescent="0.25">
      <c r="A22" t="s">
        <v>76</v>
      </c>
      <c r="B22" t="s">
        <v>17</v>
      </c>
      <c r="C22">
        <v>2025</v>
      </c>
      <c r="D22" s="98">
        <f>INDEX('Reference Sheet'!$G$9:$J$100, MATCH(A22,'Reference Sheet'!$F$9:$F$100,0), MATCH(C22,'Reference Sheet'!$G$8:$J$8,0))/2080</f>
        <v>37.647947115384611</v>
      </c>
      <c r="E22" s="99">
        <f>VLOOKUP(C22,'Reference Sheet'!$A$2:$B$5,2)</f>
        <v>0.22450000000000001</v>
      </c>
      <c r="F22" s="98">
        <f t="shared" si="0"/>
        <v>46.099911242788451</v>
      </c>
      <c r="G22" s="98"/>
      <c r="H22" s="98"/>
      <c r="I22" s="21"/>
      <c r="J22" s="21"/>
      <c r="K22" s="21"/>
      <c r="L22" s="21"/>
      <c r="M22" s="21">
        <v>100</v>
      </c>
      <c r="N22" s="21"/>
      <c r="O22" s="21"/>
      <c r="P22" s="21"/>
      <c r="Q22" s="21"/>
      <c r="R22" s="21"/>
      <c r="S22" s="21">
        <v>80</v>
      </c>
      <c r="T22" s="21"/>
      <c r="U22" s="21"/>
      <c r="V22" s="21"/>
      <c r="W22" s="21"/>
      <c r="X22" s="21"/>
      <c r="Y22" s="21"/>
      <c r="Z22" s="21"/>
      <c r="AA22" s="98">
        <f t="shared" si="1"/>
        <v>180</v>
      </c>
      <c r="AB22" s="98">
        <f>IF(OR(B22="",C22=""),"",SUMIFS('Reference Sheet'!$D$9:$D$42,'Reference Sheet'!$A$9:$A$42,C22,'Reference Sheet'!$B$9:$B$42,B22))</f>
        <v>184</v>
      </c>
      <c r="AC22" s="98">
        <f t="shared" si="2"/>
        <v>4</v>
      </c>
      <c r="AD22" s="100">
        <f t="shared" si="11"/>
        <v>0</v>
      </c>
      <c r="AE22" s="100">
        <f t="shared" si="12"/>
        <v>0</v>
      </c>
      <c r="AF22" s="100">
        <f t="shared" si="13"/>
        <v>0</v>
      </c>
      <c r="AG22" s="100">
        <f t="shared" si="14"/>
        <v>0</v>
      </c>
      <c r="AH22" s="100">
        <f t="shared" si="15"/>
        <v>0</v>
      </c>
      <c r="AI22" s="100">
        <f t="shared" si="16"/>
        <v>0</v>
      </c>
      <c r="AJ22" s="100">
        <f t="shared" si="17"/>
        <v>102.22222222222223</v>
      </c>
      <c r="AK22" s="100">
        <f t="shared" si="18"/>
        <v>0</v>
      </c>
      <c r="AL22" s="100">
        <f t="shared" si="19"/>
        <v>0</v>
      </c>
      <c r="AM22" s="100">
        <f t="shared" si="20"/>
        <v>0</v>
      </c>
      <c r="AN22" s="100">
        <f t="shared" si="21"/>
        <v>0</v>
      </c>
      <c r="AO22" s="100">
        <f t="shared" si="22"/>
        <v>0</v>
      </c>
      <c r="AP22" s="100">
        <f t="shared" si="23"/>
        <v>81.777777777777771</v>
      </c>
      <c r="AQ22" s="100">
        <f t="shared" si="24"/>
        <v>0</v>
      </c>
      <c r="AR22" s="100">
        <f t="shared" si="25"/>
        <v>0</v>
      </c>
      <c r="AS22" s="100">
        <f t="shared" si="26"/>
        <v>0</v>
      </c>
      <c r="AT22" s="100">
        <f t="shared" si="27"/>
        <v>0</v>
      </c>
      <c r="AU22" s="100">
        <f t="shared" si="28"/>
        <v>0</v>
      </c>
      <c r="AV22" s="100">
        <f t="shared" si="29"/>
        <v>0</v>
      </c>
      <c r="AW22" s="100">
        <f t="shared" si="30"/>
        <v>0</v>
      </c>
      <c r="AX22">
        <f t="shared" si="4"/>
        <v>184</v>
      </c>
      <c r="AY22" s="98">
        <f t="shared" si="31"/>
        <v>0</v>
      </c>
      <c r="AZ22" s="98">
        <f t="shared" si="32"/>
        <v>0</v>
      </c>
      <c r="BA22" s="98">
        <f t="shared" si="33"/>
        <v>0</v>
      </c>
      <c r="BB22" s="98">
        <f t="shared" si="34"/>
        <v>0</v>
      </c>
      <c r="BC22" s="98">
        <f t="shared" si="35"/>
        <v>0</v>
      </c>
      <c r="BD22" s="98">
        <f t="shared" si="5"/>
        <v>0</v>
      </c>
      <c r="BE22" s="98">
        <f t="shared" si="6"/>
        <v>4712.4353714850422</v>
      </c>
      <c r="BF22" s="98">
        <f t="shared" si="36"/>
        <v>0</v>
      </c>
      <c r="BG22" s="98">
        <f t="shared" si="37"/>
        <v>0</v>
      </c>
      <c r="BH22" s="98">
        <f t="shared" si="38"/>
        <v>0</v>
      </c>
      <c r="BI22" s="98">
        <f t="shared" si="7"/>
        <v>0</v>
      </c>
      <c r="BJ22" s="98">
        <f t="shared" si="8"/>
        <v>0</v>
      </c>
      <c r="BK22" s="98">
        <f t="shared" si="9"/>
        <v>3769.9482971880329</v>
      </c>
      <c r="BL22" s="98">
        <f t="shared" si="39"/>
        <v>0</v>
      </c>
      <c r="BM22" s="98">
        <f t="shared" si="40"/>
        <v>0</v>
      </c>
      <c r="BN22" s="98">
        <f t="shared" si="10"/>
        <v>0</v>
      </c>
      <c r="BO22" s="98">
        <f t="shared" si="41"/>
        <v>0</v>
      </c>
      <c r="BP22" s="98">
        <f t="shared" si="42"/>
        <v>0</v>
      </c>
      <c r="BQ22" s="98">
        <f t="shared" si="43"/>
        <v>0</v>
      </c>
      <c r="BR22" s="98">
        <f t="shared" si="44"/>
        <v>0</v>
      </c>
    </row>
    <row r="23" spans="1:70" x14ac:dyDescent="0.25">
      <c r="A23" t="s">
        <v>76</v>
      </c>
      <c r="B23" t="s">
        <v>11</v>
      </c>
      <c r="C23">
        <v>2025</v>
      </c>
      <c r="D23" s="98">
        <f>INDEX('Reference Sheet'!$G$9:$J$100, MATCH(A23,'Reference Sheet'!$F$9:$F$100,0), MATCH(C23,'Reference Sheet'!$G$8:$J$8,0))/2080</f>
        <v>37.647947115384611</v>
      </c>
      <c r="E23" s="99">
        <f>VLOOKUP(C23,'Reference Sheet'!$A$2:$B$5,2)</f>
        <v>0.22450000000000001</v>
      </c>
      <c r="F23" s="98">
        <f t="shared" si="0"/>
        <v>46.099911242788451</v>
      </c>
      <c r="G23" s="98"/>
      <c r="H23" s="98"/>
      <c r="I23" s="32"/>
      <c r="J23" s="32"/>
      <c r="K23" s="32"/>
      <c r="L23" s="32"/>
      <c r="M23" s="32">
        <v>100</v>
      </c>
      <c r="N23" s="32"/>
      <c r="O23" s="32"/>
      <c r="P23" s="32"/>
      <c r="Q23" s="32"/>
      <c r="R23" s="32"/>
      <c r="S23" s="32">
        <v>92</v>
      </c>
      <c r="T23" s="32"/>
      <c r="U23" s="32"/>
      <c r="V23" s="32"/>
      <c r="W23" s="32"/>
      <c r="X23" s="32"/>
      <c r="Y23" s="32"/>
      <c r="Z23" s="32"/>
      <c r="AA23" s="98">
        <f t="shared" si="1"/>
        <v>192</v>
      </c>
      <c r="AB23" s="98">
        <f>IF(OR(B23="",C23=""),"",SUMIFS('Reference Sheet'!$D$9:$D$42,'Reference Sheet'!$A$9:$A$42,C23,'Reference Sheet'!$B$9:$B$42,B23))</f>
        <v>168</v>
      </c>
      <c r="AC23" s="98">
        <f t="shared" si="2"/>
        <v>-24</v>
      </c>
      <c r="AD23" s="100">
        <f t="shared" si="11"/>
        <v>0</v>
      </c>
      <c r="AE23" s="100">
        <f t="shared" si="12"/>
        <v>0</v>
      </c>
      <c r="AF23" s="100">
        <f t="shared" si="13"/>
        <v>0</v>
      </c>
      <c r="AG23" s="100">
        <f t="shared" si="14"/>
        <v>0</v>
      </c>
      <c r="AH23" s="100">
        <f t="shared" si="15"/>
        <v>0</v>
      </c>
      <c r="AI23" s="100">
        <f t="shared" si="16"/>
        <v>0</v>
      </c>
      <c r="AJ23" s="100">
        <f t="shared" si="17"/>
        <v>87.5</v>
      </c>
      <c r="AK23" s="100">
        <f t="shared" si="18"/>
        <v>0</v>
      </c>
      <c r="AL23" s="100">
        <f t="shared" si="19"/>
        <v>0</v>
      </c>
      <c r="AM23" s="100">
        <f t="shared" si="20"/>
        <v>0</v>
      </c>
      <c r="AN23" s="100">
        <f t="shared" si="21"/>
        <v>0</v>
      </c>
      <c r="AO23" s="100">
        <f t="shared" si="22"/>
        <v>0</v>
      </c>
      <c r="AP23" s="100">
        <f t="shared" si="23"/>
        <v>80.5</v>
      </c>
      <c r="AQ23" s="100">
        <f t="shared" si="24"/>
        <v>0</v>
      </c>
      <c r="AR23" s="100">
        <f t="shared" si="25"/>
        <v>0</v>
      </c>
      <c r="AS23" s="100">
        <f t="shared" si="26"/>
        <v>0</v>
      </c>
      <c r="AT23" s="100">
        <f t="shared" si="27"/>
        <v>0</v>
      </c>
      <c r="AU23" s="100">
        <f t="shared" si="28"/>
        <v>0</v>
      </c>
      <c r="AV23" s="100">
        <f t="shared" si="29"/>
        <v>0</v>
      </c>
      <c r="AW23" s="100">
        <f t="shared" si="30"/>
        <v>0</v>
      </c>
      <c r="AX23">
        <f t="shared" si="4"/>
        <v>168</v>
      </c>
      <c r="AY23" s="98">
        <f t="shared" si="31"/>
        <v>0</v>
      </c>
      <c r="AZ23" s="98">
        <f t="shared" si="32"/>
        <v>0</v>
      </c>
      <c r="BA23" s="98">
        <f t="shared" si="33"/>
        <v>0</v>
      </c>
      <c r="BB23" s="98">
        <f t="shared" si="34"/>
        <v>0</v>
      </c>
      <c r="BC23" s="98">
        <f t="shared" si="35"/>
        <v>0</v>
      </c>
      <c r="BD23" s="98">
        <f t="shared" si="5"/>
        <v>0</v>
      </c>
      <c r="BE23" s="98">
        <f t="shared" si="6"/>
        <v>4033.7422337439893</v>
      </c>
      <c r="BF23" s="98">
        <f t="shared" si="36"/>
        <v>0</v>
      </c>
      <c r="BG23" s="98">
        <f t="shared" si="37"/>
        <v>0</v>
      </c>
      <c r="BH23" s="98">
        <f t="shared" si="38"/>
        <v>0</v>
      </c>
      <c r="BI23" s="98">
        <f t="shared" si="7"/>
        <v>0</v>
      </c>
      <c r="BJ23" s="98">
        <f t="shared" si="8"/>
        <v>0</v>
      </c>
      <c r="BK23" s="98">
        <f t="shared" si="9"/>
        <v>3711.0428550444703</v>
      </c>
      <c r="BL23" s="98">
        <f t="shared" si="39"/>
        <v>0</v>
      </c>
      <c r="BM23" s="98">
        <f t="shared" si="40"/>
        <v>0</v>
      </c>
      <c r="BN23" s="98">
        <f t="shared" si="10"/>
        <v>0</v>
      </c>
      <c r="BO23" s="98">
        <f t="shared" si="41"/>
        <v>0</v>
      </c>
      <c r="BP23" s="98">
        <f t="shared" si="42"/>
        <v>0</v>
      </c>
      <c r="BQ23" s="98">
        <f t="shared" si="43"/>
        <v>0</v>
      </c>
      <c r="BR23" s="98">
        <f t="shared" si="44"/>
        <v>0</v>
      </c>
    </row>
    <row r="24" spans="1:70" x14ac:dyDescent="0.25">
      <c r="A24" t="s">
        <v>76</v>
      </c>
      <c r="B24" t="s">
        <v>7</v>
      </c>
      <c r="C24">
        <v>2026</v>
      </c>
      <c r="D24" s="98">
        <f>INDEX('Reference Sheet'!$G$9:$J$100, MATCH(A24,'Reference Sheet'!$F$9:$F$100,0), MATCH(C24,'Reference Sheet'!$G$8:$J$8,0))/2080</f>
        <v>38.942307692307693</v>
      </c>
      <c r="E24" s="99">
        <f>VLOOKUP(C24,'Reference Sheet'!$A$2:$B$5,2)</f>
        <v>0.23630000000000001</v>
      </c>
      <c r="F24" s="98">
        <f t="shared" si="0"/>
        <v>48.144374999999997</v>
      </c>
      <c r="G24" s="98"/>
      <c r="H24" s="98"/>
      <c r="I24" s="21"/>
      <c r="J24" s="21"/>
      <c r="K24" s="21"/>
      <c r="L24" s="21"/>
      <c r="M24" s="21">
        <v>128</v>
      </c>
      <c r="N24" s="21"/>
      <c r="O24" s="21"/>
      <c r="P24" s="21"/>
      <c r="Q24" s="21"/>
      <c r="R24" s="21"/>
      <c r="S24" s="21">
        <v>33</v>
      </c>
      <c r="T24" s="21"/>
      <c r="U24" s="21"/>
      <c r="V24" s="21"/>
      <c r="W24" s="21"/>
      <c r="X24" s="21"/>
      <c r="Y24" s="21"/>
      <c r="Z24" s="21"/>
      <c r="AA24" s="98">
        <f t="shared" si="1"/>
        <v>161</v>
      </c>
      <c r="AB24" s="98">
        <f>IF(OR(B24="",C24=""),"",SUMIFS('Reference Sheet'!$D$9:$D$42,'Reference Sheet'!$A$9:$A$42,C24,'Reference Sheet'!$B$9:$B$42,B24))</f>
        <v>160</v>
      </c>
      <c r="AC24" s="98">
        <f t="shared" si="2"/>
        <v>-1</v>
      </c>
      <c r="AD24" s="100">
        <f t="shared" si="11"/>
        <v>0</v>
      </c>
      <c r="AE24" s="100">
        <f t="shared" si="12"/>
        <v>0</v>
      </c>
      <c r="AF24" s="100">
        <f t="shared" si="13"/>
        <v>0</v>
      </c>
      <c r="AG24" s="100">
        <f t="shared" si="14"/>
        <v>0</v>
      </c>
      <c r="AH24" s="100">
        <f t="shared" si="15"/>
        <v>0</v>
      </c>
      <c r="AI24" s="100">
        <f t="shared" si="16"/>
        <v>0</v>
      </c>
      <c r="AJ24" s="100">
        <f t="shared" si="17"/>
        <v>127.20496894409936</v>
      </c>
      <c r="AK24" s="100">
        <f t="shared" si="18"/>
        <v>0</v>
      </c>
      <c r="AL24" s="100">
        <f t="shared" si="19"/>
        <v>0</v>
      </c>
      <c r="AM24" s="100">
        <f t="shared" si="20"/>
        <v>0</v>
      </c>
      <c r="AN24" s="100">
        <f t="shared" si="21"/>
        <v>0</v>
      </c>
      <c r="AO24" s="100">
        <f t="shared" si="22"/>
        <v>0</v>
      </c>
      <c r="AP24" s="100">
        <f t="shared" si="23"/>
        <v>32.795031055900623</v>
      </c>
      <c r="AQ24" s="100">
        <f t="shared" si="24"/>
        <v>0</v>
      </c>
      <c r="AR24" s="100">
        <f t="shared" si="25"/>
        <v>0</v>
      </c>
      <c r="AS24" s="100">
        <f t="shared" si="26"/>
        <v>0</v>
      </c>
      <c r="AT24" s="100">
        <f t="shared" si="27"/>
        <v>0</v>
      </c>
      <c r="AU24" s="100">
        <f t="shared" si="28"/>
        <v>0</v>
      </c>
      <c r="AV24" s="100">
        <f t="shared" si="29"/>
        <v>0</v>
      </c>
      <c r="AW24" s="100">
        <f t="shared" si="30"/>
        <v>0</v>
      </c>
      <c r="AX24">
        <f t="shared" si="4"/>
        <v>160</v>
      </c>
      <c r="AY24" s="98">
        <f t="shared" si="31"/>
        <v>0</v>
      </c>
      <c r="AZ24" s="98">
        <f t="shared" si="32"/>
        <v>0</v>
      </c>
      <c r="BA24" s="98">
        <f t="shared" si="33"/>
        <v>0</v>
      </c>
      <c r="BB24" s="98">
        <f t="shared" si="34"/>
        <v>0</v>
      </c>
      <c r="BC24" s="98">
        <f t="shared" si="35"/>
        <v>0</v>
      </c>
      <c r="BD24" s="98">
        <f t="shared" si="5"/>
        <v>0</v>
      </c>
      <c r="BE24" s="98">
        <f t="shared" si="6"/>
        <v>6124.2037267080732</v>
      </c>
      <c r="BF24" s="98">
        <f t="shared" si="36"/>
        <v>0</v>
      </c>
      <c r="BG24" s="98">
        <f t="shared" si="37"/>
        <v>0</v>
      </c>
      <c r="BH24" s="98">
        <f t="shared" si="38"/>
        <v>0</v>
      </c>
      <c r="BI24" s="98">
        <f t="shared" si="7"/>
        <v>0</v>
      </c>
      <c r="BJ24" s="98">
        <f t="shared" si="8"/>
        <v>0</v>
      </c>
      <c r="BK24" s="98">
        <f t="shared" si="9"/>
        <v>1578.8962732919254</v>
      </c>
      <c r="BL24" s="98">
        <f t="shared" si="39"/>
        <v>0</v>
      </c>
      <c r="BM24" s="98">
        <f t="shared" si="40"/>
        <v>0</v>
      </c>
      <c r="BN24" s="98">
        <f t="shared" si="10"/>
        <v>0</v>
      </c>
      <c r="BO24" s="98">
        <f t="shared" si="41"/>
        <v>0</v>
      </c>
      <c r="BP24" s="98">
        <f t="shared" si="42"/>
        <v>0</v>
      </c>
      <c r="BQ24" s="98">
        <f t="shared" si="43"/>
        <v>0</v>
      </c>
      <c r="BR24" s="98">
        <f t="shared" si="44"/>
        <v>0</v>
      </c>
    </row>
    <row r="25" spans="1:70" x14ac:dyDescent="0.25">
      <c r="A25" t="s">
        <v>76</v>
      </c>
      <c r="B25" t="s">
        <v>10</v>
      </c>
      <c r="C25">
        <v>2026</v>
      </c>
      <c r="D25" s="98">
        <f>INDEX('Reference Sheet'!$G$9:$J$100, MATCH(A25,'Reference Sheet'!$F$9:$F$100,0), MATCH(C25,'Reference Sheet'!$G$8:$J$8,0))/2080</f>
        <v>38.942307692307693</v>
      </c>
      <c r="E25" s="99">
        <f>VLOOKUP(C25,'Reference Sheet'!$A$2:$B$5,2)</f>
        <v>0.23630000000000001</v>
      </c>
      <c r="F25" s="98">
        <f t="shared" si="0"/>
        <v>48.144374999999997</v>
      </c>
      <c r="G25" s="98"/>
      <c r="H25" s="98"/>
      <c r="I25" s="21"/>
      <c r="J25" s="21"/>
      <c r="K25" s="21"/>
      <c r="L25" s="21"/>
      <c r="M25" s="21">
        <v>136</v>
      </c>
      <c r="N25" s="21"/>
      <c r="O25" s="21"/>
      <c r="P25" s="21"/>
      <c r="Q25" s="21"/>
      <c r="R25" s="21"/>
      <c r="S25" s="21">
        <v>42</v>
      </c>
      <c r="T25" s="21"/>
      <c r="U25" s="21"/>
      <c r="V25" s="21"/>
      <c r="W25" s="21"/>
      <c r="X25" s="21"/>
      <c r="Y25" s="21"/>
      <c r="Z25" s="21"/>
      <c r="AA25" s="98">
        <f t="shared" si="1"/>
        <v>178</v>
      </c>
      <c r="AB25" s="98">
        <f>IF(OR(B25="",C25=""),"",SUMIFS('Reference Sheet'!$D$9:$D$42,'Reference Sheet'!$A$9:$A$42,C25,'Reference Sheet'!$B$9:$B$42,B25))</f>
        <v>168</v>
      </c>
      <c r="AC25" s="98">
        <f t="shared" si="2"/>
        <v>-10</v>
      </c>
      <c r="AD25" s="100">
        <f t="shared" si="11"/>
        <v>0</v>
      </c>
      <c r="AE25" s="100">
        <f t="shared" si="12"/>
        <v>0</v>
      </c>
      <c r="AF25" s="100">
        <f t="shared" si="13"/>
        <v>0</v>
      </c>
      <c r="AG25" s="100">
        <f t="shared" si="14"/>
        <v>0</v>
      </c>
      <c r="AH25" s="100">
        <f t="shared" si="15"/>
        <v>0</v>
      </c>
      <c r="AI25" s="100">
        <f t="shared" si="16"/>
        <v>0</v>
      </c>
      <c r="AJ25" s="100">
        <f t="shared" si="17"/>
        <v>128.35955056179776</v>
      </c>
      <c r="AK25" s="100">
        <f t="shared" si="18"/>
        <v>0</v>
      </c>
      <c r="AL25" s="100">
        <f t="shared" si="19"/>
        <v>0</v>
      </c>
      <c r="AM25" s="100">
        <f t="shared" si="20"/>
        <v>0</v>
      </c>
      <c r="AN25" s="100">
        <f t="shared" si="21"/>
        <v>0</v>
      </c>
      <c r="AO25" s="100">
        <f t="shared" si="22"/>
        <v>0</v>
      </c>
      <c r="AP25" s="100">
        <f t="shared" si="23"/>
        <v>39.640449438202246</v>
      </c>
      <c r="AQ25" s="100">
        <f t="shared" si="24"/>
        <v>0</v>
      </c>
      <c r="AR25" s="100">
        <f t="shared" si="25"/>
        <v>0</v>
      </c>
      <c r="AS25" s="100">
        <f t="shared" si="26"/>
        <v>0</v>
      </c>
      <c r="AT25" s="100">
        <f t="shared" si="27"/>
        <v>0</v>
      </c>
      <c r="AU25" s="100">
        <f t="shared" si="28"/>
        <v>0</v>
      </c>
      <c r="AV25" s="100">
        <f t="shared" si="29"/>
        <v>0</v>
      </c>
      <c r="AW25" s="100">
        <f t="shared" si="30"/>
        <v>0</v>
      </c>
      <c r="AX25">
        <f t="shared" si="4"/>
        <v>168</v>
      </c>
      <c r="AY25" s="98">
        <f t="shared" si="31"/>
        <v>0</v>
      </c>
      <c r="AZ25" s="98">
        <f t="shared" si="32"/>
        <v>0</v>
      </c>
      <c r="BA25" s="98">
        <f t="shared" si="33"/>
        <v>0</v>
      </c>
      <c r="BB25" s="98">
        <f t="shared" si="34"/>
        <v>0</v>
      </c>
      <c r="BC25" s="98">
        <f t="shared" si="35"/>
        <v>0</v>
      </c>
      <c r="BD25" s="98">
        <f t="shared" si="5"/>
        <v>0</v>
      </c>
      <c r="BE25" s="98">
        <f t="shared" si="6"/>
        <v>6179.7903370786516</v>
      </c>
      <c r="BF25" s="98">
        <f t="shared" si="36"/>
        <v>0</v>
      </c>
      <c r="BG25" s="98">
        <f t="shared" si="37"/>
        <v>0</v>
      </c>
      <c r="BH25" s="98">
        <f t="shared" si="38"/>
        <v>0</v>
      </c>
      <c r="BI25" s="98">
        <f t="shared" si="7"/>
        <v>0</v>
      </c>
      <c r="BJ25" s="98">
        <f t="shared" si="8"/>
        <v>0</v>
      </c>
      <c r="BK25" s="98">
        <f t="shared" si="9"/>
        <v>1908.4646629213482</v>
      </c>
      <c r="BL25" s="98">
        <f t="shared" si="39"/>
        <v>0</v>
      </c>
      <c r="BM25" s="98">
        <f t="shared" si="40"/>
        <v>0</v>
      </c>
      <c r="BN25" s="98">
        <f t="shared" si="10"/>
        <v>0</v>
      </c>
      <c r="BO25" s="98">
        <f t="shared" si="41"/>
        <v>0</v>
      </c>
      <c r="BP25" s="98">
        <f t="shared" si="42"/>
        <v>0</v>
      </c>
      <c r="BQ25" s="98">
        <f t="shared" si="43"/>
        <v>0</v>
      </c>
      <c r="BR25" s="98">
        <f t="shared" si="44"/>
        <v>0</v>
      </c>
    </row>
    <row r="26" spans="1:70" x14ac:dyDescent="0.25">
      <c r="A26" t="s">
        <v>76</v>
      </c>
      <c r="B26" t="s">
        <v>6</v>
      </c>
      <c r="C26">
        <v>2026</v>
      </c>
      <c r="D26" s="98">
        <f>INDEX('Reference Sheet'!$G$9:$J$100, MATCH(A26,'Reference Sheet'!$F$9:$F$100,0), MATCH(C26,'Reference Sheet'!$G$8:$J$8,0))/2080</f>
        <v>38.942307692307693</v>
      </c>
      <c r="E26" s="99">
        <f>VLOOKUP(C26,'Reference Sheet'!$A$2:$B$5,2)</f>
        <v>0.23630000000000001</v>
      </c>
      <c r="F26" s="98">
        <f t="shared" si="0"/>
        <v>48.144374999999997</v>
      </c>
      <c r="G26" s="98"/>
      <c r="H26" s="98"/>
      <c r="I26" s="21"/>
      <c r="J26" s="21"/>
      <c r="K26" s="21"/>
      <c r="L26" s="21"/>
      <c r="M26" s="21">
        <v>100</v>
      </c>
      <c r="N26" s="21"/>
      <c r="O26" s="21"/>
      <c r="P26" s="21"/>
      <c r="Q26" s="21"/>
      <c r="R26" s="21"/>
      <c r="S26" s="21">
        <v>80</v>
      </c>
      <c r="T26" s="21"/>
      <c r="U26" s="21"/>
      <c r="V26" s="21"/>
      <c r="W26" s="21"/>
      <c r="X26" s="21"/>
      <c r="Y26" s="21"/>
      <c r="Z26" s="21"/>
      <c r="AA26" s="98">
        <f t="shared" si="1"/>
        <v>180</v>
      </c>
      <c r="AB26" s="98">
        <f>IF(OR(B26="",C26=""),"",SUMIFS('Reference Sheet'!$D$9:$D$42,'Reference Sheet'!$A$9:$A$42,C26,'Reference Sheet'!$B$9:$B$42,B26))</f>
        <v>176</v>
      </c>
      <c r="AC26" s="98">
        <f t="shared" si="2"/>
        <v>-4</v>
      </c>
      <c r="AD26" s="100">
        <f t="shared" si="11"/>
        <v>0</v>
      </c>
      <c r="AE26" s="100">
        <f t="shared" si="12"/>
        <v>0</v>
      </c>
      <c r="AF26" s="100">
        <f t="shared" si="13"/>
        <v>0</v>
      </c>
      <c r="AG26" s="100">
        <f t="shared" si="14"/>
        <v>0</v>
      </c>
      <c r="AH26" s="100">
        <f t="shared" si="15"/>
        <v>0</v>
      </c>
      <c r="AI26" s="100">
        <f t="shared" si="16"/>
        <v>0</v>
      </c>
      <c r="AJ26" s="100">
        <f t="shared" si="17"/>
        <v>97.777777777777786</v>
      </c>
      <c r="AK26" s="100">
        <f t="shared" si="18"/>
        <v>0</v>
      </c>
      <c r="AL26" s="100">
        <f t="shared" si="19"/>
        <v>0</v>
      </c>
      <c r="AM26" s="100">
        <f t="shared" si="20"/>
        <v>0</v>
      </c>
      <c r="AN26" s="100">
        <f t="shared" si="21"/>
        <v>0</v>
      </c>
      <c r="AO26" s="100">
        <f t="shared" si="22"/>
        <v>0</v>
      </c>
      <c r="AP26" s="100">
        <f t="shared" si="23"/>
        <v>78.222222222222214</v>
      </c>
      <c r="AQ26" s="100">
        <f t="shared" si="24"/>
        <v>0</v>
      </c>
      <c r="AR26" s="100">
        <f t="shared" si="25"/>
        <v>0</v>
      </c>
      <c r="AS26" s="100">
        <f t="shared" si="26"/>
        <v>0</v>
      </c>
      <c r="AT26" s="100">
        <f t="shared" si="27"/>
        <v>0</v>
      </c>
      <c r="AU26" s="100">
        <f t="shared" si="28"/>
        <v>0</v>
      </c>
      <c r="AV26" s="100">
        <f t="shared" si="29"/>
        <v>0</v>
      </c>
      <c r="AW26" s="100">
        <f t="shared" si="30"/>
        <v>0</v>
      </c>
      <c r="AX26">
        <f t="shared" si="4"/>
        <v>176</v>
      </c>
      <c r="AY26" s="98">
        <f t="shared" si="31"/>
        <v>0</v>
      </c>
      <c r="AZ26" s="98">
        <f t="shared" si="32"/>
        <v>0</v>
      </c>
      <c r="BA26" s="98">
        <f t="shared" si="33"/>
        <v>0</v>
      </c>
      <c r="BB26" s="98">
        <f t="shared" si="34"/>
        <v>0</v>
      </c>
      <c r="BC26" s="98">
        <f t="shared" si="35"/>
        <v>0</v>
      </c>
      <c r="BD26" s="98">
        <f t="shared" si="5"/>
        <v>0</v>
      </c>
      <c r="BE26" s="98">
        <f t="shared" si="6"/>
        <v>4707.45</v>
      </c>
      <c r="BF26" s="98">
        <f t="shared" si="36"/>
        <v>0</v>
      </c>
      <c r="BG26" s="98">
        <f t="shared" si="37"/>
        <v>0</v>
      </c>
      <c r="BH26" s="98">
        <f t="shared" si="38"/>
        <v>0</v>
      </c>
      <c r="BI26" s="98">
        <f t="shared" si="7"/>
        <v>0</v>
      </c>
      <c r="BJ26" s="98">
        <f t="shared" si="8"/>
        <v>0</v>
      </c>
      <c r="BK26" s="98">
        <f t="shared" si="9"/>
        <v>3765.9599999999991</v>
      </c>
      <c r="BL26" s="98">
        <f t="shared" si="39"/>
        <v>0</v>
      </c>
      <c r="BM26" s="98">
        <f t="shared" si="40"/>
        <v>0</v>
      </c>
      <c r="BN26" s="98">
        <f t="shared" si="10"/>
        <v>0</v>
      </c>
      <c r="BO26" s="98">
        <f t="shared" si="41"/>
        <v>0</v>
      </c>
      <c r="BP26" s="98">
        <f t="shared" si="42"/>
        <v>0</v>
      </c>
      <c r="BQ26" s="98">
        <f t="shared" si="43"/>
        <v>0</v>
      </c>
      <c r="BR26" s="98">
        <f t="shared" si="44"/>
        <v>0</v>
      </c>
    </row>
    <row r="27" spans="1:70" x14ac:dyDescent="0.25">
      <c r="A27" t="s">
        <v>76</v>
      </c>
      <c r="B27" t="s">
        <v>8</v>
      </c>
      <c r="C27">
        <v>2026</v>
      </c>
      <c r="D27" s="98">
        <f>INDEX('Reference Sheet'!$G$9:$J$100, MATCH(A27,'Reference Sheet'!$F$9:$F$100,0), MATCH(C27,'Reference Sheet'!$G$8:$J$8,0))/2080</f>
        <v>38.942307692307693</v>
      </c>
      <c r="E27" s="99">
        <f>VLOOKUP(C27,'Reference Sheet'!$A$2:$B$5,2)</f>
        <v>0.23630000000000001</v>
      </c>
      <c r="F27" s="98">
        <f t="shared" si="0"/>
        <v>48.144374999999997</v>
      </c>
      <c r="G27" s="98"/>
      <c r="H27" s="98"/>
      <c r="I27" s="21"/>
      <c r="J27" s="21"/>
      <c r="K27" s="21"/>
      <c r="L27" s="21"/>
      <c r="M27" s="21">
        <v>142</v>
      </c>
      <c r="N27" s="21"/>
      <c r="O27" s="21"/>
      <c r="P27" s="21"/>
      <c r="Q27" s="21"/>
      <c r="R27" s="21"/>
      <c r="S27" s="21">
        <v>47</v>
      </c>
      <c r="T27" s="21"/>
      <c r="U27" s="21"/>
      <c r="V27" s="21"/>
      <c r="W27" s="21"/>
      <c r="X27" s="21"/>
      <c r="Y27" s="21"/>
      <c r="Z27" s="21"/>
      <c r="AA27" s="98">
        <f t="shared" si="1"/>
        <v>189</v>
      </c>
      <c r="AB27" s="98">
        <f>IF(OR(B27="",C27=""),"",SUMIFS('Reference Sheet'!$D$9:$D$42,'Reference Sheet'!$A$9:$A$42,C27,'Reference Sheet'!$B$9:$B$42,B27))</f>
        <v>176</v>
      </c>
      <c r="AC27" s="98">
        <f t="shared" si="2"/>
        <v>-13</v>
      </c>
      <c r="AD27" s="100">
        <f t="shared" si="11"/>
        <v>0</v>
      </c>
      <c r="AE27" s="100">
        <f t="shared" si="12"/>
        <v>0</v>
      </c>
      <c r="AF27" s="100">
        <f t="shared" si="13"/>
        <v>0</v>
      </c>
      <c r="AG27" s="100">
        <f t="shared" si="14"/>
        <v>0</v>
      </c>
      <c r="AH27" s="100">
        <f t="shared" si="15"/>
        <v>0</v>
      </c>
      <c r="AI27" s="100">
        <f t="shared" si="16"/>
        <v>0</v>
      </c>
      <c r="AJ27" s="100">
        <f t="shared" si="17"/>
        <v>132.23280423280423</v>
      </c>
      <c r="AK27" s="100">
        <f t="shared" si="18"/>
        <v>0</v>
      </c>
      <c r="AL27" s="100">
        <f t="shared" si="19"/>
        <v>0</v>
      </c>
      <c r="AM27" s="100">
        <f t="shared" si="20"/>
        <v>0</v>
      </c>
      <c r="AN27" s="100">
        <f t="shared" si="21"/>
        <v>0</v>
      </c>
      <c r="AO27" s="100">
        <f t="shared" si="22"/>
        <v>0</v>
      </c>
      <c r="AP27" s="100">
        <f t="shared" si="23"/>
        <v>43.767195767195766</v>
      </c>
      <c r="AQ27" s="100">
        <f t="shared" si="24"/>
        <v>0</v>
      </c>
      <c r="AR27" s="100">
        <f t="shared" si="25"/>
        <v>0</v>
      </c>
      <c r="AS27" s="100">
        <f t="shared" si="26"/>
        <v>0</v>
      </c>
      <c r="AT27" s="100">
        <f t="shared" si="27"/>
        <v>0</v>
      </c>
      <c r="AU27" s="100">
        <f t="shared" si="28"/>
        <v>0</v>
      </c>
      <c r="AV27" s="100">
        <f t="shared" si="29"/>
        <v>0</v>
      </c>
      <c r="AW27" s="100">
        <f t="shared" si="30"/>
        <v>0</v>
      </c>
      <c r="AX27">
        <f t="shared" si="4"/>
        <v>176</v>
      </c>
      <c r="AY27" s="98">
        <f t="shared" si="31"/>
        <v>0</v>
      </c>
      <c r="AZ27" s="98">
        <f t="shared" si="32"/>
        <v>0</v>
      </c>
      <c r="BA27" s="98">
        <f t="shared" si="33"/>
        <v>0</v>
      </c>
      <c r="BB27" s="98">
        <f t="shared" si="34"/>
        <v>0</v>
      </c>
      <c r="BC27" s="98">
        <f t="shared" si="35"/>
        <v>0</v>
      </c>
      <c r="BD27" s="98">
        <f t="shared" si="5"/>
        <v>0</v>
      </c>
      <c r="BE27" s="98">
        <f t="shared" si="6"/>
        <v>6366.2657142857133</v>
      </c>
      <c r="BF27" s="98">
        <f t="shared" si="36"/>
        <v>0</v>
      </c>
      <c r="BG27" s="98">
        <f t="shared" si="37"/>
        <v>0</v>
      </c>
      <c r="BH27" s="98">
        <f t="shared" si="38"/>
        <v>0</v>
      </c>
      <c r="BI27" s="98">
        <f t="shared" si="7"/>
        <v>0</v>
      </c>
      <c r="BJ27" s="98">
        <f t="shared" si="8"/>
        <v>0</v>
      </c>
      <c r="BK27" s="98">
        <f t="shared" si="9"/>
        <v>2107.1442857142856</v>
      </c>
      <c r="BL27" s="98">
        <f t="shared" si="39"/>
        <v>0</v>
      </c>
      <c r="BM27" s="98">
        <f t="shared" si="40"/>
        <v>0</v>
      </c>
      <c r="BN27" s="98">
        <f t="shared" si="10"/>
        <v>0</v>
      </c>
      <c r="BO27" s="98">
        <f t="shared" si="41"/>
        <v>0</v>
      </c>
      <c r="BP27" s="98">
        <f t="shared" si="42"/>
        <v>0</v>
      </c>
      <c r="BQ27" s="98">
        <f t="shared" si="43"/>
        <v>0</v>
      </c>
      <c r="BR27" s="98">
        <f t="shared" si="44"/>
        <v>0</v>
      </c>
    </row>
    <row r="28" spans="1:70" x14ac:dyDescent="0.25">
      <c r="A28" t="s">
        <v>76</v>
      </c>
      <c r="B28" t="s">
        <v>9</v>
      </c>
      <c r="C28">
        <v>2026</v>
      </c>
      <c r="D28" s="98">
        <f>INDEX('Reference Sheet'!$G$9:$J$100, MATCH(A28,'Reference Sheet'!$F$9:$F$100,0), MATCH(C28,'Reference Sheet'!$G$8:$J$8,0))/2080</f>
        <v>38.942307692307693</v>
      </c>
      <c r="E28" s="99">
        <f>VLOOKUP(C28,'Reference Sheet'!$A$2:$B$5,2)</f>
        <v>0.23630000000000001</v>
      </c>
      <c r="F28" s="98">
        <f t="shared" si="0"/>
        <v>48.144374999999997</v>
      </c>
      <c r="G28" s="98"/>
      <c r="H28" s="98"/>
      <c r="I28" s="21"/>
      <c r="J28" s="21"/>
      <c r="K28" s="21"/>
      <c r="L28" s="21"/>
      <c r="M28" s="21">
        <v>142</v>
      </c>
      <c r="N28" s="21"/>
      <c r="O28" s="21"/>
      <c r="P28" s="21"/>
      <c r="Q28" s="21"/>
      <c r="R28" s="21"/>
      <c r="S28" s="21">
        <v>36</v>
      </c>
      <c r="T28" s="21"/>
      <c r="U28" s="21"/>
      <c r="V28" s="21"/>
      <c r="W28" s="21"/>
      <c r="X28" s="21"/>
      <c r="Y28" s="21"/>
      <c r="Z28" s="21"/>
      <c r="AA28" s="98">
        <f t="shared" si="1"/>
        <v>178</v>
      </c>
      <c r="AB28" s="98">
        <f>IF(OR(B28="",C28=""),"",SUMIFS('Reference Sheet'!$D$9:$D$42,'Reference Sheet'!$A$9:$A$42,C28,'Reference Sheet'!$B$9:$B$42,B28))</f>
        <v>176</v>
      </c>
      <c r="AC28" s="98">
        <f t="shared" si="2"/>
        <v>-2</v>
      </c>
      <c r="AD28" s="100">
        <f t="shared" si="11"/>
        <v>0</v>
      </c>
      <c r="AE28" s="100">
        <f t="shared" si="12"/>
        <v>0</v>
      </c>
      <c r="AF28" s="100">
        <f t="shared" si="13"/>
        <v>0</v>
      </c>
      <c r="AG28" s="100">
        <f t="shared" si="14"/>
        <v>0</v>
      </c>
      <c r="AH28" s="100">
        <f t="shared" si="15"/>
        <v>0</v>
      </c>
      <c r="AI28" s="100">
        <f t="shared" si="16"/>
        <v>0</v>
      </c>
      <c r="AJ28" s="100">
        <f t="shared" si="17"/>
        <v>140.40449438202245</v>
      </c>
      <c r="AK28" s="100">
        <f t="shared" si="18"/>
        <v>0</v>
      </c>
      <c r="AL28" s="100">
        <f t="shared" si="19"/>
        <v>0</v>
      </c>
      <c r="AM28" s="100">
        <f t="shared" si="20"/>
        <v>0</v>
      </c>
      <c r="AN28" s="100">
        <f t="shared" si="21"/>
        <v>0</v>
      </c>
      <c r="AO28" s="100">
        <f t="shared" si="22"/>
        <v>0</v>
      </c>
      <c r="AP28" s="100">
        <f t="shared" si="23"/>
        <v>35.59550561797753</v>
      </c>
      <c r="AQ28" s="100">
        <f t="shared" si="24"/>
        <v>0</v>
      </c>
      <c r="AR28" s="100">
        <f t="shared" si="25"/>
        <v>0</v>
      </c>
      <c r="AS28" s="100">
        <f t="shared" si="26"/>
        <v>0</v>
      </c>
      <c r="AT28" s="100">
        <f t="shared" si="27"/>
        <v>0</v>
      </c>
      <c r="AU28" s="100">
        <f t="shared" si="28"/>
        <v>0</v>
      </c>
      <c r="AV28" s="100">
        <f t="shared" si="29"/>
        <v>0</v>
      </c>
      <c r="AW28" s="100">
        <f t="shared" si="30"/>
        <v>0</v>
      </c>
      <c r="AX28">
        <f t="shared" si="4"/>
        <v>175.99999999999997</v>
      </c>
      <c r="AY28" s="98">
        <f t="shared" si="31"/>
        <v>0</v>
      </c>
      <c r="AZ28" s="98">
        <f t="shared" si="32"/>
        <v>0</v>
      </c>
      <c r="BA28" s="98">
        <f t="shared" si="33"/>
        <v>0</v>
      </c>
      <c r="BB28" s="98">
        <f t="shared" si="34"/>
        <v>0</v>
      </c>
      <c r="BC28" s="98">
        <f t="shared" si="35"/>
        <v>0</v>
      </c>
      <c r="BD28" s="98">
        <f t="shared" si="5"/>
        <v>0</v>
      </c>
      <c r="BE28" s="98">
        <f t="shared" si="6"/>
        <v>6759.6866292134819</v>
      </c>
      <c r="BF28" s="98">
        <f t="shared" si="36"/>
        <v>0</v>
      </c>
      <c r="BG28" s="98">
        <f t="shared" si="37"/>
        <v>0</v>
      </c>
      <c r="BH28" s="98">
        <f t="shared" si="38"/>
        <v>0</v>
      </c>
      <c r="BI28" s="98">
        <f t="shared" si="7"/>
        <v>0</v>
      </c>
      <c r="BJ28" s="98">
        <f t="shared" si="8"/>
        <v>0</v>
      </c>
      <c r="BK28" s="98">
        <f t="shared" si="9"/>
        <v>1713.7233707865169</v>
      </c>
      <c r="BL28" s="98">
        <f t="shared" si="39"/>
        <v>0</v>
      </c>
      <c r="BM28" s="98">
        <f t="shared" si="40"/>
        <v>0</v>
      </c>
      <c r="BN28" s="98">
        <f t="shared" si="10"/>
        <v>0</v>
      </c>
      <c r="BO28" s="98">
        <f t="shared" si="41"/>
        <v>0</v>
      </c>
      <c r="BP28" s="98">
        <f t="shared" si="42"/>
        <v>0</v>
      </c>
      <c r="BQ28" s="98">
        <f t="shared" si="43"/>
        <v>0</v>
      </c>
      <c r="BR28" s="98">
        <f t="shared" si="44"/>
        <v>0</v>
      </c>
    </row>
    <row r="29" spans="1:70" x14ac:dyDescent="0.25">
      <c r="A29" t="s">
        <v>76</v>
      </c>
      <c r="B29" t="s">
        <v>11</v>
      </c>
      <c r="C29">
        <v>2026</v>
      </c>
      <c r="D29" s="98">
        <f>INDEX('Reference Sheet'!$G$9:$J$100, MATCH(A29,'Reference Sheet'!$F$9:$F$100,0), MATCH(C29,'Reference Sheet'!$G$8:$J$8,0))/2080</f>
        <v>38.942307692307693</v>
      </c>
      <c r="E29" s="99">
        <f>VLOOKUP(C29,'Reference Sheet'!$A$2:$B$5,2)</f>
        <v>0.23630000000000001</v>
      </c>
      <c r="F29" s="98">
        <f t="shared" si="0"/>
        <v>48.144374999999997</v>
      </c>
      <c r="G29" s="98"/>
      <c r="H29" s="98"/>
      <c r="I29" s="21"/>
      <c r="J29" s="21"/>
      <c r="K29" s="21"/>
      <c r="L29" s="21"/>
      <c r="M29" s="21">
        <v>141</v>
      </c>
      <c r="N29" s="21"/>
      <c r="O29" s="21"/>
      <c r="P29" s="21"/>
      <c r="Q29" s="21"/>
      <c r="R29" s="21"/>
      <c r="S29" s="21">
        <v>39</v>
      </c>
      <c r="T29" s="21"/>
      <c r="U29" s="21"/>
      <c r="V29" s="21"/>
      <c r="W29" s="21"/>
      <c r="X29" s="21"/>
      <c r="Y29" s="21"/>
      <c r="Z29" s="21"/>
      <c r="AA29" s="98">
        <f t="shared" si="1"/>
        <v>180</v>
      </c>
      <c r="AB29" s="98">
        <f>IF(OR(B29="",C29=""),"",SUMIFS('Reference Sheet'!$D$9:$D$42,'Reference Sheet'!$A$9:$A$42,C29,'Reference Sheet'!$B$9:$B$42,B29))</f>
        <v>176</v>
      </c>
      <c r="AC29" s="98">
        <f t="shared" si="2"/>
        <v>-4</v>
      </c>
      <c r="AD29" s="100">
        <f t="shared" si="11"/>
        <v>0</v>
      </c>
      <c r="AE29" s="100">
        <f t="shared" si="12"/>
        <v>0</v>
      </c>
      <c r="AF29" s="100">
        <f t="shared" si="13"/>
        <v>0</v>
      </c>
      <c r="AG29" s="100">
        <f t="shared" si="14"/>
        <v>0</v>
      </c>
      <c r="AH29" s="100">
        <f t="shared" si="15"/>
        <v>0</v>
      </c>
      <c r="AI29" s="100">
        <f t="shared" si="16"/>
        <v>0</v>
      </c>
      <c r="AJ29" s="100">
        <f t="shared" si="17"/>
        <v>137.86666666666667</v>
      </c>
      <c r="AK29" s="100">
        <f t="shared" si="18"/>
        <v>0</v>
      </c>
      <c r="AL29" s="100">
        <f t="shared" si="19"/>
        <v>0</v>
      </c>
      <c r="AM29" s="100">
        <f t="shared" si="20"/>
        <v>0</v>
      </c>
      <c r="AN29" s="100">
        <f t="shared" si="21"/>
        <v>0</v>
      </c>
      <c r="AO29" s="100">
        <f t="shared" si="22"/>
        <v>0</v>
      </c>
      <c r="AP29" s="100">
        <f t="shared" si="23"/>
        <v>38.133333333333333</v>
      </c>
      <c r="AQ29" s="100">
        <f t="shared" si="24"/>
        <v>0</v>
      </c>
      <c r="AR29" s="100">
        <f t="shared" si="25"/>
        <v>0</v>
      </c>
      <c r="AS29" s="100">
        <f t="shared" si="26"/>
        <v>0</v>
      </c>
      <c r="AT29" s="100">
        <f t="shared" si="27"/>
        <v>0</v>
      </c>
      <c r="AU29" s="100">
        <f t="shared" si="28"/>
        <v>0</v>
      </c>
      <c r="AV29" s="100">
        <f t="shared" si="29"/>
        <v>0</v>
      </c>
      <c r="AW29" s="100">
        <f t="shared" si="30"/>
        <v>0</v>
      </c>
      <c r="AX29">
        <f t="shared" si="4"/>
        <v>176</v>
      </c>
      <c r="AY29" s="98">
        <f t="shared" si="31"/>
        <v>0</v>
      </c>
      <c r="AZ29" s="98">
        <f t="shared" si="32"/>
        <v>0</v>
      </c>
      <c r="BA29" s="98">
        <f t="shared" si="33"/>
        <v>0</v>
      </c>
      <c r="BB29" s="98">
        <f t="shared" si="34"/>
        <v>0</v>
      </c>
      <c r="BC29" s="98">
        <f t="shared" si="35"/>
        <v>0</v>
      </c>
      <c r="BD29" s="98">
        <f t="shared" si="5"/>
        <v>0</v>
      </c>
      <c r="BE29" s="98">
        <f t="shared" si="6"/>
        <v>6637.5045</v>
      </c>
      <c r="BF29" s="98">
        <f t="shared" si="36"/>
        <v>0</v>
      </c>
      <c r="BG29" s="98">
        <f t="shared" si="37"/>
        <v>0</v>
      </c>
      <c r="BH29" s="98">
        <f t="shared" si="38"/>
        <v>0</v>
      </c>
      <c r="BI29" s="98">
        <f t="shared" si="7"/>
        <v>0</v>
      </c>
      <c r="BJ29" s="98">
        <f t="shared" si="8"/>
        <v>0</v>
      </c>
      <c r="BK29" s="98">
        <f t="shared" si="9"/>
        <v>1835.9054999999998</v>
      </c>
      <c r="BL29" s="98">
        <f t="shared" si="39"/>
        <v>0</v>
      </c>
      <c r="BM29" s="98">
        <f t="shared" si="40"/>
        <v>0</v>
      </c>
      <c r="BN29" s="98">
        <f t="shared" si="10"/>
        <v>0</v>
      </c>
      <c r="BO29" s="98">
        <f t="shared" si="41"/>
        <v>0</v>
      </c>
      <c r="BP29" s="98">
        <f t="shared" si="42"/>
        <v>0</v>
      </c>
      <c r="BQ29" s="98">
        <f t="shared" si="43"/>
        <v>0</v>
      </c>
      <c r="BR29" s="98">
        <f t="shared" si="44"/>
        <v>0</v>
      </c>
    </row>
    <row r="30" spans="1:70" x14ac:dyDescent="0.25">
      <c r="A30" t="s">
        <v>76</v>
      </c>
      <c r="B30" t="s">
        <v>12</v>
      </c>
      <c r="C30">
        <v>2026</v>
      </c>
      <c r="D30" s="98">
        <f>INDEX('Reference Sheet'!$G$9:$J$100, MATCH(A30,'Reference Sheet'!$F$9:$F$100,0), MATCH(C30,'Reference Sheet'!$G$8:$J$8,0))/2080</f>
        <v>38.942307692307693</v>
      </c>
      <c r="E30" s="99">
        <f>VLOOKUP(C30,'Reference Sheet'!$A$2:$B$5,2)</f>
        <v>0.23630000000000001</v>
      </c>
      <c r="F30" s="98">
        <f t="shared" si="0"/>
        <v>48.144374999999997</v>
      </c>
      <c r="G30" s="98"/>
      <c r="H30" s="98"/>
      <c r="I30" s="21"/>
      <c r="J30" s="21"/>
      <c r="K30" s="21"/>
      <c r="L30" s="21"/>
      <c r="M30" s="21">
        <v>8</v>
      </c>
      <c r="N30" s="21"/>
      <c r="O30" s="21"/>
      <c r="P30" s="21"/>
      <c r="Q30" s="21"/>
      <c r="R30" s="21"/>
      <c r="S30" s="21">
        <v>188</v>
      </c>
      <c r="T30" s="21"/>
      <c r="U30" s="21"/>
      <c r="V30" s="21"/>
      <c r="W30" s="21"/>
      <c r="X30" s="21"/>
      <c r="Y30" s="21"/>
      <c r="Z30" s="21"/>
      <c r="AA30" s="98">
        <f t="shared" si="1"/>
        <v>196</v>
      </c>
      <c r="AB30" s="98">
        <f>IF(OR(B30="",C30=""),"",SUMIFS('Reference Sheet'!$D$9:$D$42,'Reference Sheet'!$A$9:$A$42,C30,'Reference Sheet'!$B$9:$B$42,B30))</f>
        <v>184</v>
      </c>
      <c r="AC30" s="98">
        <f t="shared" si="2"/>
        <v>-12</v>
      </c>
      <c r="AD30" s="100">
        <f t="shared" si="11"/>
        <v>0</v>
      </c>
      <c r="AE30" s="100">
        <f t="shared" si="12"/>
        <v>0</v>
      </c>
      <c r="AF30" s="100">
        <f t="shared" si="13"/>
        <v>0</v>
      </c>
      <c r="AG30" s="100">
        <f t="shared" si="14"/>
        <v>0</v>
      </c>
      <c r="AH30" s="100">
        <f t="shared" si="15"/>
        <v>0</v>
      </c>
      <c r="AI30" s="100">
        <f t="shared" si="16"/>
        <v>0</v>
      </c>
      <c r="AJ30" s="100">
        <f t="shared" si="17"/>
        <v>7.5102040816326525</v>
      </c>
      <c r="AK30" s="100">
        <f t="shared" si="18"/>
        <v>0</v>
      </c>
      <c r="AL30" s="100">
        <f t="shared" si="19"/>
        <v>0</v>
      </c>
      <c r="AM30" s="100">
        <f t="shared" si="20"/>
        <v>0</v>
      </c>
      <c r="AN30" s="100">
        <f t="shared" si="21"/>
        <v>0</v>
      </c>
      <c r="AO30" s="100">
        <f t="shared" si="22"/>
        <v>0</v>
      </c>
      <c r="AP30" s="100">
        <f t="shared" si="23"/>
        <v>176.48979591836735</v>
      </c>
      <c r="AQ30" s="100">
        <f t="shared" si="24"/>
        <v>0</v>
      </c>
      <c r="AR30" s="100">
        <f t="shared" si="25"/>
        <v>0</v>
      </c>
      <c r="AS30" s="100">
        <f t="shared" si="26"/>
        <v>0</v>
      </c>
      <c r="AT30" s="100">
        <f t="shared" si="27"/>
        <v>0</v>
      </c>
      <c r="AU30" s="100">
        <f t="shared" si="28"/>
        <v>0</v>
      </c>
      <c r="AV30" s="100">
        <f t="shared" si="29"/>
        <v>0</v>
      </c>
      <c r="AW30" s="100">
        <f t="shared" si="30"/>
        <v>0</v>
      </c>
      <c r="AX30">
        <f t="shared" si="4"/>
        <v>184</v>
      </c>
      <c r="AY30" s="98">
        <f t="shared" si="31"/>
        <v>0</v>
      </c>
      <c r="AZ30" s="98">
        <f t="shared" si="32"/>
        <v>0</v>
      </c>
      <c r="BA30" s="98">
        <f t="shared" si="33"/>
        <v>0</v>
      </c>
      <c r="BB30" s="98">
        <f t="shared" si="34"/>
        <v>0</v>
      </c>
      <c r="BC30" s="98">
        <f t="shared" si="35"/>
        <v>0</v>
      </c>
      <c r="BD30" s="98">
        <f t="shared" si="5"/>
        <v>0</v>
      </c>
      <c r="BE30" s="98">
        <f t="shared" si="6"/>
        <v>361.57408163265302</v>
      </c>
      <c r="BF30" s="98">
        <f t="shared" si="36"/>
        <v>0</v>
      </c>
      <c r="BG30" s="98">
        <f t="shared" si="37"/>
        <v>0</v>
      </c>
      <c r="BH30" s="98">
        <f t="shared" si="38"/>
        <v>0</v>
      </c>
      <c r="BI30" s="98">
        <f t="shared" si="7"/>
        <v>0</v>
      </c>
      <c r="BJ30" s="98">
        <f t="shared" si="8"/>
        <v>0</v>
      </c>
      <c r="BK30" s="98">
        <f t="shared" si="9"/>
        <v>8496.9909183673462</v>
      </c>
      <c r="BL30" s="98">
        <f t="shared" si="39"/>
        <v>0</v>
      </c>
      <c r="BM30" s="98">
        <f t="shared" si="40"/>
        <v>0</v>
      </c>
      <c r="BN30" s="98">
        <f t="shared" si="10"/>
        <v>0</v>
      </c>
      <c r="BO30" s="98">
        <f t="shared" si="41"/>
        <v>0</v>
      </c>
      <c r="BP30" s="98">
        <f t="shared" si="42"/>
        <v>0</v>
      </c>
      <c r="BQ30" s="98">
        <f t="shared" si="43"/>
        <v>0</v>
      </c>
      <c r="BR30" s="98">
        <f t="shared" si="44"/>
        <v>0</v>
      </c>
    </row>
    <row r="31" spans="1:70" x14ac:dyDescent="0.25">
      <c r="A31" t="s">
        <v>76</v>
      </c>
      <c r="B31" t="s">
        <v>13</v>
      </c>
      <c r="C31">
        <v>2026</v>
      </c>
      <c r="D31" s="98">
        <f>INDEX('Reference Sheet'!$G$9:$J$100, MATCH(A31,'Reference Sheet'!$F$9:$F$100,0), MATCH(C31,'Reference Sheet'!$G$8:$J$8,0))/2080</f>
        <v>38.942307692307693</v>
      </c>
      <c r="E31" s="99">
        <f>VLOOKUP(C31,'Reference Sheet'!$A$2:$B$5,2)</f>
        <v>0.23630000000000001</v>
      </c>
      <c r="F31" s="98">
        <f t="shared" ref="F31" si="45">D31*(1+E31)</f>
        <v>48.144374999999997</v>
      </c>
      <c r="G31" s="98"/>
      <c r="H31" s="98"/>
      <c r="I31" s="21"/>
      <c r="J31" s="21"/>
      <c r="K31" s="21"/>
      <c r="L31" s="21"/>
      <c r="M31" s="21">
        <v>22</v>
      </c>
      <c r="N31" s="21"/>
      <c r="O31" s="21"/>
      <c r="P31" s="21"/>
      <c r="Q31" s="21"/>
      <c r="R31" s="21"/>
      <c r="S31" s="21">
        <v>156</v>
      </c>
      <c r="T31" s="21"/>
      <c r="U31" s="21"/>
      <c r="V31" s="21"/>
      <c r="W31" s="21"/>
      <c r="X31" s="21"/>
      <c r="Y31" s="21"/>
      <c r="Z31" s="21"/>
      <c r="AA31" s="98">
        <f t="shared" si="1"/>
        <v>178</v>
      </c>
      <c r="AB31" s="98">
        <f>IF(OR(B31="",C31=""),"",SUMIFS('Reference Sheet'!$D$9:$D$44,'Reference Sheet'!$A$9:$A$44,C31,'Reference Sheet'!$B$9:$B$44,B31))</f>
        <v>176</v>
      </c>
      <c r="AC31" s="98">
        <f t="shared" ref="AC31" si="46">AB31-AA31</f>
        <v>-2</v>
      </c>
      <c r="AD31" s="100">
        <f t="shared" si="11"/>
        <v>0</v>
      </c>
      <c r="AE31" s="100">
        <f t="shared" si="12"/>
        <v>0</v>
      </c>
      <c r="AF31" s="100">
        <f t="shared" si="13"/>
        <v>0</v>
      </c>
      <c r="AG31" s="100">
        <f t="shared" si="14"/>
        <v>0</v>
      </c>
      <c r="AH31" s="100">
        <f t="shared" si="15"/>
        <v>0</v>
      </c>
      <c r="AI31" s="100">
        <f t="shared" si="16"/>
        <v>0</v>
      </c>
      <c r="AJ31" s="100">
        <f t="shared" si="17"/>
        <v>21.752808988764045</v>
      </c>
      <c r="AK31" s="100">
        <f t="shared" si="18"/>
        <v>0</v>
      </c>
      <c r="AL31" s="100">
        <f t="shared" si="19"/>
        <v>0</v>
      </c>
      <c r="AM31" s="100">
        <f t="shared" si="20"/>
        <v>0</v>
      </c>
      <c r="AN31" s="100">
        <f t="shared" si="21"/>
        <v>0</v>
      </c>
      <c r="AO31" s="100">
        <f t="shared" si="22"/>
        <v>0</v>
      </c>
      <c r="AP31" s="100">
        <f t="shared" si="23"/>
        <v>154.24719101123597</v>
      </c>
      <c r="AQ31" s="100">
        <f t="shared" si="24"/>
        <v>0</v>
      </c>
      <c r="AR31" s="100">
        <f t="shared" si="25"/>
        <v>0</v>
      </c>
      <c r="AS31" s="100">
        <f t="shared" si="26"/>
        <v>0</v>
      </c>
      <c r="AT31" s="100">
        <f t="shared" si="27"/>
        <v>0</v>
      </c>
      <c r="AU31" s="100">
        <f t="shared" ref="AU31" si="47">(X31/$AA31)*$AB31</f>
        <v>0</v>
      </c>
      <c r="AV31" s="100">
        <f t="shared" si="29"/>
        <v>0</v>
      </c>
      <c r="AW31" s="100">
        <f t="shared" ref="AW31" si="48">(Z31/$AA31)*$AB31</f>
        <v>0</v>
      </c>
      <c r="AX31">
        <f t="shared" ref="AX31" si="49">SUM(AF31:AW31)</f>
        <v>176</v>
      </c>
      <c r="AY31" s="98">
        <f t="shared" si="31"/>
        <v>0</v>
      </c>
      <c r="AZ31" s="98">
        <f t="shared" si="32"/>
        <v>0</v>
      </c>
      <c r="BA31" s="98">
        <f t="shared" ref="BA31" si="50">$F31*AF31</f>
        <v>0</v>
      </c>
      <c r="BB31" s="98">
        <f t="shared" si="34"/>
        <v>0</v>
      </c>
      <c r="BC31" s="98">
        <f t="shared" ref="BC31" si="51">$F31*AH31</f>
        <v>0</v>
      </c>
      <c r="BD31" s="98">
        <f t="shared" ref="BD31" si="52">$F31*AI31</f>
        <v>0</v>
      </c>
      <c r="BE31" s="98">
        <f t="shared" ref="BE31" si="53">$F31*AJ31</f>
        <v>1047.2753932584269</v>
      </c>
      <c r="BF31" s="98">
        <f t="shared" si="36"/>
        <v>0</v>
      </c>
      <c r="BG31" s="98">
        <f t="shared" si="37"/>
        <v>0</v>
      </c>
      <c r="BH31" s="98">
        <f t="shared" ref="BH31" si="54">$F31*AM31</f>
        <v>0</v>
      </c>
      <c r="BI31" s="98">
        <f t="shared" ref="BI31" si="55">$F31*AN31</f>
        <v>0</v>
      </c>
      <c r="BJ31" s="98">
        <f t="shared" ref="BJ31" si="56">$F31*AO31</f>
        <v>0</v>
      </c>
      <c r="BK31" s="98">
        <f t="shared" ref="BK31" si="57">$F31*AP31</f>
        <v>7426.1346067415734</v>
      </c>
      <c r="BL31" s="98">
        <f t="shared" si="39"/>
        <v>0</v>
      </c>
      <c r="BM31" s="98">
        <f t="shared" ref="BM31" si="58">$F31*AR31</f>
        <v>0</v>
      </c>
      <c r="BN31" s="98">
        <f t="shared" ref="BN31" si="59">$F31*AS31</f>
        <v>0</v>
      </c>
      <c r="BO31" s="98">
        <f t="shared" si="41"/>
        <v>0</v>
      </c>
      <c r="BP31" s="98">
        <f t="shared" ref="BP31" si="60">$F31*AU31</f>
        <v>0</v>
      </c>
      <c r="BQ31" s="98">
        <f t="shared" si="43"/>
        <v>0</v>
      </c>
      <c r="BR31" s="98">
        <f t="shared" ref="BR31" si="61">$F31*AW31</f>
        <v>0</v>
      </c>
    </row>
    <row r="32" spans="1:70" x14ac:dyDescent="0.25">
      <c r="A32" t="s">
        <v>57</v>
      </c>
      <c r="B32" t="s">
        <v>15</v>
      </c>
      <c r="C32">
        <v>2023</v>
      </c>
      <c r="D32" s="98">
        <f>INDEX('Reference Sheet'!$G$9:$J$100, MATCH(A32,'Reference Sheet'!$F$9:$F$100,0), MATCH(C32,'Reference Sheet'!$G$8:$J$8,0))/2080</f>
        <v>71.291461538461533</v>
      </c>
      <c r="E32" s="99">
        <f>VLOOKUP(C32,'Reference Sheet'!$A$2:$B$5,2)</f>
        <v>0.21360000000000001</v>
      </c>
      <c r="F32" s="98">
        <f t="shared" si="0"/>
        <v>86.519317723076924</v>
      </c>
      <c r="G32" s="98"/>
      <c r="H32" s="98"/>
      <c r="I32" s="32"/>
      <c r="J32" s="32"/>
      <c r="K32" s="32"/>
      <c r="L32" s="32"/>
      <c r="M32" s="32"/>
      <c r="N32" s="32"/>
      <c r="O32" s="32"/>
      <c r="P32" s="32"/>
      <c r="Q32" s="32">
        <v>4.8</v>
      </c>
      <c r="R32" s="32"/>
      <c r="S32" s="32"/>
      <c r="T32" s="32"/>
      <c r="U32" s="32"/>
      <c r="V32" s="32"/>
      <c r="W32" s="32"/>
      <c r="X32" s="32"/>
      <c r="Y32" s="32"/>
      <c r="Z32" s="32"/>
      <c r="AA32" s="98">
        <f t="shared" si="1"/>
        <v>4.8</v>
      </c>
      <c r="AB32" s="98">
        <f t="shared" ref="AB32:AB64" si="62">AA32</f>
        <v>4.8</v>
      </c>
      <c r="AC32" s="98">
        <f t="shared" si="2"/>
        <v>0</v>
      </c>
      <c r="AD32" s="100">
        <f t="shared" si="11"/>
        <v>0</v>
      </c>
      <c r="AE32" s="100">
        <f t="shared" si="12"/>
        <v>0</v>
      </c>
      <c r="AF32" s="100">
        <f t="shared" si="13"/>
        <v>0</v>
      </c>
      <c r="AG32" s="100">
        <f t="shared" si="14"/>
        <v>0</v>
      </c>
      <c r="AH32" s="100">
        <f t="shared" si="15"/>
        <v>0</v>
      </c>
      <c r="AI32" s="100">
        <f t="shared" si="16"/>
        <v>0</v>
      </c>
      <c r="AJ32" s="100">
        <f t="shared" si="17"/>
        <v>0</v>
      </c>
      <c r="AK32" s="100">
        <f t="shared" si="18"/>
        <v>0</v>
      </c>
      <c r="AL32" s="100">
        <f t="shared" si="19"/>
        <v>0</v>
      </c>
      <c r="AM32" s="100">
        <f t="shared" si="20"/>
        <v>0</v>
      </c>
      <c r="AN32" s="100">
        <f t="shared" si="21"/>
        <v>4.8</v>
      </c>
      <c r="AO32" s="100">
        <f t="shared" si="22"/>
        <v>0</v>
      </c>
      <c r="AP32" s="100">
        <f t="shared" si="23"/>
        <v>0</v>
      </c>
      <c r="AQ32" s="100">
        <f t="shared" si="24"/>
        <v>0</v>
      </c>
      <c r="AR32" s="100">
        <f t="shared" si="25"/>
        <v>0</v>
      </c>
      <c r="AS32" s="100">
        <f t="shared" si="26"/>
        <v>0</v>
      </c>
      <c r="AT32" s="100">
        <f t="shared" si="27"/>
        <v>0</v>
      </c>
      <c r="AU32" s="100">
        <f t="shared" ref="AU32:AU66" si="63">(X32/$AA32)*$AB32</f>
        <v>0</v>
      </c>
      <c r="AV32" s="100">
        <f t="shared" si="29"/>
        <v>0</v>
      </c>
      <c r="AW32" s="100">
        <f t="shared" ref="AW32:AW66" si="64">(Z32/$AA32)*$AB32</f>
        <v>0</v>
      </c>
      <c r="AX32">
        <f t="shared" si="4"/>
        <v>4.8</v>
      </c>
      <c r="AY32" s="98">
        <f t="shared" si="31"/>
        <v>0</v>
      </c>
      <c r="AZ32" s="98">
        <f t="shared" si="32"/>
        <v>0</v>
      </c>
      <c r="BA32" s="98">
        <f t="shared" ref="BA32:BA66" si="65">$F32*AF32</f>
        <v>0</v>
      </c>
      <c r="BB32" s="98">
        <f t="shared" si="34"/>
        <v>0</v>
      </c>
      <c r="BC32" s="98">
        <f t="shared" ref="BC32:BC66" si="66">$F32*AH32</f>
        <v>0</v>
      </c>
      <c r="BD32" s="98">
        <f t="shared" si="5"/>
        <v>0</v>
      </c>
      <c r="BE32" s="98">
        <f t="shared" si="6"/>
        <v>0</v>
      </c>
      <c r="BF32" s="98">
        <f t="shared" si="36"/>
        <v>0</v>
      </c>
      <c r="BG32" s="98">
        <f t="shared" si="37"/>
        <v>0</v>
      </c>
      <c r="BH32" s="98">
        <f t="shared" ref="BH32:BH66" si="67">$F32*AM32</f>
        <v>0</v>
      </c>
      <c r="BI32" s="98">
        <f t="shared" si="7"/>
        <v>415.29272507076922</v>
      </c>
      <c r="BJ32" s="98">
        <f t="shared" si="8"/>
        <v>0</v>
      </c>
      <c r="BK32" s="98">
        <f t="shared" si="9"/>
        <v>0</v>
      </c>
      <c r="BL32" s="98">
        <f t="shared" si="39"/>
        <v>0</v>
      </c>
      <c r="BM32" s="98">
        <f t="shared" ref="BM32:BM66" si="68">$F32*AR32</f>
        <v>0</v>
      </c>
      <c r="BN32" s="98">
        <f t="shared" si="10"/>
        <v>0</v>
      </c>
      <c r="BO32" s="98">
        <f t="shared" si="41"/>
        <v>0</v>
      </c>
      <c r="BP32" s="98">
        <f t="shared" ref="BP32:BP66" si="69">$F32*AU32</f>
        <v>0</v>
      </c>
      <c r="BQ32" s="98">
        <f t="shared" si="43"/>
        <v>0</v>
      </c>
      <c r="BR32" s="98">
        <f t="shared" ref="BR32:BR66" si="70">$F32*AW32</f>
        <v>0</v>
      </c>
    </row>
    <row r="33" spans="1:70" x14ac:dyDescent="0.25">
      <c r="A33" t="s">
        <v>57</v>
      </c>
      <c r="B33" t="s">
        <v>16</v>
      </c>
      <c r="C33">
        <v>2023</v>
      </c>
      <c r="D33" s="98">
        <f>INDEX('Reference Sheet'!$G$9:$J$100, MATCH(A33,'Reference Sheet'!$F$9:$F$100,0), MATCH(C33,'Reference Sheet'!$G$8:$J$8,0))/2080</f>
        <v>71.291461538461533</v>
      </c>
      <c r="E33" s="99">
        <f>VLOOKUP(C33,'Reference Sheet'!$A$2:$B$5,2)</f>
        <v>0.21360000000000001</v>
      </c>
      <c r="F33" s="98">
        <f t="shared" si="0"/>
        <v>86.519317723076924</v>
      </c>
      <c r="G33" s="98"/>
      <c r="H33" s="98"/>
      <c r="I33" s="32"/>
      <c r="J33" s="32"/>
      <c r="K33" s="32"/>
      <c r="L33" s="32"/>
      <c r="M33" s="32"/>
      <c r="N33" s="32"/>
      <c r="O33" s="32"/>
      <c r="P33" s="32"/>
      <c r="Q33" s="32">
        <v>4.8</v>
      </c>
      <c r="R33" s="32"/>
      <c r="S33" s="32"/>
      <c r="T33" s="32"/>
      <c r="U33" s="32"/>
      <c r="V33" s="32"/>
      <c r="W33" s="32"/>
      <c r="X33" s="32"/>
      <c r="Y33" s="32"/>
      <c r="Z33" s="32"/>
      <c r="AA33" s="98">
        <f t="shared" si="1"/>
        <v>4.8</v>
      </c>
      <c r="AB33" s="98">
        <f t="shared" si="62"/>
        <v>4.8</v>
      </c>
      <c r="AC33" s="98">
        <f t="shared" si="2"/>
        <v>0</v>
      </c>
      <c r="AD33" s="100">
        <f t="shared" si="11"/>
        <v>0</v>
      </c>
      <c r="AE33" s="100">
        <f t="shared" si="12"/>
        <v>0</v>
      </c>
      <c r="AF33" s="100">
        <f t="shared" si="13"/>
        <v>0</v>
      </c>
      <c r="AG33" s="100">
        <f t="shared" si="14"/>
        <v>0</v>
      </c>
      <c r="AH33" s="100">
        <f t="shared" si="15"/>
        <v>0</v>
      </c>
      <c r="AI33" s="100">
        <f t="shared" si="16"/>
        <v>0</v>
      </c>
      <c r="AJ33" s="100">
        <f t="shared" si="17"/>
        <v>0</v>
      </c>
      <c r="AK33" s="100">
        <f t="shared" si="18"/>
        <v>0</v>
      </c>
      <c r="AL33" s="100">
        <f t="shared" si="19"/>
        <v>0</v>
      </c>
      <c r="AM33" s="100">
        <f t="shared" si="20"/>
        <v>0</v>
      </c>
      <c r="AN33" s="100">
        <f t="shared" si="21"/>
        <v>4.8</v>
      </c>
      <c r="AO33" s="100">
        <f t="shared" si="22"/>
        <v>0</v>
      </c>
      <c r="AP33" s="100">
        <f t="shared" si="23"/>
        <v>0</v>
      </c>
      <c r="AQ33" s="100">
        <f t="shared" si="24"/>
        <v>0</v>
      </c>
      <c r="AR33" s="100">
        <f t="shared" si="25"/>
        <v>0</v>
      </c>
      <c r="AS33" s="100">
        <f t="shared" si="26"/>
        <v>0</v>
      </c>
      <c r="AT33" s="100">
        <f t="shared" si="27"/>
        <v>0</v>
      </c>
      <c r="AU33" s="100">
        <f t="shared" si="63"/>
        <v>0</v>
      </c>
      <c r="AV33" s="100">
        <f t="shared" si="29"/>
        <v>0</v>
      </c>
      <c r="AW33" s="100">
        <f t="shared" si="64"/>
        <v>0</v>
      </c>
      <c r="AX33">
        <f t="shared" si="4"/>
        <v>4.8</v>
      </c>
      <c r="AY33" s="98">
        <f t="shared" si="31"/>
        <v>0</v>
      </c>
      <c r="AZ33" s="98">
        <f t="shared" si="32"/>
        <v>0</v>
      </c>
      <c r="BA33" s="98">
        <f t="shared" si="65"/>
        <v>0</v>
      </c>
      <c r="BB33" s="98">
        <f t="shared" si="34"/>
        <v>0</v>
      </c>
      <c r="BC33" s="98">
        <f t="shared" si="66"/>
        <v>0</v>
      </c>
      <c r="BD33" s="98">
        <f t="shared" si="5"/>
        <v>0</v>
      </c>
      <c r="BE33" s="98">
        <f t="shared" si="6"/>
        <v>0</v>
      </c>
      <c r="BF33" s="98">
        <f t="shared" si="36"/>
        <v>0</v>
      </c>
      <c r="BG33" s="98">
        <f t="shared" si="37"/>
        <v>0</v>
      </c>
      <c r="BH33" s="98">
        <f t="shared" si="67"/>
        <v>0</v>
      </c>
      <c r="BI33" s="98">
        <f t="shared" si="7"/>
        <v>415.29272507076922</v>
      </c>
      <c r="BJ33" s="98">
        <f t="shared" si="8"/>
        <v>0</v>
      </c>
      <c r="BK33" s="98">
        <f t="shared" si="9"/>
        <v>0</v>
      </c>
      <c r="BL33" s="98">
        <f t="shared" si="39"/>
        <v>0</v>
      </c>
      <c r="BM33" s="98">
        <f t="shared" si="68"/>
        <v>0</v>
      </c>
      <c r="BN33" s="98">
        <f t="shared" si="10"/>
        <v>0</v>
      </c>
      <c r="BO33" s="98">
        <f t="shared" si="41"/>
        <v>0</v>
      </c>
      <c r="BP33" s="98">
        <f t="shared" si="69"/>
        <v>0</v>
      </c>
      <c r="BQ33" s="98">
        <f t="shared" si="43"/>
        <v>0</v>
      </c>
      <c r="BR33" s="98">
        <f t="shared" si="70"/>
        <v>0</v>
      </c>
    </row>
    <row r="34" spans="1:70" x14ac:dyDescent="0.25">
      <c r="A34" t="s">
        <v>57</v>
      </c>
      <c r="B34" t="s">
        <v>17</v>
      </c>
      <c r="C34">
        <v>2023</v>
      </c>
      <c r="D34" s="98">
        <f>INDEX('Reference Sheet'!$G$9:$J$100, MATCH(A34,'Reference Sheet'!$F$9:$F$100,0), MATCH(C34,'Reference Sheet'!$G$8:$J$8,0))/2080</f>
        <v>71.291461538461533</v>
      </c>
      <c r="E34" s="99">
        <f>VLOOKUP(C34,'Reference Sheet'!$A$2:$B$5,2)</f>
        <v>0.21360000000000001</v>
      </c>
      <c r="F34" s="98">
        <f t="shared" si="0"/>
        <v>86.519317723076924</v>
      </c>
      <c r="G34" s="98"/>
      <c r="H34" s="98"/>
      <c r="I34" s="32"/>
      <c r="J34" s="32"/>
      <c r="K34" s="32"/>
      <c r="L34" s="32"/>
      <c r="M34" s="32"/>
      <c r="N34" s="32"/>
      <c r="O34" s="32"/>
      <c r="P34" s="32"/>
      <c r="Q34" s="32">
        <v>4.8</v>
      </c>
      <c r="R34" s="32"/>
      <c r="S34" s="32"/>
      <c r="T34" s="32"/>
      <c r="U34" s="32"/>
      <c r="V34" s="32"/>
      <c r="W34" s="32"/>
      <c r="X34" s="32"/>
      <c r="Y34" s="32"/>
      <c r="Z34" s="32"/>
      <c r="AA34" s="98">
        <f t="shared" si="1"/>
        <v>4.8</v>
      </c>
      <c r="AB34" s="98">
        <f t="shared" si="62"/>
        <v>4.8</v>
      </c>
      <c r="AC34" s="98">
        <f t="shared" si="2"/>
        <v>0</v>
      </c>
      <c r="AD34" s="100">
        <f t="shared" si="11"/>
        <v>0</v>
      </c>
      <c r="AE34" s="100">
        <f t="shared" si="12"/>
        <v>0</v>
      </c>
      <c r="AF34" s="100">
        <f t="shared" si="13"/>
        <v>0</v>
      </c>
      <c r="AG34" s="100">
        <f t="shared" si="14"/>
        <v>0</v>
      </c>
      <c r="AH34" s="100">
        <f t="shared" si="15"/>
        <v>0</v>
      </c>
      <c r="AI34" s="100">
        <f t="shared" si="16"/>
        <v>0</v>
      </c>
      <c r="AJ34" s="100">
        <f t="shared" si="17"/>
        <v>0</v>
      </c>
      <c r="AK34" s="100">
        <f t="shared" si="18"/>
        <v>0</v>
      </c>
      <c r="AL34" s="100">
        <f t="shared" si="19"/>
        <v>0</v>
      </c>
      <c r="AM34" s="100">
        <f t="shared" si="20"/>
        <v>0</v>
      </c>
      <c r="AN34" s="100">
        <f t="shared" si="21"/>
        <v>4.8</v>
      </c>
      <c r="AO34" s="100">
        <f t="shared" si="22"/>
        <v>0</v>
      </c>
      <c r="AP34" s="100">
        <f t="shared" si="23"/>
        <v>0</v>
      </c>
      <c r="AQ34" s="100">
        <f t="shared" si="24"/>
        <v>0</v>
      </c>
      <c r="AR34" s="100">
        <f t="shared" si="25"/>
        <v>0</v>
      </c>
      <c r="AS34" s="100">
        <f t="shared" si="26"/>
        <v>0</v>
      </c>
      <c r="AT34" s="100">
        <f t="shared" si="27"/>
        <v>0</v>
      </c>
      <c r="AU34" s="100">
        <f t="shared" si="63"/>
        <v>0</v>
      </c>
      <c r="AV34" s="100">
        <f t="shared" si="29"/>
        <v>0</v>
      </c>
      <c r="AW34" s="100">
        <f t="shared" si="64"/>
        <v>0</v>
      </c>
      <c r="AX34">
        <f t="shared" si="4"/>
        <v>4.8</v>
      </c>
      <c r="AY34" s="98">
        <f t="shared" si="31"/>
        <v>0</v>
      </c>
      <c r="AZ34" s="98">
        <f t="shared" si="32"/>
        <v>0</v>
      </c>
      <c r="BA34" s="98">
        <f t="shared" si="65"/>
        <v>0</v>
      </c>
      <c r="BB34" s="98">
        <f t="shared" si="34"/>
        <v>0</v>
      </c>
      <c r="BC34" s="98">
        <f t="shared" si="66"/>
        <v>0</v>
      </c>
      <c r="BD34" s="98">
        <f t="shared" si="5"/>
        <v>0</v>
      </c>
      <c r="BE34" s="98">
        <f t="shared" si="6"/>
        <v>0</v>
      </c>
      <c r="BF34" s="98">
        <f t="shared" si="36"/>
        <v>0</v>
      </c>
      <c r="BG34" s="98">
        <f t="shared" si="37"/>
        <v>0</v>
      </c>
      <c r="BH34" s="98">
        <f t="shared" si="67"/>
        <v>0</v>
      </c>
      <c r="BI34" s="98">
        <f t="shared" si="7"/>
        <v>415.29272507076922</v>
      </c>
      <c r="BJ34" s="98">
        <f t="shared" si="8"/>
        <v>0</v>
      </c>
      <c r="BK34" s="98">
        <f t="shared" si="9"/>
        <v>0</v>
      </c>
      <c r="BL34" s="98">
        <f t="shared" si="39"/>
        <v>0</v>
      </c>
      <c r="BM34" s="98">
        <f t="shared" si="68"/>
        <v>0</v>
      </c>
      <c r="BN34" s="98">
        <f t="shared" si="10"/>
        <v>0</v>
      </c>
      <c r="BO34" s="98">
        <f t="shared" si="41"/>
        <v>0</v>
      </c>
      <c r="BP34" s="98">
        <f t="shared" si="69"/>
        <v>0</v>
      </c>
      <c r="BQ34" s="98">
        <f t="shared" si="43"/>
        <v>0</v>
      </c>
      <c r="BR34" s="98">
        <f t="shared" si="70"/>
        <v>0</v>
      </c>
    </row>
    <row r="35" spans="1:70" x14ac:dyDescent="0.25">
      <c r="A35" t="s">
        <v>57</v>
      </c>
      <c r="B35" t="s">
        <v>6</v>
      </c>
      <c r="C35">
        <v>2024</v>
      </c>
      <c r="D35" s="98">
        <f>INDEX('Reference Sheet'!$G$9:$J$100, MATCH(A35,'Reference Sheet'!$F$9:$F$100,0), MATCH(C35,'Reference Sheet'!$G$8:$J$8,0))/2080</f>
        <v>81.091389423076919</v>
      </c>
      <c r="E35" s="99">
        <f>VLOOKUP(C35,'Reference Sheet'!$A$2:$B$5,2)</f>
        <v>0.1913</v>
      </c>
      <c r="F35" s="98">
        <f t="shared" si="0"/>
        <v>96.604172219711529</v>
      </c>
      <c r="G35" s="98"/>
      <c r="H35" s="98"/>
      <c r="I35" s="32"/>
      <c r="J35" s="32"/>
      <c r="K35" s="32"/>
      <c r="L35" s="32"/>
      <c r="M35" s="32"/>
      <c r="N35" s="32"/>
      <c r="O35" s="32"/>
      <c r="P35" s="32"/>
      <c r="Q35" s="32">
        <v>4.8</v>
      </c>
      <c r="R35" s="32"/>
      <c r="S35" s="32"/>
      <c r="T35" s="32"/>
      <c r="U35" s="32"/>
      <c r="V35" s="32"/>
      <c r="W35" s="32"/>
      <c r="X35" s="32"/>
      <c r="Y35" s="32"/>
      <c r="Z35" s="32"/>
      <c r="AA35" s="98">
        <f t="shared" si="1"/>
        <v>4.8</v>
      </c>
      <c r="AB35" s="98">
        <f t="shared" si="62"/>
        <v>4.8</v>
      </c>
      <c r="AC35" s="98">
        <f t="shared" si="2"/>
        <v>0</v>
      </c>
      <c r="AD35" s="100">
        <f t="shared" ref="AD35:AD66" si="71">(G35/$AA35)*$AB35</f>
        <v>0</v>
      </c>
      <c r="AE35" s="100">
        <f t="shared" ref="AE35:AE66" si="72">(H35/$AA35)*$AB35</f>
        <v>0</v>
      </c>
      <c r="AF35" s="100">
        <f t="shared" ref="AF35:AF66" si="73">(I35/$AA35)*$AB35</f>
        <v>0</v>
      </c>
      <c r="AG35" s="100">
        <f t="shared" ref="AG35:AG66" si="74">(J35/$AA35)*$AB35</f>
        <v>0</v>
      </c>
      <c r="AH35" s="100">
        <f t="shared" ref="AH35:AH66" si="75">(K35/$AA35)*$AB35</f>
        <v>0</v>
      </c>
      <c r="AI35" s="100">
        <f t="shared" ref="AI35:AI66" si="76">(L35/$AA35)*$AB35</f>
        <v>0</v>
      </c>
      <c r="AJ35" s="100">
        <f t="shared" ref="AJ35:AJ66" si="77">(M35/$AA35)*$AB35</f>
        <v>0</v>
      </c>
      <c r="AK35" s="100">
        <f t="shared" ref="AK35:AK66" si="78">(N35/$AA35)*$AB35</f>
        <v>0</v>
      </c>
      <c r="AL35" s="100">
        <f t="shared" si="19"/>
        <v>0</v>
      </c>
      <c r="AM35" s="100">
        <f t="shared" ref="AM35:AM66" si="79">(P35/$AA35)*$AB35</f>
        <v>0</v>
      </c>
      <c r="AN35" s="100">
        <f t="shared" ref="AN35:AN66" si="80">(Q35/$AA35)*$AB35</f>
        <v>4.8</v>
      </c>
      <c r="AO35" s="100">
        <f t="shared" ref="AO35:AO66" si="81">(R35/$AA35)*$AB35</f>
        <v>0</v>
      </c>
      <c r="AP35" s="100">
        <f t="shared" ref="AP35:AP66" si="82">(S35/$AA35)*$AB35</f>
        <v>0</v>
      </c>
      <c r="AQ35" s="100">
        <f t="shared" ref="AQ35:AQ66" si="83">(T35/$AA35)*$AB35</f>
        <v>0</v>
      </c>
      <c r="AR35" s="100">
        <f t="shared" ref="AR35:AR66" si="84">(U35/$AA35)*$AB35</f>
        <v>0</v>
      </c>
      <c r="AS35" s="100">
        <f t="shared" ref="AS35:AS66" si="85">(V35/$AA35)*$AB35</f>
        <v>0</v>
      </c>
      <c r="AT35" s="100">
        <f t="shared" si="27"/>
        <v>0</v>
      </c>
      <c r="AU35" s="100">
        <f t="shared" si="63"/>
        <v>0</v>
      </c>
      <c r="AV35" s="100">
        <f t="shared" si="29"/>
        <v>0</v>
      </c>
      <c r="AW35" s="100">
        <f t="shared" si="64"/>
        <v>0</v>
      </c>
      <c r="AX35">
        <f t="shared" si="4"/>
        <v>4.8</v>
      </c>
      <c r="AY35" s="98">
        <f t="shared" si="31"/>
        <v>0</v>
      </c>
      <c r="AZ35" s="98">
        <f t="shared" si="32"/>
        <v>0</v>
      </c>
      <c r="BA35" s="98">
        <f t="shared" si="65"/>
        <v>0</v>
      </c>
      <c r="BB35" s="98">
        <f t="shared" si="34"/>
        <v>0</v>
      </c>
      <c r="BC35" s="98">
        <f t="shared" si="66"/>
        <v>0</v>
      </c>
      <c r="BD35" s="98">
        <f t="shared" si="5"/>
        <v>0</v>
      </c>
      <c r="BE35" s="98">
        <f t="shared" si="6"/>
        <v>0</v>
      </c>
      <c r="BF35" s="98">
        <f t="shared" si="36"/>
        <v>0</v>
      </c>
      <c r="BG35" s="98">
        <f t="shared" si="37"/>
        <v>0</v>
      </c>
      <c r="BH35" s="98">
        <f t="shared" si="67"/>
        <v>0</v>
      </c>
      <c r="BI35" s="98">
        <f t="shared" si="7"/>
        <v>463.70002665461533</v>
      </c>
      <c r="BJ35" s="98">
        <f t="shared" si="8"/>
        <v>0</v>
      </c>
      <c r="BK35" s="98">
        <f t="shared" si="9"/>
        <v>0</v>
      </c>
      <c r="BL35" s="98">
        <f t="shared" si="39"/>
        <v>0</v>
      </c>
      <c r="BM35" s="98">
        <f t="shared" si="68"/>
        <v>0</v>
      </c>
      <c r="BN35" s="98">
        <f t="shared" si="10"/>
        <v>0</v>
      </c>
      <c r="BO35" s="98">
        <f t="shared" si="41"/>
        <v>0</v>
      </c>
      <c r="BP35" s="98">
        <f t="shared" si="69"/>
        <v>0</v>
      </c>
      <c r="BQ35" s="98">
        <f t="shared" si="43"/>
        <v>0</v>
      </c>
      <c r="BR35" s="98">
        <f t="shared" si="70"/>
        <v>0</v>
      </c>
    </row>
    <row r="36" spans="1:70" x14ac:dyDescent="0.25">
      <c r="A36" t="s">
        <v>57</v>
      </c>
      <c r="B36" t="s">
        <v>7</v>
      </c>
      <c r="C36">
        <v>2024</v>
      </c>
      <c r="D36" s="98">
        <f>INDEX('Reference Sheet'!$G$9:$J$100, MATCH(A36,'Reference Sheet'!$F$9:$F$100,0), MATCH(C36,'Reference Sheet'!$G$8:$J$8,0))/2080</f>
        <v>81.091389423076919</v>
      </c>
      <c r="E36" s="99">
        <f>VLOOKUP(C36,'Reference Sheet'!$A$2:$B$5,2)</f>
        <v>0.1913</v>
      </c>
      <c r="F36" s="98">
        <f t="shared" si="0"/>
        <v>96.604172219711529</v>
      </c>
      <c r="G36" s="98"/>
      <c r="H36" s="98"/>
      <c r="I36" s="32"/>
      <c r="J36" s="32"/>
      <c r="K36" s="32"/>
      <c r="L36" s="32"/>
      <c r="M36" s="32"/>
      <c r="N36" s="32"/>
      <c r="O36" s="32"/>
      <c r="P36" s="32"/>
      <c r="Q36" s="32">
        <v>4.8</v>
      </c>
      <c r="R36" s="32"/>
      <c r="S36" s="32"/>
      <c r="T36" s="32"/>
      <c r="U36" s="32"/>
      <c r="V36" s="32"/>
      <c r="W36" s="32"/>
      <c r="X36" s="32"/>
      <c r="Y36" s="32"/>
      <c r="Z36" s="32"/>
      <c r="AA36" s="98">
        <f t="shared" si="1"/>
        <v>4.8</v>
      </c>
      <c r="AB36" s="98">
        <f t="shared" si="62"/>
        <v>4.8</v>
      </c>
      <c r="AC36" s="98">
        <f t="shared" si="2"/>
        <v>0</v>
      </c>
      <c r="AD36" s="100">
        <f t="shared" si="71"/>
        <v>0</v>
      </c>
      <c r="AE36" s="100">
        <f t="shared" si="72"/>
        <v>0</v>
      </c>
      <c r="AF36" s="100">
        <f t="shared" si="73"/>
        <v>0</v>
      </c>
      <c r="AG36" s="100">
        <f t="shared" si="74"/>
        <v>0</v>
      </c>
      <c r="AH36" s="100">
        <f t="shared" si="75"/>
        <v>0</v>
      </c>
      <c r="AI36" s="100">
        <f t="shared" si="76"/>
        <v>0</v>
      </c>
      <c r="AJ36" s="100">
        <f t="shared" si="77"/>
        <v>0</v>
      </c>
      <c r="AK36" s="100">
        <f t="shared" si="78"/>
        <v>0</v>
      </c>
      <c r="AL36" s="100">
        <f t="shared" si="19"/>
        <v>0</v>
      </c>
      <c r="AM36" s="100">
        <f t="shared" si="79"/>
        <v>0</v>
      </c>
      <c r="AN36" s="100">
        <f t="shared" si="80"/>
        <v>4.8</v>
      </c>
      <c r="AO36" s="100">
        <f t="shared" si="81"/>
        <v>0</v>
      </c>
      <c r="AP36" s="100">
        <f t="shared" si="82"/>
        <v>0</v>
      </c>
      <c r="AQ36" s="100">
        <f t="shared" si="83"/>
        <v>0</v>
      </c>
      <c r="AR36" s="100">
        <f t="shared" si="84"/>
        <v>0</v>
      </c>
      <c r="AS36" s="100">
        <f t="shared" si="85"/>
        <v>0</v>
      </c>
      <c r="AT36" s="100">
        <f t="shared" si="27"/>
        <v>0</v>
      </c>
      <c r="AU36" s="100">
        <f t="shared" si="63"/>
        <v>0</v>
      </c>
      <c r="AV36" s="100">
        <f t="shared" si="29"/>
        <v>0</v>
      </c>
      <c r="AW36" s="100">
        <f t="shared" si="64"/>
        <v>0</v>
      </c>
      <c r="AX36">
        <f t="shared" si="4"/>
        <v>4.8</v>
      </c>
      <c r="AY36" s="98">
        <f t="shared" si="31"/>
        <v>0</v>
      </c>
      <c r="AZ36" s="98">
        <f t="shared" si="32"/>
        <v>0</v>
      </c>
      <c r="BA36" s="98">
        <f t="shared" si="65"/>
        <v>0</v>
      </c>
      <c r="BB36" s="98">
        <f t="shared" si="34"/>
        <v>0</v>
      </c>
      <c r="BC36" s="98">
        <f t="shared" si="66"/>
        <v>0</v>
      </c>
      <c r="BD36" s="98">
        <f t="shared" si="5"/>
        <v>0</v>
      </c>
      <c r="BE36" s="98">
        <f t="shared" si="6"/>
        <v>0</v>
      </c>
      <c r="BF36" s="98">
        <f t="shared" si="36"/>
        <v>0</v>
      </c>
      <c r="BG36" s="98">
        <f t="shared" si="37"/>
        <v>0</v>
      </c>
      <c r="BH36" s="98">
        <f t="shared" si="67"/>
        <v>0</v>
      </c>
      <c r="BI36" s="98">
        <f t="shared" si="7"/>
        <v>463.70002665461533</v>
      </c>
      <c r="BJ36" s="98">
        <f t="shared" si="8"/>
        <v>0</v>
      </c>
      <c r="BK36" s="98">
        <f t="shared" si="9"/>
        <v>0</v>
      </c>
      <c r="BL36" s="98">
        <f t="shared" si="39"/>
        <v>0</v>
      </c>
      <c r="BM36" s="98">
        <f t="shared" si="68"/>
        <v>0</v>
      </c>
      <c r="BN36" s="98">
        <f t="shared" si="10"/>
        <v>0</v>
      </c>
      <c r="BO36" s="98">
        <f t="shared" si="41"/>
        <v>0</v>
      </c>
      <c r="BP36" s="98">
        <f t="shared" si="69"/>
        <v>0</v>
      </c>
      <c r="BQ36" s="98">
        <f t="shared" si="43"/>
        <v>0</v>
      </c>
      <c r="BR36" s="98">
        <f t="shared" si="70"/>
        <v>0</v>
      </c>
    </row>
    <row r="37" spans="1:70" x14ac:dyDescent="0.25">
      <c r="A37" t="s">
        <v>57</v>
      </c>
      <c r="B37" t="s">
        <v>8</v>
      </c>
      <c r="C37">
        <v>2024</v>
      </c>
      <c r="D37" s="98">
        <f>INDEX('Reference Sheet'!$G$9:$J$100, MATCH(A37,'Reference Sheet'!$F$9:$F$100,0), MATCH(C37,'Reference Sheet'!$G$8:$J$8,0))/2080</f>
        <v>81.091389423076919</v>
      </c>
      <c r="E37" s="99">
        <f>VLOOKUP(C37,'Reference Sheet'!$A$2:$B$5,2)</f>
        <v>0.1913</v>
      </c>
      <c r="F37" s="98">
        <f t="shared" si="0"/>
        <v>96.604172219711529</v>
      </c>
      <c r="G37" s="98"/>
      <c r="H37" s="98"/>
      <c r="I37" s="32"/>
      <c r="J37" s="32"/>
      <c r="K37" s="32"/>
      <c r="L37" s="32"/>
      <c r="M37" s="32"/>
      <c r="N37" s="32"/>
      <c r="O37" s="32"/>
      <c r="P37" s="32"/>
      <c r="Q37" s="32">
        <v>4.8</v>
      </c>
      <c r="R37" s="32"/>
      <c r="S37" s="32"/>
      <c r="T37" s="32"/>
      <c r="U37" s="32"/>
      <c r="V37" s="32"/>
      <c r="W37" s="32"/>
      <c r="X37" s="32"/>
      <c r="Y37" s="32"/>
      <c r="Z37" s="32"/>
      <c r="AA37" s="98">
        <f t="shared" si="1"/>
        <v>4.8</v>
      </c>
      <c r="AB37" s="98">
        <f t="shared" si="62"/>
        <v>4.8</v>
      </c>
      <c r="AC37" s="98">
        <f t="shared" si="2"/>
        <v>0</v>
      </c>
      <c r="AD37" s="100">
        <f t="shared" si="71"/>
        <v>0</v>
      </c>
      <c r="AE37" s="100">
        <f t="shared" si="72"/>
        <v>0</v>
      </c>
      <c r="AF37" s="100">
        <f t="shared" si="73"/>
        <v>0</v>
      </c>
      <c r="AG37" s="100">
        <f t="shared" si="74"/>
        <v>0</v>
      </c>
      <c r="AH37" s="100">
        <f t="shared" si="75"/>
        <v>0</v>
      </c>
      <c r="AI37" s="100">
        <f t="shared" si="76"/>
        <v>0</v>
      </c>
      <c r="AJ37" s="100">
        <f t="shared" si="77"/>
        <v>0</v>
      </c>
      <c r="AK37" s="100">
        <f t="shared" si="78"/>
        <v>0</v>
      </c>
      <c r="AL37" s="100">
        <f t="shared" si="19"/>
        <v>0</v>
      </c>
      <c r="AM37" s="100">
        <f t="shared" si="79"/>
        <v>0</v>
      </c>
      <c r="AN37" s="100">
        <f t="shared" si="80"/>
        <v>4.8</v>
      </c>
      <c r="AO37" s="100">
        <f t="shared" si="81"/>
        <v>0</v>
      </c>
      <c r="AP37" s="100">
        <f t="shared" si="82"/>
        <v>0</v>
      </c>
      <c r="AQ37" s="100">
        <f t="shared" si="83"/>
        <v>0</v>
      </c>
      <c r="AR37" s="100">
        <f t="shared" si="84"/>
        <v>0</v>
      </c>
      <c r="AS37" s="100">
        <f t="shared" si="85"/>
        <v>0</v>
      </c>
      <c r="AT37" s="100">
        <f t="shared" si="27"/>
        <v>0</v>
      </c>
      <c r="AU37" s="100">
        <f t="shared" si="63"/>
        <v>0</v>
      </c>
      <c r="AV37" s="100">
        <f t="shared" si="29"/>
        <v>0</v>
      </c>
      <c r="AW37" s="100">
        <f t="shared" si="64"/>
        <v>0</v>
      </c>
      <c r="AX37">
        <f t="shared" si="4"/>
        <v>4.8</v>
      </c>
      <c r="AY37" s="98">
        <f t="shared" si="31"/>
        <v>0</v>
      </c>
      <c r="AZ37" s="98">
        <f t="shared" si="32"/>
        <v>0</v>
      </c>
      <c r="BA37" s="98">
        <f t="shared" si="65"/>
        <v>0</v>
      </c>
      <c r="BB37" s="98">
        <f t="shared" si="34"/>
        <v>0</v>
      </c>
      <c r="BC37" s="98">
        <f t="shared" si="66"/>
        <v>0</v>
      </c>
      <c r="BD37" s="98">
        <f t="shared" si="5"/>
        <v>0</v>
      </c>
      <c r="BE37" s="98">
        <f t="shared" si="6"/>
        <v>0</v>
      </c>
      <c r="BF37" s="98">
        <f t="shared" si="36"/>
        <v>0</v>
      </c>
      <c r="BG37" s="98">
        <f t="shared" si="37"/>
        <v>0</v>
      </c>
      <c r="BH37" s="98">
        <f t="shared" si="67"/>
        <v>0</v>
      </c>
      <c r="BI37" s="98">
        <f t="shared" si="7"/>
        <v>463.70002665461533</v>
      </c>
      <c r="BJ37" s="98">
        <f t="shared" si="8"/>
        <v>0</v>
      </c>
      <c r="BK37" s="98">
        <f t="shared" si="9"/>
        <v>0</v>
      </c>
      <c r="BL37" s="98">
        <f t="shared" si="39"/>
        <v>0</v>
      </c>
      <c r="BM37" s="98">
        <f t="shared" si="68"/>
        <v>0</v>
      </c>
      <c r="BN37" s="98">
        <f t="shared" si="10"/>
        <v>0</v>
      </c>
      <c r="BO37" s="98">
        <f t="shared" si="41"/>
        <v>0</v>
      </c>
      <c r="BP37" s="98">
        <f t="shared" si="69"/>
        <v>0</v>
      </c>
      <c r="BQ37" s="98">
        <f t="shared" si="43"/>
        <v>0</v>
      </c>
      <c r="BR37" s="98">
        <f t="shared" si="70"/>
        <v>0</v>
      </c>
    </row>
    <row r="38" spans="1:70" x14ac:dyDescent="0.25">
      <c r="A38" t="s">
        <v>57</v>
      </c>
      <c r="B38" t="s">
        <v>9</v>
      </c>
      <c r="C38">
        <v>2024</v>
      </c>
      <c r="D38" s="98">
        <f>INDEX('Reference Sheet'!$G$9:$J$100, MATCH(A38,'Reference Sheet'!$F$9:$F$100,0), MATCH(C38,'Reference Sheet'!$G$8:$J$8,0))/2080</f>
        <v>81.091389423076919</v>
      </c>
      <c r="E38" s="99">
        <f>VLOOKUP(C38,'Reference Sheet'!$A$2:$B$5,2)</f>
        <v>0.1913</v>
      </c>
      <c r="F38" s="98">
        <f t="shared" si="0"/>
        <v>96.604172219711529</v>
      </c>
      <c r="G38" s="98"/>
      <c r="H38" s="98"/>
      <c r="I38" s="32"/>
      <c r="J38" s="32"/>
      <c r="K38" s="32"/>
      <c r="L38" s="32"/>
      <c r="M38" s="32"/>
      <c r="N38" s="32"/>
      <c r="O38" s="32"/>
      <c r="P38" s="32"/>
      <c r="Q38" s="32">
        <v>4.8</v>
      </c>
      <c r="R38" s="32"/>
      <c r="S38" s="32"/>
      <c r="T38" s="32"/>
      <c r="U38" s="32"/>
      <c r="V38" s="32"/>
      <c r="W38" s="32"/>
      <c r="X38" s="32"/>
      <c r="Y38" s="32"/>
      <c r="Z38" s="32"/>
      <c r="AA38" s="98">
        <f t="shared" si="1"/>
        <v>4.8</v>
      </c>
      <c r="AB38" s="98">
        <f t="shared" si="62"/>
        <v>4.8</v>
      </c>
      <c r="AC38" s="98">
        <f t="shared" si="2"/>
        <v>0</v>
      </c>
      <c r="AD38" s="100">
        <f t="shared" si="71"/>
        <v>0</v>
      </c>
      <c r="AE38" s="100">
        <f t="shared" si="72"/>
        <v>0</v>
      </c>
      <c r="AF38" s="100">
        <f t="shared" si="73"/>
        <v>0</v>
      </c>
      <c r="AG38" s="100">
        <f t="shared" si="74"/>
        <v>0</v>
      </c>
      <c r="AH38" s="100">
        <f t="shared" si="75"/>
        <v>0</v>
      </c>
      <c r="AI38" s="100">
        <f t="shared" si="76"/>
        <v>0</v>
      </c>
      <c r="AJ38" s="100">
        <f t="shared" si="77"/>
        <v>0</v>
      </c>
      <c r="AK38" s="100">
        <f t="shared" si="78"/>
        <v>0</v>
      </c>
      <c r="AL38" s="100">
        <f t="shared" si="19"/>
        <v>0</v>
      </c>
      <c r="AM38" s="100">
        <f t="shared" si="79"/>
        <v>0</v>
      </c>
      <c r="AN38" s="100">
        <f t="shared" si="80"/>
        <v>4.8</v>
      </c>
      <c r="AO38" s="100">
        <f t="shared" si="81"/>
        <v>0</v>
      </c>
      <c r="AP38" s="100">
        <f t="shared" si="82"/>
        <v>0</v>
      </c>
      <c r="AQ38" s="100">
        <f t="shared" si="83"/>
        <v>0</v>
      </c>
      <c r="AR38" s="100">
        <f t="shared" si="84"/>
        <v>0</v>
      </c>
      <c r="AS38" s="100">
        <f t="shared" si="85"/>
        <v>0</v>
      </c>
      <c r="AT38" s="100">
        <f t="shared" si="27"/>
        <v>0</v>
      </c>
      <c r="AU38" s="100">
        <f t="shared" si="63"/>
        <v>0</v>
      </c>
      <c r="AV38" s="100">
        <f t="shared" si="29"/>
        <v>0</v>
      </c>
      <c r="AW38" s="100">
        <f t="shared" si="64"/>
        <v>0</v>
      </c>
      <c r="AX38">
        <f t="shared" si="4"/>
        <v>4.8</v>
      </c>
      <c r="AY38" s="98">
        <f t="shared" si="31"/>
        <v>0</v>
      </c>
      <c r="AZ38" s="98">
        <f t="shared" si="32"/>
        <v>0</v>
      </c>
      <c r="BA38" s="98">
        <f t="shared" si="65"/>
        <v>0</v>
      </c>
      <c r="BB38" s="98">
        <f t="shared" si="34"/>
        <v>0</v>
      </c>
      <c r="BC38" s="98">
        <f t="shared" si="66"/>
        <v>0</v>
      </c>
      <c r="BD38" s="98">
        <f t="shared" si="5"/>
        <v>0</v>
      </c>
      <c r="BE38" s="98">
        <f t="shared" si="6"/>
        <v>0</v>
      </c>
      <c r="BF38" s="98">
        <f t="shared" si="36"/>
        <v>0</v>
      </c>
      <c r="BG38" s="98">
        <f t="shared" si="37"/>
        <v>0</v>
      </c>
      <c r="BH38" s="98">
        <f t="shared" si="67"/>
        <v>0</v>
      </c>
      <c r="BI38" s="98">
        <f t="shared" si="7"/>
        <v>463.70002665461533</v>
      </c>
      <c r="BJ38" s="98">
        <f t="shared" si="8"/>
        <v>0</v>
      </c>
      <c r="BK38" s="98">
        <f t="shared" si="9"/>
        <v>0</v>
      </c>
      <c r="BL38" s="98">
        <f t="shared" si="39"/>
        <v>0</v>
      </c>
      <c r="BM38" s="98">
        <f t="shared" si="68"/>
        <v>0</v>
      </c>
      <c r="BN38" s="98">
        <f t="shared" si="10"/>
        <v>0</v>
      </c>
      <c r="BO38" s="98">
        <f t="shared" si="41"/>
        <v>0</v>
      </c>
      <c r="BP38" s="98">
        <f t="shared" si="69"/>
        <v>0</v>
      </c>
      <c r="BQ38" s="98">
        <f t="shared" si="43"/>
        <v>0</v>
      </c>
      <c r="BR38" s="98">
        <f t="shared" si="70"/>
        <v>0</v>
      </c>
    </row>
    <row r="39" spans="1:70" x14ac:dyDescent="0.25">
      <c r="A39" t="s">
        <v>57</v>
      </c>
      <c r="B39" t="s">
        <v>10</v>
      </c>
      <c r="C39">
        <v>2024</v>
      </c>
      <c r="D39" s="98">
        <f>INDEX('Reference Sheet'!$G$9:$J$100, MATCH(A39,'Reference Sheet'!$F$9:$F$100,0), MATCH(C39,'Reference Sheet'!$G$8:$J$8,0))/2080</f>
        <v>81.091389423076919</v>
      </c>
      <c r="E39" s="99">
        <f>VLOOKUP(C39,'Reference Sheet'!$A$2:$B$5,2)</f>
        <v>0.1913</v>
      </c>
      <c r="F39" s="98">
        <f t="shared" si="0"/>
        <v>96.604172219711529</v>
      </c>
      <c r="G39" s="98"/>
      <c r="H39" s="98"/>
      <c r="I39" s="32"/>
      <c r="J39" s="32"/>
      <c r="K39" s="32"/>
      <c r="L39" s="32"/>
      <c r="M39" s="32"/>
      <c r="N39" s="32"/>
      <c r="O39" s="32"/>
      <c r="P39" s="32"/>
      <c r="Q39" s="32">
        <v>4.8</v>
      </c>
      <c r="R39" s="32"/>
      <c r="S39" s="32"/>
      <c r="T39" s="32"/>
      <c r="U39" s="32"/>
      <c r="V39" s="32"/>
      <c r="W39" s="32"/>
      <c r="X39" s="32"/>
      <c r="Y39" s="32"/>
      <c r="Z39" s="32"/>
      <c r="AA39" s="98">
        <f t="shared" si="1"/>
        <v>4.8</v>
      </c>
      <c r="AB39" s="98">
        <f t="shared" si="62"/>
        <v>4.8</v>
      </c>
      <c r="AC39" s="98">
        <f t="shared" si="2"/>
        <v>0</v>
      </c>
      <c r="AD39" s="100">
        <f t="shared" si="71"/>
        <v>0</v>
      </c>
      <c r="AE39" s="100">
        <f t="shared" si="72"/>
        <v>0</v>
      </c>
      <c r="AF39" s="100">
        <f t="shared" si="73"/>
        <v>0</v>
      </c>
      <c r="AG39" s="100">
        <f t="shared" si="74"/>
        <v>0</v>
      </c>
      <c r="AH39" s="100">
        <f t="shared" si="75"/>
        <v>0</v>
      </c>
      <c r="AI39" s="100">
        <f t="shared" si="76"/>
        <v>0</v>
      </c>
      <c r="AJ39" s="100">
        <f t="shared" si="77"/>
        <v>0</v>
      </c>
      <c r="AK39" s="100">
        <f t="shared" si="78"/>
        <v>0</v>
      </c>
      <c r="AL39" s="100">
        <f t="shared" si="19"/>
        <v>0</v>
      </c>
      <c r="AM39" s="100">
        <f t="shared" si="79"/>
        <v>0</v>
      </c>
      <c r="AN39" s="100">
        <f t="shared" si="80"/>
        <v>4.8</v>
      </c>
      <c r="AO39" s="100">
        <f t="shared" si="81"/>
        <v>0</v>
      </c>
      <c r="AP39" s="100">
        <f t="shared" si="82"/>
        <v>0</v>
      </c>
      <c r="AQ39" s="100">
        <f t="shared" si="83"/>
        <v>0</v>
      </c>
      <c r="AR39" s="100">
        <f t="shared" si="84"/>
        <v>0</v>
      </c>
      <c r="AS39" s="100">
        <f t="shared" si="85"/>
        <v>0</v>
      </c>
      <c r="AT39" s="100">
        <f t="shared" si="27"/>
        <v>0</v>
      </c>
      <c r="AU39" s="100">
        <f t="shared" si="63"/>
        <v>0</v>
      </c>
      <c r="AV39" s="100">
        <f t="shared" si="29"/>
        <v>0</v>
      </c>
      <c r="AW39" s="100">
        <f t="shared" si="64"/>
        <v>0</v>
      </c>
      <c r="AX39">
        <f t="shared" si="4"/>
        <v>4.8</v>
      </c>
      <c r="AY39" s="98">
        <f t="shared" si="31"/>
        <v>0</v>
      </c>
      <c r="AZ39" s="98">
        <f t="shared" si="32"/>
        <v>0</v>
      </c>
      <c r="BA39" s="98">
        <f t="shared" si="65"/>
        <v>0</v>
      </c>
      <c r="BB39" s="98">
        <f t="shared" si="34"/>
        <v>0</v>
      </c>
      <c r="BC39" s="98">
        <f t="shared" si="66"/>
        <v>0</v>
      </c>
      <c r="BD39" s="98">
        <f t="shared" si="5"/>
        <v>0</v>
      </c>
      <c r="BE39" s="98">
        <f t="shared" si="6"/>
        <v>0</v>
      </c>
      <c r="BF39" s="98">
        <f t="shared" si="36"/>
        <v>0</v>
      </c>
      <c r="BG39" s="98">
        <f t="shared" si="37"/>
        <v>0</v>
      </c>
      <c r="BH39" s="98">
        <f t="shared" si="67"/>
        <v>0</v>
      </c>
      <c r="BI39" s="98">
        <f t="shared" si="7"/>
        <v>463.70002665461533</v>
      </c>
      <c r="BJ39" s="98">
        <f t="shared" si="8"/>
        <v>0</v>
      </c>
      <c r="BK39" s="98">
        <f t="shared" si="9"/>
        <v>0</v>
      </c>
      <c r="BL39" s="98">
        <f t="shared" si="39"/>
        <v>0</v>
      </c>
      <c r="BM39" s="98">
        <f t="shared" si="68"/>
        <v>0</v>
      </c>
      <c r="BN39" s="98">
        <f t="shared" si="10"/>
        <v>0</v>
      </c>
      <c r="BO39" s="98">
        <f t="shared" si="41"/>
        <v>0</v>
      </c>
      <c r="BP39" s="98">
        <f t="shared" si="69"/>
        <v>0</v>
      </c>
      <c r="BQ39" s="98">
        <f t="shared" si="43"/>
        <v>0</v>
      </c>
      <c r="BR39" s="98">
        <f t="shared" si="70"/>
        <v>0</v>
      </c>
    </row>
    <row r="40" spans="1:70" x14ac:dyDescent="0.25">
      <c r="A40" t="s">
        <v>57</v>
      </c>
      <c r="B40" t="s">
        <v>11</v>
      </c>
      <c r="C40">
        <v>2024</v>
      </c>
      <c r="D40" s="98">
        <f>INDEX('Reference Sheet'!$G$9:$J$100, MATCH(A40,'Reference Sheet'!$F$9:$F$100,0), MATCH(C40,'Reference Sheet'!$G$8:$J$8,0))/2080</f>
        <v>81.091389423076919</v>
      </c>
      <c r="E40" s="99">
        <f>VLOOKUP(C40,'Reference Sheet'!$A$2:$B$5,2)</f>
        <v>0.1913</v>
      </c>
      <c r="F40" s="98">
        <f t="shared" si="0"/>
        <v>96.604172219711529</v>
      </c>
      <c r="G40" s="98"/>
      <c r="H40" s="98"/>
      <c r="I40" s="32"/>
      <c r="J40" s="32"/>
      <c r="K40" s="32"/>
      <c r="L40" s="32"/>
      <c r="M40" s="32"/>
      <c r="N40" s="32"/>
      <c r="O40" s="32"/>
      <c r="P40" s="32"/>
      <c r="Q40" s="32">
        <v>4.8</v>
      </c>
      <c r="R40" s="32"/>
      <c r="S40" s="32"/>
      <c r="T40" s="32"/>
      <c r="U40" s="32"/>
      <c r="V40" s="32"/>
      <c r="W40" s="32"/>
      <c r="X40" s="32"/>
      <c r="Y40" s="32"/>
      <c r="Z40" s="32"/>
      <c r="AA40" s="98">
        <f t="shared" si="1"/>
        <v>4.8</v>
      </c>
      <c r="AB40" s="98">
        <f t="shared" si="62"/>
        <v>4.8</v>
      </c>
      <c r="AC40" s="98">
        <f t="shared" si="2"/>
        <v>0</v>
      </c>
      <c r="AD40" s="100">
        <f t="shared" si="71"/>
        <v>0</v>
      </c>
      <c r="AE40" s="100">
        <f t="shared" si="72"/>
        <v>0</v>
      </c>
      <c r="AF40" s="100">
        <f t="shared" si="73"/>
        <v>0</v>
      </c>
      <c r="AG40" s="100">
        <f t="shared" si="74"/>
        <v>0</v>
      </c>
      <c r="AH40" s="100">
        <f t="shared" si="75"/>
        <v>0</v>
      </c>
      <c r="AI40" s="100">
        <f t="shared" si="76"/>
        <v>0</v>
      </c>
      <c r="AJ40" s="100">
        <f t="shared" si="77"/>
        <v>0</v>
      </c>
      <c r="AK40" s="100">
        <f t="shared" si="78"/>
        <v>0</v>
      </c>
      <c r="AL40" s="100">
        <f t="shared" si="19"/>
        <v>0</v>
      </c>
      <c r="AM40" s="100">
        <f t="shared" si="79"/>
        <v>0</v>
      </c>
      <c r="AN40" s="100">
        <f t="shared" si="80"/>
        <v>4.8</v>
      </c>
      <c r="AO40" s="100">
        <f t="shared" si="81"/>
        <v>0</v>
      </c>
      <c r="AP40" s="100">
        <f t="shared" si="82"/>
        <v>0</v>
      </c>
      <c r="AQ40" s="100">
        <f t="shared" si="83"/>
        <v>0</v>
      </c>
      <c r="AR40" s="100">
        <f t="shared" si="84"/>
        <v>0</v>
      </c>
      <c r="AS40" s="100">
        <f t="shared" si="85"/>
        <v>0</v>
      </c>
      <c r="AT40" s="100">
        <f t="shared" si="27"/>
        <v>0</v>
      </c>
      <c r="AU40" s="100">
        <f t="shared" si="63"/>
        <v>0</v>
      </c>
      <c r="AV40" s="100">
        <f t="shared" si="29"/>
        <v>0</v>
      </c>
      <c r="AW40" s="100">
        <f t="shared" si="64"/>
        <v>0</v>
      </c>
      <c r="AX40">
        <f t="shared" si="4"/>
        <v>4.8</v>
      </c>
      <c r="AY40" s="98">
        <f t="shared" si="31"/>
        <v>0</v>
      </c>
      <c r="AZ40" s="98">
        <f t="shared" si="32"/>
        <v>0</v>
      </c>
      <c r="BA40" s="98">
        <f t="shared" si="65"/>
        <v>0</v>
      </c>
      <c r="BB40" s="98">
        <f t="shared" si="34"/>
        <v>0</v>
      </c>
      <c r="BC40" s="98">
        <f t="shared" si="66"/>
        <v>0</v>
      </c>
      <c r="BD40" s="98">
        <f t="shared" si="5"/>
        <v>0</v>
      </c>
      <c r="BE40" s="98">
        <f t="shared" si="6"/>
        <v>0</v>
      </c>
      <c r="BF40" s="98">
        <f t="shared" si="36"/>
        <v>0</v>
      </c>
      <c r="BG40" s="98">
        <f t="shared" si="37"/>
        <v>0</v>
      </c>
      <c r="BH40" s="98">
        <f t="shared" si="67"/>
        <v>0</v>
      </c>
      <c r="BI40" s="98">
        <f t="shared" si="7"/>
        <v>463.70002665461533</v>
      </c>
      <c r="BJ40" s="98">
        <f t="shared" si="8"/>
        <v>0</v>
      </c>
      <c r="BK40" s="98">
        <f t="shared" si="9"/>
        <v>0</v>
      </c>
      <c r="BL40" s="98">
        <f t="shared" si="39"/>
        <v>0</v>
      </c>
      <c r="BM40" s="98">
        <f t="shared" si="68"/>
        <v>0</v>
      </c>
      <c r="BN40" s="98">
        <f t="shared" si="10"/>
        <v>0</v>
      </c>
      <c r="BO40" s="98">
        <f t="shared" si="41"/>
        <v>0</v>
      </c>
      <c r="BP40" s="98">
        <f t="shared" si="69"/>
        <v>0</v>
      </c>
      <c r="BQ40" s="98">
        <f t="shared" si="43"/>
        <v>0</v>
      </c>
      <c r="BR40" s="98">
        <f t="shared" si="70"/>
        <v>0</v>
      </c>
    </row>
    <row r="41" spans="1:70" x14ac:dyDescent="0.25">
      <c r="A41" t="s">
        <v>57</v>
      </c>
      <c r="B41" t="s">
        <v>12</v>
      </c>
      <c r="C41">
        <v>2024</v>
      </c>
      <c r="D41" s="98">
        <f>INDEX('Reference Sheet'!$G$9:$J$100, MATCH(A41,'Reference Sheet'!$F$9:$F$100,0), MATCH(C41,'Reference Sheet'!$G$8:$J$8,0))/2080</f>
        <v>81.091389423076919</v>
      </c>
      <c r="E41" s="99">
        <f>VLOOKUP(C41,'Reference Sheet'!$A$2:$B$5,2)</f>
        <v>0.1913</v>
      </c>
      <c r="F41" s="98">
        <f t="shared" si="0"/>
        <v>96.604172219711529</v>
      </c>
      <c r="G41" s="98"/>
      <c r="H41" s="98"/>
      <c r="I41" s="32"/>
      <c r="J41" s="32"/>
      <c r="K41" s="32"/>
      <c r="L41" s="32"/>
      <c r="M41" s="32"/>
      <c r="N41" s="32"/>
      <c r="O41" s="32"/>
      <c r="P41" s="32"/>
      <c r="Q41" s="32">
        <v>4.8</v>
      </c>
      <c r="R41" s="32"/>
      <c r="S41" s="32"/>
      <c r="T41" s="32"/>
      <c r="U41" s="32"/>
      <c r="V41" s="32"/>
      <c r="W41" s="32"/>
      <c r="X41" s="32"/>
      <c r="Y41" s="32"/>
      <c r="Z41" s="32"/>
      <c r="AA41" s="98">
        <f t="shared" si="1"/>
        <v>4.8</v>
      </c>
      <c r="AB41" s="98">
        <f t="shared" si="62"/>
        <v>4.8</v>
      </c>
      <c r="AC41" s="98">
        <f t="shared" si="2"/>
        <v>0</v>
      </c>
      <c r="AD41" s="100">
        <f t="shared" si="71"/>
        <v>0</v>
      </c>
      <c r="AE41" s="100">
        <f t="shared" si="72"/>
        <v>0</v>
      </c>
      <c r="AF41" s="100">
        <f t="shared" si="73"/>
        <v>0</v>
      </c>
      <c r="AG41" s="100">
        <f t="shared" si="74"/>
        <v>0</v>
      </c>
      <c r="AH41" s="100">
        <f t="shared" si="75"/>
        <v>0</v>
      </c>
      <c r="AI41" s="100">
        <f t="shared" si="76"/>
        <v>0</v>
      </c>
      <c r="AJ41" s="100">
        <f t="shared" si="77"/>
        <v>0</v>
      </c>
      <c r="AK41" s="100">
        <f t="shared" si="78"/>
        <v>0</v>
      </c>
      <c r="AL41" s="100">
        <f t="shared" si="19"/>
        <v>0</v>
      </c>
      <c r="AM41" s="100">
        <f t="shared" si="79"/>
        <v>0</v>
      </c>
      <c r="AN41" s="100">
        <f t="shared" si="80"/>
        <v>4.8</v>
      </c>
      <c r="AO41" s="100">
        <f t="shared" si="81"/>
        <v>0</v>
      </c>
      <c r="AP41" s="100">
        <f t="shared" si="82"/>
        <v>0</v>
      </c>
      <c r="AQ41" s="100">
        <f t="shared" si="83"/>
        <v>0</v>
      </c>
      <c r="AR41" s="100">
        <f t="shared" si="84"/>
        <v>0</v>
      </c>
      <c r="AS41" s="100">
        <f t="shared" si="85"/>
        <v>0</v>
      </c>
      <c r="AT41" s="100">
        <f t="shared" si="27"/>
        <v>0</v>
      </c>
      <c r="AU41" s="100">
        <f t="shared" si="63"/>
        <v>0</v>
      </c>
      <c r="AV41" s="100">
        <f t="shared" si="29"/>
        <v>0</v>
      </c>
      <c r="AW41" s="100">
        <f t="shared" si="64"/>
        <v>0</v>
      </c>
      <c r="AX41">
        <f t="shared" si="4"/>
        <v>4.8</v>
      </c>
      <c r="AY41" s="98">
        <f t="shared" si="31"/>
        <v>0</v>
      </c>
      <c r="AZ41" s="98">
        <f t="shared" si="32"/>
        <v>0</v>
      </c>
      <c r="BA41" s="98">
        <f t="shared" si="65"/>
        <v>0</v>
      </c>
      <c r="BB41" s="98">
        <f t="shared" si="34"/>
        <v>0</v>
      </c>
      <c r="BC41" s="98">
        <f t="shared" si="66"/>
        <v>0</v>
      </c>
      <c r="BD41" s="98">
        <f t="shared" si="5"/>
        <v>0</v>
      </c>
      <c r="BE41" s="98">
        <f t="shared" si="6"/>
        <v>0</v>
      </c>
      <c r="BF41" s="98">
        <f t="shared" si="36"/>
        <v>0</v>
      </c>
      <c r="BG41" s="98">
        <f t="shared" si="37"/>
        <v>0</v>
      </c>
      <c r="BH41" s="98">
        <f t="shared" si="67"/>
        <v>0</v>
      </c>
      <c r="BI41" s="98">
        <f t="shared" si="7"/>
        <v>463.70002665461533</v>
      </c>
      <c r="BJ41" s="98">
        <f t="shared" si="8"/>
        <v>0</v>
      </c>
      <c r="BK41" s="98">
        <f t="shared" si="9"/>
        <v>0</v>
      </c>
      <c r="BL41" s="98">
        <f t="shared" si="39"/>
        <v>0</v>
      </c>
      <c r="BM41" s="98">
        <f t="shared" si="68"/>
        <v>0</v>
      </c>
      <c r="BN41" s="98">
        <f t="shared" si="10"/>
        <v>0</v>
      </c>
      <c r="BO41" s="98">
        <f t="shared" si="41"/>
        <v>0</v>
      </c>
      <c r="BP41" s="98">
        <f t="shared" si="69"/>
        <v>0</v>
      </c>
      <c r="BQ41" s="98">
        <f t="shared" si="43"/>
        <v>0</v>
      </c>
      <c r="BR41" s="98">
        <f t="shared" si="70"/>
        <v>0</v>
      </c>
    </row>
    <row r="42" spans="1:70" x14ac:dyDescent="0.25">
      <c r="A42" t="s">
        <v>57</v>
      </c>
      <c r="B42" t="s">
        <v>13</v>
      </c>
      <c r="C42">
        <v>2024</v>
      </c>
      <c r="D42" s="98">
        <f>INDEX('Reference Sheet'!$G$9:$J$100, MATCH(A42,'Reference Sheet'!$F$9:$F$100,0), MATCH(C42,'Reference Sheet'!$G$8:$J$8,0))/2080</f>
        <v>81.091389423076919</v>
      </c>
      <c r="E42" s="99">
        <f>VLOOKUP(C42,'Reference Sheet'!$A$2:$B$5,2)</f>
        <v>0.1913</v>
      </c>
      <c r="F42" s="98">
        <f t="shared" si="0"/>
        <v>96.604172219711529</v>
      </c>
      <c r="G42" s="98"/>
      <c r="H42" s="98"/>
      <c r="I42" s="32"/>
      <c r="J42" s="32"/>
      <c r="K42" s="32"/>
      <c r="L42" s="32"/>
      <c r="M42" s="32"/>
      <c r="N42" s="32"/>
      <c r="O42" s="32"/>
      <c r="P42" s="32"/>
      <c r="Q42" s="32">
        <v>4.8</v>
      </c>
      <c r="R42" s="32"/>
      <c r="S42" s="32"/>
      <c r="T42" s="32"/>
      <c r="U42" s="32"/>
      <c r="V42" s="32"/>
      <c r="W42" s="32"/>
      <c r="X42" s="32"/>
      <c r="Y42" s="32"/>
      <c r="Z42" s="32"/>
      <c r="AA42" s="98">
        <f t="shared" si="1"/>
        <v>4.8</v>
      </c>
      <c r="AB42" s="98">
        <f t="shared" si="62"/>
        <v>4.8</v>
      </c>
      <c r="AC42" s="98">
        <f t="shared" si="2"/>
        <v>0</v>
      </c>
      <c r="AD42" s="100">
        <f t="shared" si="71"/>
        <v>0</v>
      </c>
      <c r="AE42" s="100">
        <f t="shared" si="72"/>
        <v>0</v>
      </c>
      <c r="AF42" s="100">
        <f t="shared" si="73"/>
        <v>0</v>
      </c>
      <c r="AG42" s="100">
        <f t="shared" si="74"/>
        <v>0</v>
      </c>
      <c r="AH42" s="100">
        <f t="shared" si="75"/>
        <v>0</v>
      </c>
      <c r="AI42" s="100">
        <f t="shared" si="76"/>
        <v>0</v>
      </c>
      <c r="AJ42" s="100">
        <f t="shared" si="77"/>
        <v>0</v>
      </c>
      <c r="AK42" s="100">
        <f t="shared" si="78"/>
        <v>0</v>
      </c>
      <c r="AL42" s="100">
        <f t="shared" si="19"/>
        <v>0</v>
      </c>
      <c r="AM42" s="100">
        <f t="shared" si="79"/>
        <v>0</v>
      </c>
      <c r="AN42" s="100">
        <f t="shared" si="80"/>
        <v>4.8</v>
      </c>
      <c r="AO42" s="100">
        <f t="shared" si="81"/>
        <v>0</v>
      </c>
      <c r="AP42" s="100">
        <f t="shared" si="82"/>
        <v>0</v>
      </c>
      <c r="AQ42" s="100">
        <f t="shared" si="83"/>
        <v>0</v>
      </c>
      <c r="AR42" s="100">
        <f t="shared" si="84"/>
        <v>0</v>
      </c>
      <c r="AS42" s="100">
        <f t="shared" si="85"/>
        <v>0</v>
      </c>
      <c r="AT42" s="100">
        <f t="shared" si="27"/>
        <v>0</v>
      </c>
      <c r="AU42" s="100">
        <f t="shared" si="63"/>
        <v>0</v>
      </c>
      <c r="AV42" s="100">
        <f t="shared" si="29"/>
        <v>0</v>
      </c>
      <c r="AW42" s="100">
        <f t="shared" si="64"/>
        <v>0</v>
      </c>
      <c r="AX42">
        <f t="shared" si="4"/>
        <v>4.8</v>
      </c>
      <c r="AY42" s="98">
        <f t="shared" si="31"/>
        <v>0</v>
      </c>
      <c r="AZ42" s="98">
        <f t="shared" si="32"/>
        <v>0</v>
      </c>
      <c r="BA42" s="98">
        <f t="shared" si="65"/>
        <v>0</v>
      </c>
      <c r="BB42" s="98">
        <f t="shared" si="34"/>
        <v>0</v>
      </c>
      <c r="BC42" s="98">
        <f t="shared" si="66"/>
        <v>0</v>
      </c>
      <c r="BD42" s="98">
        <f t="shared" si="5"/>
        <v>0</v>
      </c>
      <c r="BE42" s="98">
        <f t="shared" si="6"/>
        <v>0</v>
      </c>
      <c r="BF42" s="98">
        <f t="shared" si="36"/>
        <v>0</v>
      </c>
      <c r="BG42" s="98">
        <f t="shared" si="37"/>
        <v>0</v>
      </c>
      <c r="BH42" s="98">
        <f t="shared" si="67"/>
        <v>0</v>
      </c>
      <c r="BI42" s="98">
        <f t="shared" si="7"/>
        <v>463.70002665461533</v>
      </c>
      <c r="BJ42" s="98">
        <f t="shared" si="8"/>
        <v>0</v>
      </c>
      <c r="BK42" s="98">
        <f t="shared" si="9"/>
        <v>0</v>
      </c>
      <c r="BL42" s="98">
        <f t="shared" si="39"/>
        <v>0</v>
      </c>
      <c r="BM42" s="98">
        <f t="shared" si="68"/>
        <v>0</v>
      </c>
      <c r="BN42" s="98">
        <f t="shared" si="10"/>
        <v>0</v>
      </c>
      <c r="BO42" s="98">
        <f t="shared" si="41"/>
        <v>0</v>
      </c>
      <c r="BP42" s="98">
        <f t="shared" si="69"/>
        <v>0</v>
      </c>
      <c r="BQ42" s="98">
        <f t="shared" si="43"/>
        <v>0</v>
      </c>
      <c r="BR42" s="98">
        <f t="shared" si="70"/>
        <v>0</v>
      </c>
    </row>
    <row r="43" spans="1:70" x14ac:dyDescent="0.25">
      <c r="A43" t="s">
        <v>57</v>
      </c>
      <c r="B43" t="s">
        <v>14</v>
      </c>
      <c r="C43">
        <v>2024</v>
      </c>
      <c r="D43" s="98">
        <f>INDEX('Reference Sheet'!$G$9:$J$100, MATCH(A43,'Reference Sheet'!$F$9:$F$100,0), MATCH(C43,'Reference Sheet'!$G$8:$J$8,0))/2080</f>
        <v>81.091389423076919</v>
      </c>
      <c r="E43" s="99">
        <f>VLOOKUP(C43,'Reference Sheet'!$A$2:$B$5,2)</f>
        <v>0.1913</v>
      </c>
      <c r="F43" s="98">
        <f t="shared" si="0"/>
        <v>96.604172219711529</v>
      </c>
      <c r="G43" s="98"/>
      <c r="H43" s="98"/>
      <c r="I43" s="32"/>
      <c r="J43" s="32"/>
      <c r="K43" s="32"/>
      <c r="L43" s="32"/>
      <c r="M43" s="32"/>
      <c r="N43" s="32"/>
      <c r="O43" s="32"/>
      <c r="P43" s="32"/>
      <c r="Q43" s="32">
        <v>4.8</v>
      </c>
      <c r="R43" s="32"/>
      <c r="S43" s="32"/>
      <c r="T43" s="32"/>
      <c r="U43" s="32"/>
      <c r="V43" s="32"/>
      <c r="W43" s="32"/>
      <c r="X43" s="32"/>
      <c r="Y43" s="32"/>
      <c r="Z43" s="32"/>
      <c r="AA43" s="98">
        <f t="shared" si="1"/>
        <v>4.8</v>
      </c>
      <c r="AB43" s="98">
        <f t="shared" si="62"/>
        <v>4.8</v>
      </c>
      <c r="AC43" s="98">
        <f t="shared" si="2"/>
        <v>0</v>
      </c>
      <c r="AD43" s="100">
        <f t="shared" si="71"/>
        <v>0</v>
      </c>
      <c r="AE43" s="100">
        <f t="shared" si="72"/>
        <v>0</v>
      </c>
      <c r="AF43" s="100">
        <f t="shared" si="73"/>
        <v>0</v>
      </c>
      <c r="AG43" s="100">
        <f t="shared" si="74"/>
        <v>0</v>
      </c>
      <c r="AH43" s="100">
        <f t="shared" si="75"/>
        <v>0</v>
      </c>
      <c r="AI43" s="100">
        <f t="shared" si="76"/>
        <v>0</v>
      </c>
      <c r="AJ43" s="100">
        <f t="shared" si="77"/>
        <v>0</v>
      </c>
      <c r="AK43" s="100">
        <f t="shared" si="78"/>
        <v>0</v>
      </c>
      <c r="AL43" s="100">
        <f t="shared" si="19"/>
        <v>0</v>
      </c>
      <c r="AM43" s="100">
        <f t="shared" si="79"/>
        <v>0</v>
      </c>
      <c r="AN43" s="100">
        <f t="shared" si="80"/>
        <v>4.8</v>
      </c>
      <c r="AO43" s="100">
        <f t="shared" si="81"/>
        <v>0</v>
      </c>
      <c r="AP43" s="100">
        <f t="shared" si="82"/>
        <v>0</v>
      </c>
      <c r="AQ43" s="100">
        <f t="shared" si="83"/>
        <v>0</v>
      </c>
      <c r="AR43" s="100">
        <f t="shared" si="84"/>
        <v>0</v>
      </c>
      <c r="AS43" s="100">
        <f t="shared" si="85"/>
        <v>0</v>
      </c>
      <c r="AT43" s="100">
        <f t="shared" si="27"/>
        <v>0</v>
      </c>
      <c r="AU43" s="100">
        <f t="shared" si="63"/>
        <v>0</v>
      </c>
      <c r="AV43" s="100">
        <f t="shared" si="29"/>
        <v>0</v>
      </c>
      <c r="AW43" s="100">
        <f t="shared" si="64"/>
        <v>0</v>
      </c>
      <c r="AX43">
        <f t="shared" si="4"/>
        <v>4.8</v>
      </c>
      <c r="AY43" s="98">
        <f t="shared" si="31"/>
        <v>0</v>
      </c>
      <c r="AZ43" s="98">
        <f t="shared" si="32"/>
        <v>0</v>
      </c>
      <c r="BA43" s="98">
        <f t="shared" si="65"/>
        <v>0</v>
      </c>
      <c r="BB43" s="98">
        <f t="shared" si="34"/>
        <v>0</v>
      </c>
      <c r="BC43" s="98">
        <f t="shared" si="66"/>
        <v>0</v>
      </c>
      <c r="BD43" s="98">
        <f t="shared" si="5"/>
        <v>0</v>
      </c>
      <c r="BE43" s="98">
        <f t="shared" si="6"/>
        <v>0</v>
      </c>
      <c r="BF43" s="98">
        <f t="shared" si="36"/>
        <v>0</v>
      </c>
      <c r="BG43" s="98">
        <f t="shared" si="37"/>
        <v>0</v>
      </c>
      <c r="BH43" s="98">
        <f t="shared" si="67"/>
        <v>0</v>
      </c>
      <c r="BI43" s="98">
        <f t="shared" si="7"/>
        <v>463.70002665461533</v>
      </c>
      <c r="BJ43" s="98">
        <f t="shared" si="8"/>
        <v>0</v>
      </c>
      <c r="BK43" s="98">
        <f t="shared" si="9"/>
        <v>0</v>
      </c>
      <c r="BL43" s="98">
        <f t="shared" si="39"/>
        <v>0</v>
      </c>
      <c r="BM43" s="98">
        <f t="shared" si="68"/>
        <v>0</v>
      </c>
      <c r="BN43" s="98">
        <f t="shared" si="10"/>
        <v>0</v>
      </c>
      <c r="BO43" s="98">
        <f t="shared" si="41"/>
        <v>0</v>
      </c>
      <c r="BP43" s="98">
        <f t="shared" si="69"/>
        <v>0</v>
      </c>
      <c r="BQ43" s="98">
        <f t="shared" si="43"/>
        <v>0</v>
      </c>
      <c r="BR43" s="98">
        <f t="shared" si="70"/>
        <v>0</v>
      </c>
    </row>
    <row r="44" spans="1:70" x14ac:dyDescent="0.25">
      <c r="A44" t="s">
        <v>57</v>
      </c>
      <c r="B44" t="s">
        <v>15</v>
      </c>
      <c r="C44">
        <v>2024</v>
      </c>
      <c r="D44" s="98">
        <f>INDEX('Reference Sheet'!$G$9:$J$100, MATCH(A44,'Reference Sheet'!$F$9:$F$100,0), MATCH(C44,'Reference Sheet'!$G$8:$J$8,0))/2080</f>
        <v>81.091389423076919</v>
      </c>
      <c r="E44" s="99">
        <f>VLOOKUP(C44,'Reference Sheet'!$A$2:$B$5,2)</f>
        <v>0.1913</v>
      </c>
      <c r="F44" s="98">
        <f t="shared" si="0"/>
        <v>96.604172219711529</v>
      </c>
      <c r="G44" s="98"/>
      <c r="H44" s="98"/>
      <c r="I44" s="32"/>
      <c r="J44" s="32"/>
      <c r="K44" s="32"/>
      <c r="L44" s="32"/>
      <c r="M44" s="32"/>
      <c r="N44" s="32"/>
      <c r="O44" s="32"/>
      <c r="P44" s="32"/>
      <c r="Q44" s="32">
        <v>4.8</v>
      </c>
      <c r="R44" s="32"/>
      <c r="S44" s="32"/>
      <c r="T44" s="32"/>
      <c r="U44" s="32"/>
      <c r="V44" s="32"/>
      <c r="W44" s="32"/>
      <c r="X44" s="32"/>
      <c r="Y44" s="32"/>
      <c r="Z44" s="32"/>
      <c r="AA44" s="98">
        <f t="shared" si="1"/>
        <v>4.8</v>
      </c>
      <c r="AB44" s="98">
        <f t="shared" si="62"/>
        <v>4.8</v>
      </c>
      <c r="AC44" s="98">
        <f t="shared" si="2"/>
        <v>0</v>
      </c>
      <c r="AD44" s="100">
        <f t="shared" si="71"/>
        <v>0</v>
      </c>
      <c r="AE44" s="100">
        <f t="shared" si="72"/>
        <v>0</v>
      </c>
      <c r="AF44" s="100">
        <f t="shared" si="73"/>
        <v>0</v>
      </c>
      <c r="AG44" s="100">
        <f t="shared" si="74"/>
        <v>0</v>
      </c>
      <c r="AH44" s="100">
        <f t="shared" si="75"/>
        <v>0</v>
      </c>
      <c r="AI44" s="100">
        <f t="shared" si="76"/>
        <v>0</v>
      </c>
      <c r="AJ44" s="100">
        <f t="shared" si="77"/>
        <v>0</v>
      </c>
      <c r="AK44" s="100">
        <f t="shared" si="78"/>
        <v>0</v>
      </c>
      <c r="AL44" s="100">
        <f t="shared" si="19"/>
        <v>0</v>
      </c>
      <c r="AM44" s="100">
        <f t="shared" si="79"/>
        <v>0</v>
      </c>
      <c r="AN44" s="100">
        <f t="shared" si="80"/>
        <v>4.8</v>
      </c>
      <c r="AO44" s="100">
        <f t="shared" si="81"/>
        <v>0</v>
      </c>
      <c r="AP44" s="100">
        <f t="shared" si="82"/>
        <v>0</v>
      </c>
      <c r="AQ44" s="100">
        <f t="shared" si="83"/>
        <v>0</v>
      </c>
      <c r="AR44" s="100">
        <f t="shared" si="84"/>
        <v>0</v>
      </c>
      <c r="AS44" s="100">
        <f t="shared" si="85"/>
        <v>0</v>
      </c>
      <c r="AT44" s="100">
        <f t="shared" si="27"/>
        <v>0</v>
      </c>
      <c r="AU44" s="100">
        <f t="shared" si="63"/>
        <v>0</v>
      </c>
      <c r="AV44" s="100">
        <f t="shared" si="29"/>
        <v>0</v>
      </c>
      <c r="AW44" s="100">
        <f t="shared" si="64"/>
        <v>0</v>
      </c>
      <c r="AX44">
        <f t="shared" si="4"/>
        <v>4.8</v>
      </c>
      <c r="AY44" s="98">
        <f t="shared" si="31"/>
        <v>0</v>
      </c>
      <c r="AZ44" s="98">
        <f t="shared" si="32"/>
        <v>0</v>
      </c>
      <c r="BA44" s="98">
        <f t="shared" si="65"/>
        <v>0</v>
      </c>
      <c r="BB44" s="98">
        <f t="shared" si="34"/>
        <v>0</v>
      </c>
      <c r="BC44" s="98">
        <f t="shared" si="66"/>
        <v>0</v>
      </c>
      <c r="BD44" s="98">
        <f t="shared" si="5"/>
        <v>0</v>
      </c>
      <c r="BE44" s="98">
        <f t="shared" si="6"/>
        <v>0</v>
      </c>
      <c r="BF44" s="98">
        <f t="shared" si="36"/>
        <v>0</v>
      </c>
      <c r="BG44" s="98">
        <f t="shared" si="37"/>
        <v>0</v>
      </c>
      <c r="BH44" s="98">
        <f t="shared" si="67"/>
        <v>0</v>
      </c>
      <c r="BI44" s="98">
        <f t="shared" si="7"/>
        <v>463.70002665461533</v>
      </c>
      <c r="BJ44" s="98">
        <f t="shared" si="8"/>
        <v>0</v>
      </c>
      <c r="BK44" s="98">
        <f t="shared" si="9"/>
        <v>0</v>
      </c>
      <c r="BL44" s="98">
        <f t="shared" si="39"/>
        <v>0</v>
      </c>
      <c r="BM44" s="98">
        <f t="shared" si="68"/>
        <v>0</v>
      </c>
      <c r="BN44" s="98">
        <f t="shared" si="10"/>
        <v>0</v>
      </c>
      <c r="BO44" s="98">
        <f t="shared" si="41"/>
        <v>0</v>
      </c>
      <c r="BP44" s="98">
        <f t="shared" si="69"/>
        <v>0</v>
      </c>
      <c r="BQ44" s="98">
        <f t="shared" si="43"/>
        <v>0</v>
      </c>
      <c r="BR44" s="98">
        <f t="shared" si="70"/>
        <v>0</v>
      </c>
    </row>
    <row r="45" spans="1:70" x14ac:dyDescent="0.25">
      <c r="A45" t="s">
        <v>57</v>
      </c>
      <c r="B45" t="s">
        <v>16</v>
      </c>
      <c r="C45">
        <v>2024</v>
      </c>
      <c r="D45" s="98">
        <f>INDEX('Reference Sheet'!$G$9:$J$100, MATCH(A45,'Reference Sheet'!$F$9:$F$100,0), MATCH(C45,'Reference Sheet'!$G$8:$J$8,0))/2080</f>
        <v>81.091389423076919</v>
      </c>
      <c r="E45" s="99">
        <f>VLOOKUP(C45,'Reference Sheet'!$A$2:$B$5,2)</f>
        <v>0.1913</v>
      </c>
      <c r="F45" s="98">
        <f t="shared" si="0"/>
        <v>96.604172219711529</v>
      </c>
      <c r="G45" s="98"/>
      <c r="H45" s="98"/>
      <c r="I45" s="32"/>
      <c r="J45" s="32"/>
      <c r="K45" s="32"/>
      <c r="L45" s="32"/>
      <c r="M45" s="32"/>
      <c r="N45" s="32"/>
      <c r="O45" s="32"/>
      <c r="P45" s="32"/>
      <c r="Q45" s="32">
        <v>4.8</v>
      </c>
      <c r="R45" s="32"/>
      <c r="S45" s="32"/>
      <c r="T45" s="32"/>
      <c r="U45" s="32"/>
      <c r="V45" s="32"/>
      <c r="W45" s="32"/>
      <c r="X45" s="32"/>
      <c r="Y45" s="32"/>
      <c r="Z45" s="32"/>
      <c r="AA45" s="98">
        <f t="shared" si="1"/>
        <v>4.8</v>
      </c>
      <c r="AB45" s="98">
        <f t="shared" si="62"/>
        <v>4.8</v>
      </c>
      <c r="AC45" s="98">
        <f t="shared" si="2"/>
        <v>0</v>
      </c>
      <c r="AD45" s="100">
        <f t="shared" si="71"/>
        <v>0</v>
      </c>
      <c r="AE45" s="100">
        <f t="shared" si="72"/>
        <v>0</v>
      </c>
      <c r="AF45" s="100">
        <f t="shared" si="73"/>
        <v>0</v>
      </c>
      <c r="AG45" s="100">
        <f t="shared" si="74"/>
        <v>0</v>
      </c>
      <c r="AH45" s="100">
        <f t="shared" si="75"/>
        <v>0</v>
      </c>
      <c r="AI45" s="100">
        <f t="shared" si="76"/>
        <v>0</v>
      </c>
      <c r="AJ45" s="100">
        <f t="shared" si="77"/>
        <v>0</v>
      </c>
      <c r="AK45" s="100">
        <f t="shared" si="78"/>
        <v>0</v>
      </c>
      <c r="AL45" s="100">
        <f t="shared" si="19"/>
        <v>0</v>
      </c>
      <c r="AM45" s="100">
        <f t="shared" si="79"/>
        <v>0</v>
      </c>
      <c r="AN45" s="100">
        <f t="shared" si="80"/>
        <v>4.8</v>
      </c>
      <c r="AO45" s="100">
        <f t="shared" si="81"/>
        <v>0</v>
      </c>
      <c r="AP45" s="100">
        <f t="shared" si="82"/>
        <v>0</v>
      </c>
      <c r="AQ45" s="100">
        <f t="shared" si="83"/>
        <v>0</v>
      </c>
      <c r="AR45" s="100">
        <f t="shared" si="84"/>
        <v>0</v>
      </c>
      <c r="AS45" s="100">
        <f t="shared" si="85"/>
        <v>0</v>
      </c>
      <c r="AT45" s="100">
        <f t="shared" si="27"/>
        <v>0</v>
      </c>
      <c r="AU45" s="100">
        <f t="shared" si="63"/>
        <v>0</v>
      </c>
      <c r="AV45" s="100">
        <f t="shared" si="29"/>
        <v>0</v>
      </c>
      <c r="AW45" s="100">
        <f t="shared" si="64"/>
        <v>0</v>
      </c>
      <c r="AX45">
        <f t="shared" si="4"/>
        <v>4.8</v>
      </c>
      <c r="AY45" s="98">
        <f t="shared" si="31"/>
        <v>0</v>
      </c>
      <c r="AZ45" s="98">
        <f t="shared" si="32"/>
        <v>0</v>
      </c>
      <c r="BA45" s="98">
        <f t="shared" si="65"/>
        <v>0</v>
      </c>
      <c r="BB45" s="98">
        <f t="shared" si="34"/>
        <v>0</v>
      </c>
      <c r="BC45" s="98">
        <f t="shared" si="66"/>
        <v>0</v>
      </c>
      <c r="BD45" s="98">
        <f t="shared" si="5"/>
        <v>0</v>
      </c>
      <c r="BE45" s="98">
        <f t="shared" si="6"/>
        <v>0</v>
      </c>
      <c r="BF45" s="98">
        <f t="shared" si="36"/>
        <v>0</v>
      </c>
      <c r="BG45" s="98">
        <f t="shared" si="37"/>
        <v>0</v>
      </c>
      <c r="BH45" s="98">
        <f t="shared" si="67"/>
        <v>0</v>
      </c>
      <c r="BI45" s="98">
        <f t="shared" si="7"/>
        <v>463.70002665461533</v>
      </c>
      <c r="BJ45" s="98">
        <f t="shared" si="8"/>
        <v>0</v>
      </c>
      <c r="BK45" s="98">
        <f t="shared" si="9"/>
        <v>0</v>
      </c>
      <c r="BL45" s="98">
        <f t="shared" si="39"/>
        <v>0</v>
      </c>
      <c r="BM45" s="98">
        <f t="shared" si="68"/>
        <v>0</v>
      </c>
      <c r="BN45" s="98">
        <f t="shared" si="10"/>
        <v>0</v>
      </c>
      <c r="BO45" s="98">
        <f t="shared" si="41"/>
        <v>0</v>
      </c>
      <c r="BP45" s="98">
        <f t="shared" si="69"/>
        <v>0</v>
      </c>
      <c r="BQ45" s="98">
        <f t="shared" si="43"/>
        <v>0</v>
      </c>
      <c r="BR45" s="98">
        <f t="shared" si="70"/>
        <v>0</v>
      </c>
    </row>
    <row r="46" spans="1:70" x14ac:dyDescent="0.25">
      <c r="A46" t="s">
        <v>57</v>
      </c>
      <c r="B46" t="s">
        <v>17</v>
      </c>
      <c r="C46">
        <v>2024</v>
      </c>
      <c r="D46" s="98">
        <f>INDEX('Reference Sheet'!$G$9:$J$100, MATCH(A46,'Reference Sheet'!$F$9:$F$100,0), MATCH(C46,'Reference Sheet'!$G$8:$J$8,0))/2080</f>
        <v>81.091389423076919</v>
      </c>
      <c r="E46" s="99">
        <f>VLOOKUP(C46,'Reference Sheet'!$A$2:$B$5,2)</f>
        <v>0.1913</v>
      </c>
      <c r="F46" s="98">
        <f t="shared" si="0"/>
        <v>96.604172219711529</v>
      </c>
      <c r="G46" s="98"/>
      <c r="H46" s="98"/>
      <c r="I46" s="32"/>
      <c r="J46" s="32"/>
      <c r="K46" s="32"/>
      <c r="L46" s="32"/>
      <c r="M46" s="32"/>
      <c r="N46" s="32"/>
      <c r="O46" s="32"/>
      <c r="P46" s="32"/>
      <c r="Q46" s="32">
        <v>4.8</v>
      </c>
      <c r="R46" s="32"/>
      <c r="S46" s="32"/>
      <c r="T46" s="32"/>
      <c r="U46" s="32"/>
      <c r="V46" s="32"/>
      <c r="W46" s="32"/>
      <c r="X46" s="32"/>
      <c r="Y46" s="32"/>
      <c r="Z46" s="32"/>
      <c r="AA46" s="98">
        <f t="shared" si="1"/>
        <v>4.8</v>
      </c>
      <c r="AB46" s="98">
        <f t="shared" si="62"/>
        <v>4.8</v>
      </c>
      <c r="AC46" s="98">
        <f t="shared" si="2"/>
        <v>0</v>
      </c>
      <c r="AD46" s="100">
        <f t="shared" si="71"/>
        <v>0</v>
      </c>
      <c r="AE46" s="100">
        <f t="shared" si="72"/>
        <v>0</v>
      </c>
      <c r="AF46" s="100">
        <f t="shared" si="73"/>
        <v>0</v>
      </c>
      <c r="AG46" s="100">
        <f t="shared" si="74"/>
        <v>0</v>
      </c>
      <c r="AH46" s="100">
        <f t="shared" si="75"/>
        <v>0</v>
      </c>
      <c r="AI46" s="100">
        <f t="shared" si="76"/>
        <v>0</v>
      </c>
      <c r="AJ46" s="100">
        <f t="shared" si="77"/>
        <v>0</v>
      </c>
      <c r="AK46" s="100">
        <f t="shared" si="78"/>
        <v>0</v>
      </c>
      <c r="AL46" s="100">
        <f t="shared" si="19"/>
        <v>0</v>
      </c>
      <c r="AM46" s="100">
        <f t="shared" si="79"/>
        <v>0</v>
      </c>
      <c r="AN46" s="100">
        <f t="shared" si="80"/>
        <v>4.8</v>
      </c>
      <c r="AO46" s="100">
        <f t="shared" si="81"/>
        <v>0</v>
      </c>
      <c r="AP46" s="100">
        <f t="shared" si="82"/>
        <v>0</v>
      </c>
      <c r="AQ46" s="100">
        <f t="shared" si="83"/>
        <v>0</v>
      </c>
      <c r="AR46" s="100">
        <f t="shared" si="84"/>
        <v>0</v>
      </c>
      <c r="AS46" s="100">
        <f t="shared" si="85"/>
        <v>0</v>
      </c>
      <c r="AT46" s="100">
        <f t="shared" si="27"/>
        <v>0</v>
      </c>
      <c r="AU46" s="100">
        <f t="shared" si="63"/>
        <v>0</v>
      </c>
      <c r="AV46" s="100">
        <f t="shared" si="29"/>
        <v>0</v>
      </c>
      <c r="AW46" s="100">
        <f t="shared" si="64"/>
        <v>0</v>
      </c>
      <c r="AX46">
        <f t="shared" si="4"/>
        <v>4.8</v>
      </c>
      <c r="AY46" s="98">
        <f t="shared" si="31"/>
        <v>0</v>
      </c>
      <c r="AZ46" s="98">
        <f t="shared" si="32"/>
        <v>0</v>
      </c>
      <c r="BA46" s="98">
        <f t="shared" si="65"/>
        <v>0</v>
      </c>
      <c r="BB46" s="98">
        <f t="shared" si="34"/>
        <v>0</v>
      </c>
      <c r="BC46" s="98">
        <f t="shared" si="66"/>
        <v>0</v>
      </c>
      <c r="BD46" s="98">
        <f t="shared" si="5"/>
        <v>0</v>
      </c>
      <c r="BE46" s="98">
        <f t="shared" si="6"/>
        <v>0</v>
      </c>
      <c r="BF46" s="98">
        <f t="shared" si="36"/>
        <v>0</v>
      </c>
      <c r="BG46" s="98">
        <f t="shared" si="37"/>
        <v>0</v>
      </c>
      <c r="BH46" s="98">
        <f t="shared" si="67"/>
        <v>0</v>
      </c>
      <c r="BI46" s="98">
        <f t="shared" si="7"/>
        <v>463.70002665461533</v>
      </c>
      <c r="BJ46" s="98">
        <f t="shared" si="8"/>
        <v>0</v>
      </c>
      <c r="BK46" s="98">
        <f t="shared" si="9"/>
        <v>0</v>
      </c>
      <c r="BL46" s="98">
        <f t="shared" si="39"/>
        <v>0</v>
      </c>
      <c r="BM46" s="98">
        <f t="shared" si="68"/>
        <v>0</v>
      </c>
      <c r="BN46" s="98">
        <f t="shared" si="10"/>
        <v>0</v>
      </c>
      <c r="BO46" s="98">
        <f t="shared" si="41"/>
        <v>0</v>
      </c>
      <c r="BP46" s="98">
        <f t="shared" si="69"/>
        <v>0</v>
      </c>
      <c r="BQ46" s="98">
        <f t="shared" si="43"/>
        <v>0</v>
      </c>
      <c r="BR46" s="98">
        <f t="shared" si="70"/>
        <v>0</v>
      </c>
    </row>
    <row r="47" spans="1:70" x14ac:dyDescent="0.25">
      <c r="A47" t="s">
        <v>57</v>
      </c>
      <c r="B47" t="s">
        <v>6</v>
      </c>
      <c r="C47">
        <v>2025</v>
      </c>
      <c r="D47" s="98">
        <f>INDEX('Reference Sheet'!$G$9:$J$100, MATCH(A47,'Reference Sheet'!$F$9:$F$100,0), MATCH(C47,'Reference Sheet'!$G$8:$J$8,0))/2080</f>
        <v>92.349581730769231</v>
      </c>
      <c r="E47" s="99">
        <f>VLOOKUP(C47,'Reference Sheet'!$A$2:$B$5,2)</f>
        <v>0.22450000000000001</v>
      </c>
      <c r="F47" s="98">
        <f t="shared" si="0"/>
        <v>113.08206282932692</v>
      </c>
      <c r="G47" s="98"/>
      <c r="H47" s="98"/>
      <c r="I47" s="32"/>
      <c r="J47" s="32"/>
      <c r="K47" s="32"/>
      <c r="L47" s="32"/>
      <c r="M47" s="32"/>
      <c r="N47" s="32">
        <v>99.12</v>
      </c>
      <c r="O47" s="32">
        <v>10.53</v>
      </c>
      <c r="P47" s="32">
        <v>55</v>
      </c>
      <c r="Q47" s="32">
        <v>4.8</v>
      </c>
      <c r="R47" s="32"/>
      <c r="S47" s="32"/>
      <c r="T47" s="32">
        <v>4.375</v>
      </c>
      <c r="U47" s="32"/>
      <c r="V47" s="32"/>
      <c r="W47" s="32"/>
      <c r="X47" s="32"/>
      <c r="Y47" s="32">
        <v>1.625</v>
      </c>
      <c r="Z47" s="32">
        <v>29.47</v>
      </c>
      <c r="AA47" s="98">
        <f t="shared" si="1"/>
        <v>204.92000000000002</v>
      </c>
      <c r="AB47" s="98">
        <f>IF(OR(B47="",C47=""),"",SUMIFS('Reference Sheet'!$D$9:$D$42,'Reference Sheet'!$A$9:$A$42,C47,'Reference Sheet'!$B$9:$B$42,B47))</f>
        <v>184</v>
      </c>
      <c r="AC47" s="98">
        <f t="shared" si="2"/>
        <v>-20.920000000000016</v>
      </c>
      <c r="AD47" s="100">
        <f t="shared" si="71"/>
        <v>0</v>
      </c>
      <c r="AE47" s="100">
        <f t="shared" si="72"/>
        <v>0</v>
      </c>
      <c r="AF47" s="100">
        <f t="shared" si="73"/>
        <v>0</v>
      </c>
      <c r="AG47" s="100">
        <f t="shared" si="74"/>
        <v>0</v>
      </c>
      <c r="AH47" s="100">
        <f t="shared" si="75"/>
        <v>0</v>
      </c>
      <c r="AI47" s="100">
        <f t="shared" si="76"/>
        <v>0</v>
      </c>
      <c r="AJ47" s="100">
        <f t="shared" si="77"/>
        <v>0</v>
      </c>
      <c r="AK47" s="100">
        <f t="shared" si="78"/>
        <v>89.000975990630479</v>
      </c>
      <c r="AL47" s="100">
        <f t="shared" si="19"/>
        <v>9.455006831934412</v>
      </c>
      <c r="AM47" s="100">
        <f t="shared" si="79"/>
        <v>49.38512590279133</v>
      </c>
      <c r="AN47" s="100">
        <f t="shared" si="80"/>
        <v>4.3099746242436066</v>
      </c>
      <c r="AO47" s="100">
        <f t="shared" si="81"/>
        <v>0</v>
      </c>
      <c r="AP47" s="100">
        <f t="shared" si="82"/>
        <v>0</v>
      </c>
      <c r="AQ47" s="100">
        <f t="shared" si="83"/>
        <v>3.9283622877220372</v>
      </c>
      <c r="AR47" s="100">
        <f t="shared" si="84"/>
        <v>0</v>
      </c>
      <c r="AS47" s="100">
        <f t="shared" si="85"/>
        <v>0</v>
      </c>
      <c r="AT47" s="100">
        <f t="shared" si="27"/>
        <v>0</v>
      </c>
      <c r="AU47" s="100">
        <f t="shared" si="63"/>
        <v>0</v>
      </c>
      <c r="AV47" s="100">
        <f t="shared" si="29"/>
        <v>1.4591059925824712</v>
      </c>
      <c r="AW47" s="100">
        <f t="shared" si="64"/>
        <v>26.461448370095646</v>
      </c>
      <c r="AX47">
        <f t="shared" si="4"/>
        <v>183.99999999999994</v>
      </c>
      <c r="AY47" s="98">
        <f t="shared" si="31"/>
        <v>0</v>
      </c>
      <c r="AZ47" s="98">
        <f t="shared" si="32"/>
        <v>0</v>
      </c>
      <c r="BA47" s="98">
        <f t="shared" si="65"/>
        <v>0</v>
      </c>
      <c r="BB47" s="98">
        <f t="shared" si="34"/>
        <v>0</v>
      </c>
      <c r="BC47" s="98">
        <f t="shared" si="66"/>
        <v>0</v>
      </c>
      <c r="BD47" s="98">
        <f t="shared" si="5"/>
        <v>0</v>
      </c>
      <c r="BE47" s="98">
        <f t="shared" si="6"/>
        <v>0</v>
      </c>
      <c r="BF47" s="98">
        <f t="shared" si="36"/>
        <v>10064.413958843892</v>
      </c>
      <c r="BG47" s="98">
        <f t="shared" si="37"/>
        <v>1069.1916766205225</v>
      </c>
      <c r="BH47" s="98">
        <f t="shared" si="67"/>
        <v>5584.5719101736695</v>
      </c>
      <c r="BI47" s="98">
        <f t="shared" si="7"/>
        <v>487.38082125152016</v>
      </c>
      <c r="BJ47" s="98">
        <f t="shared" si="8"/>
        <v>0</v>
      </c>
      <c r="BK47" s="98">
        <f t="shared" si="9"/>
        <v>0</v>
      </c>
      <c r="BL47" s="98">
        <f t="shared" si="39"/>
        <v>444.22731103654183</v>
      </c>
      <c r="BM47" s="98">
        <f t="shared" si="68"/>
        <v>0</v>
      </c>
      <c r="BN47" s="98">
        <f t="shared" si="10"/>
        <v>0</v>
      </c>
      <c r="BO47" s="98">
        <f t="shared" si="41"/>
        <v>0</v>
      </c>
      <c r="BP47" s="98">
        <f t="shared" si="69"/>
        <v>0</v>
      </c>
      <c r="BQ47" s="98">
        <f t="shared" si="43"/>
        <v>164.99871552785842</v>
      </c>
      <c r="BR47" s="98">
        <f t="shared" si="70"/>
        <v>2992.315167142146</v>
      </c>
    </row>
    <row r="48" spans="1:70" x14ac:dyDescent="0.25">
      <c r="A48" t="s">
        <v>57</v>
      </c>
      <c r="B48" t="s">
        <v>7</v>
      </c>
      <c r="C48">
        <v>2025</v>
      </c>
      <c r="D48" s="98">
        <f>INDEX('Reference Sheet'!$G$9:$J$100, MATCH(A48,'Reference Sheet'!$F$9:$F$100,0), MATCH(C48,'Reference Sheet'!$G$8:$J$8,0))/2080</f>
        <v>92.349581730769231</v>
      </c>
      <c r="E48" s="99">
        <f>VLOOKUP(C48,'Reference Sheet'!$A$2:$B$5,2)</f>
        <v>0.22450000000000001</v>
      </c>
      <c r="F48" s="98">
        <f t="shared" si="0"/>
        <v>113.08206282932692</v>
      </c>
      <c r="G48" s="98"/>
      <c r="H48" s="98"/>
      <c r="I48" s="32"/>
      <c r="J48" s="32"/>
      <c r="K48" s="32"/>
      <c r="L48" s="32"/>
      <c r="M48" s="32"/>
      <c r="N48" s="32">
        <v>99.12</v>
      </c>
      <c r="O48" s="32">
        <v>10.53</v>
      </c>
      <c r="P48" s="32">
        <v>55</v>
      </c>
      <c r="Q48" s="32">
        <v>4.8</v>
      </c>
      <c r="R48" s="32"/>
      <c r="S48" s="32"/>
      <c r="T48" s="32">
        <v>4.375</v>
      </c>
      <c r="U48" s="32"/>
      <c r="V48" s="32"/>
      <c r="W48" s="32"/>
      <c r="X48" s="32"/>
      <c r="Y48" s="32">
        <v>1.625</v>
      </c>
      <c r="Z48" s="32">
        <v>29.47</v>
      </c>
      <c r="AA48" s="98">
        <f t="shared" si="1"/>
        <v>204.92000000000002</v>
      </c>
      <c r="AB48" s="98">
        <f>IF(OR(B48="",C48=""),"",SUMIFS('Reference Sheet'!$D$9:$D$42,'Reference Sheet'!$A$9:$A$42,C48,'Reference Sheet'!$B$9:$B$42,B48))</f>
        <v>160</v>
      </c>
      <c r="AC48" s="98">
        <f t="shared" si="2"/>
        <v>-44.920000000000016</v>
      </c>
      <c r="AD48" s="100">
        <f t="shared" si="71"/>
        <v>0</v>
      </c>
      <c r="AE48" s="100">
        <f t="shared" si="72"/>
        <v>0</v>
      </c>
      <c r="AF48" s="100">
        <f t="shared" si="73"/>
        <v>0</v>
      </c>
      <c r="AG48" s="100">
        <f t="shared" si="74"/>
        <v>0</v>
      </c>
      <c r="AH48" s="100">
        <f t="shared" si="75"/>
        <v>0</v>
      </c>
      <c r="AI48" s="100">
        <f t="shared" si="76"/>
        <v>0</v>
      </c>
      <c r="AJ48" s="100">
        <f t="shared" si="77"/>
        <v>0</v>
      </c>
      <c r="AK48" s="100">
        <f t="shared" si="78"/>
        <v>77.39215303533085</v>
      </c>
      <c r="AL48" s="100">
        <f t="shared" si="19"/>
        <v>8.2217450712473159</v>
      </c>
      <c r="AM48" s="100">
        <f t="shared" si="79"/>
        <v>42.943587741557678</v>
      </c>
      <c r="AN48" s="100">
        <f t="shared" si="80"/>
        <v>3.7478040210813974</v>
      </c>
      <c r="AO48" s="100">
        <f t="shared" si="81"/>
        <v>0</v>
      </c>
      <c r="AP48" s="100">
        <f t="shared" si="82"/>
        <v>0</v>
      </c>
      <c r="AQ48" s="100">
        <f t="shared" si="83"/>
        <v>3.4159672067148152</v>
      </c>
      <c r="AR48" s="100">
        <f t="shared" si="84"/>
        <v>0</v>
      </c>
      <c r="AS48" s="100">
        <f t="shared" si="85"/>
        <v>0</v>
      </c>
      <c r="AT48" s="100">
        <f t="shared" si="27"/>
        <v>0</v>
      </c>
      <c r="AU48" s="100">
        <f t="shared" si="63"/>
        <v>0</v>
      </c>
      <c r="AV48" s="100">
        <f t="shared" si="29"/>
        <v>1.2687878196369315</v>
      </c>
      <c r="AW48" s="100">
        <f t="shared" si="64"/>
        <v>23.009955104430997</v>
      </c>
      <c r="AX48">
        <f t="shared" si="4"/>
        <v>160</v>
      </c>
      <c r="AY48" s="98">
        <f t="shared" si="31"/>
        <v>0</v>
      </c>
      <c r="AZ48" s="98">
        <f t="shared" si="32"/>
        <v>0</v>
      </c>
      <c r="BA48" s="98">
        <f t="shared" si="65"/>
        <v>0</v>
      </c>
      <c r="BB48" s="98">
        <f t="shared" si="34"/>
        <v>0</v>
      </c>
      <c r="BC48" s="98">
        <f t="shared" si="66"/>
        <v>0</v>
      </c>
      <c r="BD48" s="98">
        <f t="shared" si="5"/>
        <v>0</v>
      </c>
      <c r="BE48" s="98">
        <f t="shared" si="6"/>
        <v>0</v>
      </c>
      <c r="BF48" s="98">
        <f t="shared" si="36"/>
        <v>8751.6643120381668</v>
      </c>
      <c r="BG48" s="98">
        <f t="shared" si="37"/>
        <v>929.73189271349793</v>
      </c>
      <c r="BH48" s="98">
        <f t="shared" si="67"/>
        <v>4856.1494871075383</v>
      </c>
      <c r="BI48" s="98">
        <f t="shared" si="7"/>
        <v>423.80940978393062</v>
      </c>
      <c r="BJ48" s="98">
        <f t="shared" si="8"/>
        <v>0</v>
      </c>
      <c r="BK48" s="98">
        <f t="shared" si="9"/>
        <v>0</v>
      </c>
      <c r="BL48" s="98">
        <f t="shared" si="39"/>
        <v>386.28461829264512</v>
      </c>
      <c r="BM48" s="98">
        <f t="shared" si="68"/>
        <v>0</v>
      </c>
      <c r="BN48" s="98">
        <f t="shared" si="10"/>
        <v>0</v>
      </c>
      <c r="BO48" s="98">
        <f t="shared" si="41"/>
        <v>0</v>
      </c>
      <c r="BP48" s="98">
        <f t="shared" si="69"/>
        <v>0</v>
      </c>
      <c r="BQ48" s="98">
        <f t="shared" si="43"/>
        <v>143.47714393726821</v>
      </c>
      <c r="BR48" s="98">
        <f t="shared" si="70"/>
        <v>2602.0131888192577</v>
      </c>
    </row>
    <row r="49" spans="1:70" x14ac:dyDescent="0.25">
      <c r="A49" t="s">
        <v>57</v>
      </c>
      <c r="B49" t="s">
        <v>8</v>
      </c>
      <c r="C49">
        <v>2025</v>
      </c>
      <c r="D49" s="98">
        <f>INDEX('Reference Sheet'!$G$9:$J$100, MATCH(A49,'Reference Sheet'!$F$9:$F$100,0), MATCH(C49,'Reference Sheet'!$G$8:$J$8,0))/2080</f>
        <v>92.349581730769231</v>
      </c>
      <c r="E49" s="99">
        <f>VLOOKUP(C49,'Reference Sheet'!$A$2:$B$5,2)</f>
        <v>0.22450000000000001</v>
      </c>
      <c r="F49" s="98">
        <f t="shared" si="0"/>
        <v>113.08206282932692</v>
      </c>
      <c r="G49" s="98"/>
      <c r="H49" s="98"/>
      <c r="I49" s="32"/>
      <c r="J49" s="32"/>
      <c r="K49" s="32"/>
      <c r="L49" s="32"/>
      <c r="M49" s="32"/>
      <c r="N49" s="32">
        <v>99.12</v>
      </c>
      <c r="O49" s="32">
        <v>10.53</v>
      </c>
      <c r="P49" s="32">
        <v>55</v>
      </c>
      <c r="Q49" s="32">
        <v>4.8</v>
      </c>
      <c r="R49" s="32"/>
      <c r="S49" s="32"/>
      <c r="T49" s="32">
        <v>4.375</v>
      </c>
      <c r="U49" s="32"/>
      <c r="V49" s="32"/>
      <c r="W49" s="32"/>
      <c r="X49" s="32"/>
      <c r="Y49" s="32">
        <v>1.625</v>
      </c>
      <c r="Z49" s="32">
        <v>29.47</v>
      </c>
      <c r="AA49" s="98">
        <f t="shared" si="1"/>
        <v>204.92000000000002</v>
      </c>
      <c r="AB49" s="98">
        <f>IF(OR(B49="",C49=""),"",SUMIFS('Reference Sheet'!$D$9:$D$42,'Reference Sheet'!$A$9:$A$42,C49,'Reference Sheet'!$B$9:$B$42,B49))</f>
        <v>168</v>
      </c>
      <c r="AC49" s="98">
        <f t="shared" si="2"/>
        <v>-36.920000000000016</v>
      </c>
      <c r="AD49" s="100">
        <f t="shared" si="71"/>
        <v>0</v>
      </c>
      <c r="AE49" s="100">
        <f t="shared" si="72"/>
        <v>0</v>
      </c>
      <c r="AF49" s="100">
        <f t="shared" si="73"/>
        <v>0</v>
      </c>
      <c r="AG49" s="100">
        <f t="shared" si="74"/>
        <v>0</v>
      </c>
      <c r="AH49" s="100">
        <f t="shared" si="75"/>
        <v>0</v>
      </c>
      <c r="AI49" s="100">
        <f t="shared" si="76"/>
        <v>0</v>
      </c>
      <c r="AJ49" s="100">
        <f t="shared" si="77"/>
        <v>0</v>
      </c>
      <c r="AK49" s="100">
        <f t="shared" si="78"/>
        <v>81.261760687097393</v>
      </c>
      <c r="AL49" s="100">
        <f t="shared" si="19"/>
        <v>8.6328323248096801</v>
      </c>
      <c r="AM49" s="100">
        <f t="shared" si="79"/>
        <v>45.090767128635562</v>
      </c>
      <c r="AN49" s="100">
        <f t="shared" si="80"/>
        <v>3.935194222135467</v>
      </c>
      <c r="AO49" s="100">
        <f t="shared" si="81"/>
        <v>0</v>
      </c>
      <c r="AP49" s="100">
        <f t="shared" si="82"/>
        <v>0</v>
      </c>
      <c r="AQ49" s="100">
        <f t="shared" si="83"/>
        <v>3.5867655670505556</v>
      </c>
      <c r="AR49" s="100">
        <f t="shared" si="84"/>
        <v>0</v>
      </c>
      <c r="AS49" s="100">
        <f t="shared" si="85"/>
        <v>0</v>
      </c>
      <c r="AT49" s="100">
        <f t="shared" si="27"/>
        <v>0</v>
      </c>
      <c r="AU49" s="100">
        <f t="shared" si="63"/>
        <v>0</v>
      </c>
      <c r="AV49" s="100">
        <f t="shared" si="29"/>
        <v>1.332227210618778</v>
      </c>
      <c r="AW49" s="100">
        <f t="shared" si="64"/>
        <v>24.160452859652548</v>
      </c>
      <c r="AX49">
        <f t="shared" si="4"/>
        <v>167.99999999999997</v>
      </c>
      <c r="AY49" s="98">
        <f t="shared" si="31"/>
        <v>0</v>
      </c>
      <c r="AZ49" s="98">
        <f t="shared" si="32"/>
        <v>0</v>
      </c>
      <c r="BA49" s="98">
        <f t="shared" si="65"/>
        <v>0</v>
      </c>
      <c r="BB49" s="98">
        <f t="shared" si="34"/>
        <v>0</v>
      </c>
      <c r="BC49" s="98">
        <f t="shared" si="66"/>
        <v>0</v>
      </c>
      <c r="BD49" s="98">
        <f t="shared" si="5"/>
        <v>0</v>
      </c>
      <c r="BE49" s="98">
        <f t="shared" si="6"/>
        <v>0</v>
      </c>
      <c r="BF49" s="98">
        <f t="shared" si="36"/>
        <v>9189.2475276400746</v>
      </c>
      <c r="BG49" s="98">
        <f t="shared" si="37"/>
        <v>976.21848734917262</v>
      </c>
      <c r="BH49" s="98">
        <f t="shared" si="67"/>
        <v>5098.9569614629154</v>
      </c>
      <c r="BI49" s="98">
        <f t="shared" si="7"/>
        <v>444.99988027312713</v>
      </c>
      <c r="BJ49" s="98">
        <f t="shared" si="8"/>
        <v>0</v>
      </c>
      <c r="BK49" s="98">
        <f t="shared" si="9"/>
        <v>0</v>
      </c>
      <c r="BL49" s="98">
        <f t="shared" si="39"/>
        <v>405.59884920727728</v>
      </c>
      <c r="BM49" s="98">
        <f t="shared" si="68"/>
        <v>0</v>
      </c>
      <c r="BN49" s="98">
        <f t="shared" si="10"/>
        <v>0</v>
      </c>
      <c r="BO49" s="98">
        <f t="shared" si="41"/>
        <v>0</v>
      </c>
      <c r="BP49" s="98">
        <f t="shared" si="69"/>
        <v>0</v>
      </c>
      <c r="BQ49" s="98">
        <f t="shared" si="43"/>
        <v>150.6510011341316</v>
      </c>
      <c r="BR49" s="98">
        <f t="shared" si="70"/>
        <v>2732.1138482602205</v>
      </c>
    </row>
    <row r="50" spans="1:70" x14ac:dyDescent="0.25">
      <c r="A50" t="s">
        <v>57</v>
      </c>
      <c r="B50" t="s">
        <v>9</v>
      </c>
      <c r="C50">
        <v>2025</v>
      </c>
      <c r="D50" s="98">
        <f>INDEX('Reference Sheet'!$G$9:$J$100, MATCH(A50,'Reference Sheet'!$F$9:$F$100,0), MATCH(C50,'Reference Sheet'!$G$8:$J$8,0))/2080</f>
        <v>92.349581730769231</v>
      </c>
      <c r="E50" s="99">
        <f>VLOOKUP(C50,'Reference Sheet'!$A$2:$B$5,2)</f>
        <v>0.22450000000000001</v>
      </c>
      <c r="F50" s="98">
        <f t="shared" si="0"/>
        <v>113.08206282932692</v>
      </c>
      <c r="G50" s="98"/>
      <c r="H50" s="98"/>
      <c r="I50" s="32"/>
      <c r="J50" s="32"/>
      <c r="K50" s="32"/>
      <c r="L50" s="32"/>
      <c r="M50" s="32"/>
      <c r="N50" s="32">
        <v>99.12</v>
      </c>
      <c r="O50" s="32">
        <v>10.53</v>
      </c>
      <c r="P50" s="32">
        <v>55</v>
      </c>
      <c r="Q50" s="32">
        <v>4.8</v>
      </c>
      <c r="R50" s="32"/>
      <c r="S50" s="32"/>
      <c r="T50" s="32">
        <v>4.375</v>
      </c>
      <c r="U50" s="32"/>
      <c r="V50" s="32"/>
      <c r="W50" s="32"/>
      <c r="X50" s="32"/>
      <c r="Y50" s="32">
        <v>1.625</v>
      </c>
      <c r="Z50" s="32">
        <v>29.47</v>
      </c>
      <c r="AA50" s="98">
        <f t="shared" si="1"/>
        <v>204.92000000000002</v>
      </c>
      <c r="AB50" s="98">
        <f>IF(OR(B50="",C50=""),"",SUMIFS('Reference Sheet'!$D$9:$D$42,'Reference Sheet'!$A$9:$A$42,C50,'Reference Sheet'!$B$9:$B$42,B50))</f>
        <v>176</v>
      </c>
      <c r="AC50" s="98">
        <f t="shared" si="2"/>
        <v>-28.920000000000016</v>
      </c>
      <c r="AD50" s="100">
        <f t="shared" si="71"/>
        <v>0</v>
      </c>
      <c r="AE50" s="100">
        <f t="shared" si="72"/>
        <v>0</v>
      </c>
      <c r="AF50" s="100">
        <f t="shared" si="73"/>
        <v>0</v>
      </c>
      <c r="AG50" s="100">
        <f t="shared" si="74"/>
        <v>0</v>
      </c>
      <c r="AH50" s="100">
        <f t="shared" si="75"/>
        <v>0</v>
      </c>
      <c r="AI50" s="100">
        <f t="shared" si="76"/>
        <v>0</v>
      </c>
      <c r="AJ50" s="100">
        <f t="shared" si="77"/>
        <v>0</v>
      </c>
      <c r="AK50" s="100">
        <f t="shared" si="78"/>
        <v>85.131368338863936</v>
      </c>
      <c r="AL50" s="100">
        <f t="shared" si="19"/>
        <v>9.0439195783720461</v>
      </c>
      <c r="AM50" s="100">
        <f t="shared" si="79"/>
        <v>47.237946515713446</v>
      </c>
      <c r="AN50" s="100">
        <f t="shared" si="80"/>
        <v>4.1225844231895374</v>
      </c>
      <c r="AO50" s="100">
        <f t="shared" si="81"/>
        <v>0</v>
      </c>
      <c r="AP50" s="100">
        <f t="shared" si="82"/>
        <v>0</v>
      </c>
      <c r="AQ50" s="100">
        <f t="shared" si="83"/>
        <v>3.7575639273862964</v>
      </c>
      <c r="AR50" s="100">
        <f t="shared" si="84"/>
        <v>0</v>
      </c>
      <c r="AS50" s="100">
        <f t="shared" si="85"/>
        <v>0</v>
      </c>
      <c r="AT50" s="100">
        <f t="shared" si="27"/>
        <v>0</v>
      </c>
      <c r="AU50" s="100">
        <f t="shared" si="63"/>
        <v>0</v>
      </c>
      <c r="AV50" s="100">
        <f t="shared" si="29"/>
        <v>1.3956666016006247</v>
      </c>
      <c r="AW50" s="100">
        <f t="shared" si="64"/>
        <v>25.310950614874095</v>
      </c>
      <c r="AX50">
        <f t="shared" si="4"/>
        <v>175.99999999999997</v>
      </c>
      <c r="AY50" s="98">
        <f t="shared" si="31"/>
        <v>0</v>
      </c>
      <c r="AZ50" s="98">
        <f t="shared" si="32"/>
        <v>0</v>
      </c>
      <c r="BA50" s="98">
        <f t="shared" si="65"/>
        <v>0</v>
      </c>
      <c r="BB50" s="98">
        <f t="shared" si="34"/>
        <v>0</v>
      </c>
      <c r="BC50" s="98">
        <f t="shared" si="66"/>
        <v>0</v>
      </c>
      <c r="BD50" s="98">
        <f t="shared" si="5"/>
        <v>0</v>
      </c>
      <c r="BE50" s="98">
        <f t="shared" si="6"/>
        <v>0</v>
      </c>
      <c r="BF50" s="98">
        <f t="shared" si="36"/>
        <v>9626.8307432419842</v>
      </c>
      <c r="BG50" s="98">
        <f t="shared" si="37"/>
        <v>1022.7050819848475</v>
      </c>
      <c r="BH50" s="98">
        <f t="shared" si="67"/>
        <v>5341.7644358182924</v>
      </c>
      <c r="BI50" s="98">
        <f t="shared" si="7"/>
        <v>466.19035076232376</v>
      </c>
      <c r="BJ50" s="98">
        <f t="shared" si="8"/>
        <v>0</v>
      </c>
      <c r="BK50" s="98">
        <f t="shared" si="9"/>
        <v>0</v>
      </c>
      <c r="BL50" s="98">
        <f t="shared" si="39"/>
        <v>424.91308012190956</v>
      </c>
      <c r="BM50" s="98">
        <f t="shared" si="68"/>
        <v>0</v>
      </c>
      <c r="BN50" s="98">
        <f t="shared" si="10"/>
        <v>0</v>
      </c>
      <c r="BO50" s="98">
        <f t="shared" si="41"/>
        <v>0</v>
      </c>
      <c r="BP50" s="98">
        <f t="shared" si="69"/>
        <v>0</v>
      </c>
      <c r="BQ50" s="98">
        <f t="shared" si="43"/>
        <v>157.82485833099503</v>
      </c>
      <c r="BR50" s="98">
        <f t="shared" si="70"/>
        <v>2862.2145077011833</v>
      </c>
    </row>
    <row r="51" spans="1:70" x14ac:dyDescent="0.25">
      <c r="A51" t="s">
        <v>57</v>
      </c>
      <c r="B51" t="s">
        <v>10</v>
      </c>
      <c r="C51">
        <v>2025</v>
      </c>
      <c r="D51" s="98">
        <f>INDEX('Reference Sheet'!$G$9:$J$100, MATCH(A51,'Reference Sheet'!$F$9:$F$100,0), MATCH(C51,'Reference Sheet'!$G$8:$J$8,0))/2080</f>
        <v>92.349581730769231</v>
      </c>
      <c r="E51" s="99">
        <f>VLOOKUP(C51,'Reference Sheet'!$A$2:$B$5,2)</f>
        <v>0.22450000000000001</v>
      </c>
      <c r="F51" s="98">
        <f t="shared" si="0"/>
        <v>113.08206282932692</v>
      </c>
      <c r="G51" s="98"/>
      <c r="H51" s="98"/>
      <c r="I51" s="32"/>
      <c r="J51" s="32"/>
      <c r="K51" s="32"/>
      <c r="L51" s="32"/>
      <c r="M51" s="32"/>
      <c r="N51" s="32">
        <v>99.12</v>
      </c>
      <c r="O51" s="32">
        <v>10.53</v>
      </c>
      <c r="P51" s="32">
        <v>55</v>
      </c>
      <c r="Q51" s="32">
        <v>4.8</v>
      </c>
      <c r="R51" s="32"/>
      <c r="S51" s="32"/>
      <c r="T51" s="32">
        <v>4.375</v>
      </c>
      <c r="U51" s="32"/>
      <c r="V51" s="32"/>
      <c r="W51" s="32"/>
      <c r="X51" s="32"/>
      <c r="Y51" s="32">
        <v>1.625</v>
      </c>
      <c r="Z51" s="32">
        <v>29.47</v>
      </c>
      <c r="AA51" s="98">
        <f t="shared" si="1"/>
        <v>204.92000000000002</v>
      </c>
      <c r="AB51" s="98">
        <f>IF(OR(B51="",C51=""),"",SUMIFS('Reference Sheet'!$D$9:$D$42,'Reference Sheet'!$A$9:$A$42,C51,'Reference Sheet'!$B$9:$B$42,B51))</f>
        <v>176</v>
      </c>
      <c r="AC51" s="98">
        <f t="shared" si="2"/>
        <v>-28.920000000000016</v>
      </c>
      <c r="AD51" s="100">
        <f t="shared" si="71"/>
        <v>0</v>
      </c>
      <c r="AE51" s="100">
        <f t="shared" si="72"/>
        <v>0</v>
      </c>
      <c r="AF51" s="100">
        <f t="shared" si="73"/>
        <v>0</v>
      </c>
      <c r="AG51" s="100">
        <f t="shared" si="74"/>
        <v>0</v>
      </c>
      <c r="AH51" s="100">
        <f t="shared" si="75"/>
        <v>0</v>
      </c>
      <c r="AI51" s="100">
        <f t="shared" si="76"/>
        <v>0</v>
      </c>
      <c r="AJ51" s="100">
        <f t="shared" si="77"/>
        <v>0</v>
      </c>
      <c r="AK51" s="100">
        <f t="shared" si="78"/>
        <v>85.131368338863936</v>
      </c>
      <c r="AL51" s="100">
        <f t="shared" si="19"/>
        <v>9.0439195783720461</v>
      </c>
      <c r="AM51" s="100">
        <f t="shared" si="79"/>
        <v>47.237946515713446</v>
      </c>
      <c r="AN51" s="100">
        <f t="shared" si="80"/>
        <v>4.1225844231895374</v>
      </c>
      <c r="AO51" s="100">
        <f t="shared" si="81"/>
        <v>0</v>
      </c>
      <c r="AP51" s="100">
        <f t="shared" si="82"/>
        <v>0</v>
      </c>
      <c r="AQ51" s="100">
        <f t="shared" si="83"/>
        <v>3.7575639273862964</v>
      </c>
      <c r="AR51" s="100">
        <f t="shared" si="84"/>
        <v>0</v>
      </c>
      <c r="AS51" s="100">
        <f t="shared" si="85"/>
        <v>0</v>
      </c>
      <c r="AT51" s="100">
        <f t="shared" si="27"/>
        <v>0</v>
      </c>
      <c r="AU51" s="100">
        <f t="shared" si="63"/>
        <v>0</v>
      </c>
      <c r="AV51" s="100">
        <f t="shared" si="29"/>
        <v>1.3956666016006247</v>
      </c>
      <c r="AW51" s="100">
        <f t="shared" si="64"/>
        <v>25.310950614874095</v>
      </c>
      <c r="AX51">
        <f t="shared" si="4"/>
        <v>175.99999999999997</v>
      </c>
      <c r="AY51" s="98">
        <f t="shared" si="31"/>
        <v>0</v>
      </c>
      <c r="AZ51" s="98">
        <f t="shared" si="32"/>
        <v>0</v>
      </c>
      <c r="BA51" s="98">
        <f t="shared" si="65"/>
        <v>0</v>
      </c>
      <c r="BB51" s="98">
        <f t="shared" si="34"/>
        <v>0</v>
      </c>
      <c r="BC51" s="98">
        <f t="shared" si="66"/>
        <v>0</v>
      </c>
      <c r="BD51" s="98">
        <f t="shared" si="5"/>
        <v>0</v>
      </c>
      <c r="BE51" s="98">
        <f t="shared" si="6"/>
        <v>0</v>
      </c>
      <c r="BF51" s="98">
        <f t="shared" si="36"/>
        <v>9626.8307432419842</v>
      </c>
      <c r="BG51" s="98">
        <f t="shared" si="37"/>
        <v>1022.7050819848475</v>
      </c>
      <c r="BH51" s="98">
        <f t="shared" si="67"/>
        <v>5341.7644358182924</v>
      </c>
      <c r="BI51" s="98">
        <f t="shared" si="7"/>
        <v>466.19035076232376</v>
      </c>
      <c r="BJ51" s="98">
        <f t="shared" si="8"/>
        <v>0</v>
      </c>
      <c r="BK51" s="98">
        <f t="shared" si="9"/>
        <v>0</v>
      </c>
      <c r="BL51" s="98">
        <f t="shared" si="39"/>
        <v>424.91308012190956</v>
      </c>
      <c r="BM51" s="98">
        <f t="shared" si="68"/>
        <v>0</v>
      </c>
      <c r="BN51" s="98">
        <f t="shared" si="10"/>
        <v>0</v>
      </c>
      <c r="BO51" s="98">
        <f t="shared" si="41"/>
        <v>0</v>
      </c>
      <c r="BP51" s="98">
        <f t="shared" si="69"/>
        <v>0</v>
      </c>
      <c r="BQ51" s="98">
        <f t="shared" si="43"/>
        <v>157.82485833099503</v>
      </c>
      <c r="BR51" s="98">
        <f t="shared" si="70"/>
        <v>2862.2145077011833</v>
      </c>
    </row>
    <row r="52" spans="1:70" x14ac:dyDescent="0.25">
      <c r="A52" t="s">
        <v>57</v>
      </c>
      <c r="B52" t="s">
        <v>11</v>
      </c>
      <c r="C52">
        <v>2025</v>
      </c>
      <c r="D52" s="98">
        <f>INDEX('Reference Sheet'!$G$9:$J$100, MATCH(A52,'Reference Sheet'!$F$9:$F$100,0), MATCH(C52,'Reference Sheet'!$G$8:$J$8,0))/2080</f>
        <v>92.349581730769231</v>
      </c>
      <c r="E52" s="99">
        <f>VLOOKUP(C52,'Reference Sheet'!$A$2:$B$5,2)</f>
        <v>0.22450000000000001</v>
      </c>
      <c r="F52" s="98">
        <f t="shared" si="0"/>
        <v>113.08206282932692</v>
      </c>
      <c r="G52" s="98"/>
      <c r="H52" s="98"/>
      <c r="I52" s="32"/>
      <c r="J52" s="32"/>
      <c r="K52" s="32"/>
      <c r="L52" s="32"/>
      <c r="M52" s="32"/>
      <c r="N52" s="32">
        <v>99.12</v>
      </c>
      <c r="O52" s="32">
        <v>10.53</v>
      </c>
      <c r="P52" s="32">
        <v>55</v>
      </c>
      <c r="Q52" s="32">
        <v>4.8</v>
      </c>
      <c r="R52" s="32"/>
      <c r="S52" s="32"/>
      <c r="T52" s="32">
        <v>4.375</v>
      </c>
      <c r="U52" s="32"/>
      <c r="V52" s="32">
        <v>1.5</v>
      </c>
      <c r="W52" s="32">
        <v>6</v>
      </c>
      <c r="X52" s="32"/>
      <c r="Y52" s="32">
        <v>1.625</v>
      </c>
      <c r="Z52" s="32">
        <v>29.47</v>
      </c>
      <c r="AA52" s="98">
        <f t="shared" si="1"/>
        <v>212.42000000000002</v>
      </c>
      <c r="AB52" s="98">
        <f>IF(OR(B52="",C52=""),"",SUMIFS('Reference Sheet'!$D$9:$D$42,'Reference Sheet'!$A$9:$A$42,C52,'Reference Sheet'!$B$9:$B$42,B52))</f>
        <v>168</v>
      </c>
      <c r="AC52" s="98">
        <f t="shared" si="2"/>
        <v>-44.420000000000016</v>
      </c>
      <c r="AD52" s="100">
        <f t="shared" si="71"/>
        <v>0</v>
      </c>
      <c r="AE52" s="100">
        <f t="shared" si="72"/>
        <v>0</v>
      </c>
      <c r="AF52" s="100">
        <f t="shared" si="73"/>
        <v>0</v>
      </c>
      <c r="AG52" s="100">
        <f t="shared" si="74"/>
        <v>0</v>
      </c>
      <c r="AH52" s="100">
        <f t="shared" si="75"/>
        <v>0</v>
      </c>
      <c r="AI52" s="100">
        <f t="shared" si="76"/>
        <v>0</v>
      </c>
      <c r="AJ52" s="100">
        <f t="shared" si="77"/>
        <v>0</v>
      </c>
      <c r="AK52" s="100">
        <f t="shared" si="78"/>
        <v>78.392618397514354</v>
      </c>
      <c r="AL52" s="100">
        <f t="shared" si="19"/>
        <v>8.3280293757649932</v>
      </c>
      <c r="AM52" s="100">
        <f t="shared" si="79"/>
        <v>43.498728933245452</v>
      </c>
      <c r="AN52" s="100">
        <f t="shared" si="80"/>
        <v>3.7962527069014214</v>
      </c>
      <c r="AO52" s="100">
        <f t="shared" si="81"/>
        <v>0</v>
      </c>
      <c r="AP52" s="100">
        <f t="shared" si="82"/>
        <v>0</v>
      </c>
      <c r="AQ52" s="100">
        <f t="shared" si="83"/>
        <v>3.4601261651445245</v>
      </c>
      <c r="AR52" s="100">
        <f t="shared" si="84"/>
        <v>0</v>
      </c>
      <c r="AS52" s="100">
        <f t="shared" si="85"/>
        <v>1.1863289709066942</v>
      </c>
      <c r="AT52" s="100">
        <f t="shared" si="27"/>
        <v>4.7453158836267768</v>
      </c>
      <c r="AU52" s="100">
        <f t="shared" si="63"/>
        <v>0</v>
      </c>
      <c r="AV52" s="100">
        <f t="shared" si="29"/>
        <v>1.2851897184822521</v>
      </c>
      <c r="AW52" s="100">
        <f t="shared" si="64"/>
        <v>23.307409848413517</v>
      </c>
      <c r="AX52">
        <f t="shared" si="4"/>
        <v>167.99999999999997</v>
      </c>
      <c r="AY52" s="98">
        <f t="shared" si="31"/>
        <v>0</v>
      </c>
      <c r="AZ52" s="98">
        <f t="shared" si="32"/>
        <v>0</v>
      </c>
      <c r="BA52" s="98">
        <f t="shared" si="65"/>
        <v>0</v>
      </c>
      <c r="BB52" s="98">
        <f t="shared" si="34"/>
        <v>0</v>
      </c>
      <c r="BC52" s="98">
        <f t="shared" si="66"/>
        <v>0</v>
      </c>
      <c r="BD52" s="98">
        <f t="shared" si="5"/>
        <v>0</v>
      </c>
      <c r="BE52" s="98">
        <f t="shared" si="6"/>
        <v>0</v>
      </c>
      <c r="BF52" s="98">
        <f t="shared" si="36"/>
        <v>8864.7989989831676</v>
      </c>
      <c r="BG52" s="98">
        <f t="shared" si="37"/>
        <v>941.75074111473714</v>
      </c>
      <c r="BH52" s="98">
        <f t="shared" si="67"/>
        <v>4918.9259982251224</v>
      </c>
      <c r="BI52" s="98">
        <f t="shared" si="7"/>
        <v>429.28808711782892</v>
      </c>
      <c r="BJ52" s="98">
        <f t="shared" si="8"/>
        <v>0</v>
      </c>
      <c r="BK52" s="98">
        <f t="shared" si="9"/>
        <v>0</v>
      </c>
      <c r="BL52" s="98">
        <f t="shared" si="39"/>
        <v>391.27820440427109</v>
      </c>
      <c r="BM52" s="98">
        <f t="shared" si="68"/>
        <v>0</v>
      </c>
      <c r="BN52" s="98">
        <f t="shared" si="10"/>
        <v>134.15252722432155</v>
      </c>
      <c r="BO52" s="98">
        <f t="shared" si="41"/>
        <v>536.61010889728618</v>
      </c>
      <c r="BP52" s="98">
        <f t="shared" si="69"/>
        <v>0</v>
      </c>
      <c r="BQ52" s="98">
        <f t="shared" si="43"/>
        <v>145.331904493015</v>
      </c>
      <c r="BR52" s="98">
        <f t="shared" si="70"/>
        <v>2635.6499848671701</v>
      </c>
    </row>
    <row r="53" spans="1:70" x14ac:dyDescent="0.25">
      <c r="A53" t="s">
        <v>57</v>
      </c>
      <c r="B53" t="s">
        <v>12</v>
      </c>
      <c r="C53">
        <v>2025</v>
      </c>
      <c r="D53" s="98">
        <f>INDEX('Reference Sheet'!$G$9:$J$100, MATCH(A53,'Reference Sheet'!$F$9:$F$100,0), MATCH(C53,'Reference Sheet'!$G$8:$J$8,0))/2080</f>
        <v>92.349581730769231</v>
      </c>
      <c r="E53" s="99">
        <f>VLOOKUP(C53,'Reference Sheet'!$A$2:$B$5,2)</f>
        <v>0.22450000000000001</v>
      </c>
      <c r="F53" s="98">
        <f t="shared" si="0"/>
        <v>113.08206282932692</v>
      </c>
      <c r="G53" s="98"/>
      <c r="H53" s="98"/>
      <c r="I53" s="32"/>
      <c r="J53" s="32"/>
      <c r="K53" s="32"/>
      <c r="L53" s="32"/>
      <c r="M53" s="32"/>
      <c r="N53" s="32">
        <v>99.12</v>
      </c>
      <c r="O53" s="32">
        <v>10.53</v>
      </c>
      <c r="P53" s="32">
        <v>55</v>
      </c>
      <c r="Q53" s="32">
        <v>4.8</v>
      </c>
      <c r="R53" s="32"/>
      <c r="S53" s="32"/>
      <c r="T53" s="32">
        <v>4.375</v>
      </c>
      <c r="U53" s="32"/>
      <c r="V53" s="32"/>
      <c r="W53" s="32"/>
      <c r="X53" s="32"/>
      <c r="Y53" s="32">
        <v>1.625</v>
      </c>
      <c r="Z53" s="32">
        <v>29.47</v>
      </c>
      <c r="AA53" s="98">
        <f t="shared" si="1"/>
        <v>204.92000000000002</v>
      </c>
      <c r="AB53" s="98">
        <f>IF(OR(B53="",C53=""),"",SUMIFS('Reference Sheet'!$D$9:$D$42,'Reference Sheet'!$A$9:$A$42,C53,'Reference Sheet'!$B$9:$B$42,B53))</f>
        <v>184</v>
      </c>
      <c r="AC53" s="98">
        <f t="shared" si="2"/>
        <v>-20.920000000000016</v>
      </c>
      <c r="AD53" s="100">
        <f t="shared" si="71"/>
        <v>0</v>
      </c>
      <c r="AE53" s="100">
        <f t="shared" si="72"/>
        <v>0</v>
      </c>
      <c r="AF53" s="100">
        <f t="shared" si="73"/>
        <v>0</v>
      </c>
      <c r="AG53" s="100">
        <f t="shared" si="74"/>
        <v>0</v>
      </c>
      <c r="AH53" s="100">
        <f t="shared" si="75"/>
        <v>0</v>
      </c>
      <c r="AI53" s="100">
        <f t="shared" si="76"/>
        <v>0</v>
      </c>
      <c r="AJ53" s="100">
        <f t="shared" si="77"/>
        <v>0</v>
      </c>
      <c r="AK53" s="100">
        <f t="shared" si="78"/>
        <v>89.000975990630479</v>
      </c>
      <c r="AL53" s="100">
        <f t="shared" si="19"/>
        <v>9.455006831934412</v>
      </c>
      <c r="AM53" s="100">
        <f t="shared" si="79"/>
        <v>49.38512590279133</v>
      </c>
      <c r="AN53" s="100">
        <f t="shared" si="80"/>
        <v>4.3099746242436066</v>
      </c>
      <c r="AO53" s="100">
        <f t="shared" si="81"/>
        <v>0</v>
      </c>
      <c r="AP53" s="100">
        <f t="shared" si="82"/>
        <v>0</v>
      </c>
      <c r="AQ53" s="100">
        <f t="shared" si="83"/>
        <v>3.9283622877220372</v>
      </c>
      <c r="AR53" s="100">
        <f t="shared" si="84"/>
        <v>0</v>
      </c>
      <c r="AS53" s="100">
        <f t="shared" si="85"/>
        <v>0</v>
      </c>
      <c r="AT53" s="100">
        <f t="shared" si="27"/>
        <v>0</v>
      </c>
      <c r="AU53" s="100">
        <f t="shared" si="63"/>
        <v>0</v>
      </c>
      <c r="AV53" s="100">
        <f t="shared" si="29"/>
        <v>1.4591059925824712</v>
      </c>
      <c r="AW53" s="100">
        <f t="shared" si="64"/>
        <v>26.461448370095646</v>
      </c>
      <c r="AX53">
        <f t="shared" si="4"/>
        <v>183.99999999999994</v>
      </c>
      <c r="AY53" s="98">
        <f t="shared" si="31"/>
        <v>0</v>
      </c>
      <c r="AZ53" s="98">
        <f t="shared" si="32"/>
        <v>0</v>
      </c>
      <c r="BA53" s="98">
        <f t="shared" si="65"/>
        <v>0</v>
      </c>
      <c r="BB53" s="98">
        <f t="shared" si="34"/>
        <v>0</v>
      </c>
      <c r="BC53" s="98">
        <f t="shared" si="66"/>
        <v>0</v>
      </c>
      <c r="BD53" s="98">
        <f t="shared" si="5"/>
        <v>0</v>
      </c>
      <c r="BE53" s="98">
        <f t="shared" si="6"/>
        <v>0</v>
      </c>
      <c r="BF53" s="98">
        <f t="shared" si="36"/>
        <v>10064.413958843892</v>
      </c>
      <c r="BG53" s="98">
        <f t="shared" si="37"/>
        <v>1069.1916766205225</v>
      </c>
      <c r="BH53" s="98">
        <f t="shared" si="67"/>
        <v>5584.5719101736695</v>
      </c>
      <c r="BI53" s="98">
        <f t="shared" si="7"/>
        <v>487.38082125152016</v>
      </c>
      <c r="BJ53" s="98">
        <f t="shared" si="8"/>
        <v>0</v>
      </c>
      <c r="BK53" s="98">
        <f t="shared" si="9"/>
        <v>0</v>
      </c>
      <c r="BL53" s="98">
        <f t="shared" si="39"/>
        <v>444.22731103654183</v>
      </c>
      <c r="BM53" s="98">
        <f t="shared" si="68"/>
        <v>0</v>
      </c>
      <c r="BN53" s="98">
        <f t="shared" si="10"/>
        <v>0</v>
      </c>
      <c r="BO53" s="98">
        <f t="shared" si="41"/>
        <v>0</v>
      </c>
      <c r="BP53" s="98">
        <f t="shared" si="69"/>
        <v>0</v>
      </c>
      <c r="BQ53" s="98">
        <f t="shared" si="43"/>
        <v>164.99871552785842</v>
      </c>
      <c r="BR53" s="98">
        <f t="shared" si="70"/>
        <v>2992.315167142146</v>
      </c>
    </row>
    <row r="54" spans="1:70" x14ac:dyDescent="0.25">
      <c r="A54" t="s">
        <v>57</v>
      </c>
      <c r="B54" t="s">
        <v>13</v>
      </c>
      <c r="C54">
        <v>2025</v>
      </c>
      <c r="D54" s="98">
        <f>INDEX('Reference Sheet'!$G$9:$J$100, MATCH(A54,'Reference Sheet'!$F$9:$F$100,0), MATCH(C54,'Reference Sheet'!$G$8:$J$8,0))/2080</f>
        <v>92.349581730769231</v>
      </c>
      <c r="E54" s="99">
        <f>VLOOKUP(C54,'Reference Sheet'!$A$2:$B$5,2)</f>
        <v>0.22450000000000001</v>
      </c>
      <c r="F54" s="98">
        <f t="shared" si="0"/>
        <v>113.08206282932692</v>
      </c>
      <c r="G54" s="98"/>
      <c r="H54" s="98"/>
      <c r="I54" s="32"/>
      <c r="J54" s="32"/>
      <c r="K54" s="32"/>
      <c r="L54" s="32"/>
      <c r="M54" s="32"/>
      <c r="N54" s="32">
        <v>99.12</v>
      </c>
      <c r="O54" s="32">
        <v>10.53</v>
      </c>
      <c r="P54" s="32">
        <v>80</v>
      </c>
      <c r="Q54" s="32">
        <v>4.8</v>
      </c>
      <c r="R54" s="32"/>
      <c r="S54" s="32"/>
      <c r="T54" s="32">
        <v>4.375</v>
      </c>
      <c r="U54" s="32"/>
      <c r="V54" s="32">
        <v>0.5</v>
      </c>
      <c r="W54" s="32"/>
      <c r="X54" s="32"/>
      <c r="Y54" s="32">
        <v>1.625</v>
      </c>
      <c r="Z54" s="32">
        <v>29.47</v>
      </c>
      <c r="AA54" s="98">
        <f t="shared" si="1"/>
        <v>230.42000000000002</v>
      </c>
      <c r="AB54" s="98">
        <f>IF(OR(B54="",C54=""),"",SUMIFS('Reference Sheet'!$D$9:$D$42,'Reference Sheet'!$A$9:$A$42,C54,'Reference Sheet'!$B$9:$B$42,B54))</f>
        <v>168</v>
      </c>
      <c r="AC54" s="98">
        <f t="shared" si="2"/>
        <v>-62.420000000000016</v>
      </c>
      <c r="AD54" s="100">
        <f t="shared" si="71"/>
        <v>0</v>
      </c>
      <c r="AE54" s="100">
        <f t="shared" si="72"/>
        <v>0</v>
      </c>
      <c r="AF54" s="100">
        <f t="shared" si="73"/>
        <v>0</v>
      </c>
      <c r="AG54" s="100">
        <f t="shared" si="74"/>
        <v>0</v>
      </c>
      <c r="AH54" s="100">
        <f t="shared" si="75"/>
        <v>0</v>
      </c>
      <c r="AI54" s="100">
        <f t="shared" si="76"/>
        <v>0</v>
      </c>
      <c r="AJ54" s="100">
        <f t="shared" si="77"/>
        <v>0</v>
      </c>
      <c r="AK54" s="100">
        <f t="shared" si="78"/>
        <v>72.268726673031864</v>
      </c>
      <c r="AL54" s="100">
        <f t="shared" si="19"/>
        <v>7.6774585539449687</v>
      </c>
      <c r="AM54" s="100">
        <f t="shared" si="79"/>
        <v>58.328270115441363</v>
      </c>
      <c r="AN54" s="100">
        <f t="shared" si="80"/>
        <v>3.4996962069264819</v>
      </c>
      <c r="AO54" s="100">
        <f t="shared" si="81"/>
        <v>0</v>
      </c>
      <c r="AP54" s="100">
        <f t="shared" si="82"/>
        <v>0</v>
      </c>
      <c r="AQ54" s="100">
        <f t="shared" si="83"/>
        <v>3.1898272719381997</v>
      </c>
      <c r="AR54" s="100">
        <f t="shared" si="84"/>
        <v>0</v>
      </c>
      <c r="AS54" s="100">
        <f t="shared" si="85"/>
        <v>0.36455168822150852</v>
      </c>
      <c r="AT54" s="100">
        <f t="shared" si="27"/>
        <v>0</v>
      </c>
      <c r="AU54" s="100">
        <f t="shared" si="63"/>
        <v>0</v>
      </c>
      <c r="AV54" s="100">
        <f t="shared" si="29"/>
        <v>1.1847929867199027</v>
      </c>
      <c r="AW54" s="100">
        <f t="shared" si="64"/>
        <v>21.486676503775712</v>
      </c>
      <c r="AX54">
        <f t="shared" si="4"/>
        <v>168</v>
      </c>
      <c r="AY54" s="98">
        <f t="shared" si="31"/>
        <v>0</v>
      </c>
      <c r="AZ54" s="98">
        <f t="shared" si="32"/>
        <v>0</v>
      </c>
      <c r="BA54" s="98">
        <f t="shared" si="65"/>
        <v>0</v>
      </c>
      <c r="BB54" s="98">
        <f t="shared" si="34"/>
        <v>0</v>
      </c>
      <c r="BC54" s="98">
        <f t="shared" si="66"/>
        <v>0</v>
      </c>
      <c r="BD54" s="98">
        <f t="shared" si="5"/>
        <v>0</v>
      </c>
      <c r="BE54" s="98">
        <f t="shared" si="6"/>
        <v>0</v>
      </c>
      <c r="BF54" s="98">
        <f t="shared" si="36"/>
        <v>8172.2966902352427</v>
      </c>
      <c r="BG54" s="98">
        <f t="shared" si="37"/>
        <v>868.18285056675836</v>
      </c>
      <c r="BH54" s="98">
        <f t="shared" si="67"/>
        <v>6595.8811059202917</v>
      </c>
      <c r="BI54" s="98">
        <f t="shared" si="7"/>
        <v>395.75286635521752</v>
      </c>
      <c r="BJ54" s="98">
        <f t="shared" si="8"/>
        <v>0</v>
      </c>
      <c r="BK54" s="98">
        <f t="shared" si="9"/>
        <v>0</v>
      </c>
      <c r="BL54" s="98">
        <f t="shared" si="39"/>
        <v>360.71224798001595</v>
      </c>
      <c r="BM54" s="98">
        <f t="shared" si="68"/>
        <v>0</v>
      </c>
      <c r="BN54" s="98">
        <f t="shared" si="10"/>
        <v>41.22425691200182</v>
      </c>
      <c r="BO54" s="98">
        <f t="shared" si="41"/>
        <v>0</v>
      </c>
      <c r="BP54" s="98">
        <f t="shared" si="69"/>
        <v>0</v>
      </c>
      <c r="BQ54" s="98">
        <f t="shared" si="43"/>
        <v>133.97883496400593</v>
      </c>
      <c r="BR54" s="98">
        <f t="shared" si="70"/>
        <v>2429.7577023933873</v>
      </c>
    </row>
    <row r="55" spans="1:70" x14ac:dyDescent="0.25">
      <c r="A55" t="s">
        <v>57</v>
      </c>
      <c r="B55" t="s">
        <v>14</v>
      </c>
      <c r="C55">
        <v>2025</v>
      </c>
      <c r="D55" s="98">
        <f>INDEX('Reference Sheet'!$G$9:$J$100, MATCH(A55,'Reference Sheet'!$F$9:$F$100,0), MATCH(C55,'Reference Sheet'!$G$8:$J$8,0))/2080</f>
        <v>92.349581730769231</v>
      </c>
      <c r="E55" s="99">
        <f>VLOOKUP(C55,'Reference Sheet'!$A$2:$B$5,2)</f>
        <v>0.22450000000000001</v>
      </c>
      <c r="F55" s="98">
        <f t="shared" si="0"/>
        <v>113.08206282932692</v>
      </c>
      <c r="G55" s="98"/>
      <c r="H55" s="98"/>
      <c r="I55" s="32"/>
      <c r="J55" s="32"/>
      <c r="K55" s="32"/>
      <c r="L55" s="32"/>
      <c r="M55" s="32"/>
      <c r="N55" s="32">
        <v>99.12</v>
      </c>
      <c r="O55" s="32">
        <v>10.52</v>
      </c>
      <c r="P55" s="32">
        <v>80</v>
      </c>
      <c r="Q55" s="32">
        <v>4.8</v>
      </c>
      <c r="R55" s="32"/>
      <c r="S55" s="32"/>
      <c r="T55" s="32">
        <v>4.375</v>
      </c>
      <c r="U55" s="32"/>
      <c r="V55" s="32"/>
      <c r="W55" s="32"/>
      <c r="X55" s="32"/>
      <c r="Y55" s="32">
        <v>1.625</v>
      </c>
      <c r="Z55" s="32">
        <v>29.47</v>
      </c>
      <c r="AA55" s="98">
        <f t="shared" si="1"/>
        <v>229.91</v>
      </c>
      <c r="AB55" s="98">
        <f>IF(OR(B55="",C55=""),"",SUMIFS('Reference Sheet'!$D$9:$D$42,'Reference Sheet'!$A$9:$A$42,C55,'Reference Sheet'!$B$9:$B$42,B55))</f>
        <v>176</v>
      </c>
      <c r="AC55" s="98">
        <f t="shared" si="2"/>
        <v>-53.91</v>
      </c>
      <c r="AD55" s="100">
        <f t="shared" si="71"/>
        <v>0</v>
      </c>
      <c r="AE55" s="100">
        <f t="shared" si="72"/>
        <v>0</v>
      </c>
      <c r="AF55" s="100">
        <f t="shared" si="73"/>
        <v>0</v>
      </c>
      <c r="AG55" s="100">
        <f t="shared" si="74"/>
        <v>0</v>
      </c>
      <c r="AH55" s="100">
        <f t="shared" si="75"/>
        <v>0</v>
      </c>
      <c r="AI55" s="100">
        <f t="shared" si="76"/>
        <v>0</v>
      </c>
      <c r="AJ55" s="100">
        <f t="shared" si="77"/>
        <v>0</v>
      </c>
      <c r="AK55" s="100">
        <f t="shared" si="78"/>
        <v>75.878039232743262</v>
      </c>
      <c r="AL55" s="100">
        <f t="shared" si="19"/>
        <v>8.053238223652734</v>
      </c>
      <c r="AM55" s="100">
        <f t="shared" si="79"/>
        <v>61.241355312948542</v>
      </c>
      <c r="AN55" s="100">
        <f t="shared" si="80"/>
        <v>3.6744813187769125</v>
      </c>
      <c r="AO55" s="100">
        <f t="shared" si="81"/>
        <v>0</v>
      </c>
      <c r="AP55" s="100">
        <f t="shared" si="82"/>
        <v>0</v>
      </c>
      <c r="AQ55" s="100">
        <f t="shared" si="83"/>
        <v>3.3491366186768738</v>
      </c>
      <c r="AR55" s="100">
        <f t="shared" si="84"/>
        <v>0</v>
      </c>
      <c r="AS55" s="100">
        <f t="shared" si="85"/>
        <v>0</v>
      </c>
      <c r="AT55" s="100">
        <f t="shared" si="27"/>
        <v>0</v>
      </c>
      <c r="AU55" s="100">
        <f t="shared" si="63"/>
        <v>0</v>
      </c>
      <c r="AV55" s="100">
        <f t="shared" si="29"/>
        <v>1.2439650297942673</v>
      </c>
      <c r="AW55" s="100">
        <f t="shared" si="64"/>
        <v>22.559784263407419</v>
      </c>
      <c r="AX55">
        <f t="shared" si="4"/>
        <v>176</v>
      </c>
      <c r="AY55" s="98">
        <f t="shared" si="31"/>
        <v>0</v>
      </c>
      <c r="AZ55" s="98">
        <f t="shared" si="32"/>
        <v>0</v>
      </c>
      <c r="BA55" s="98">
        <f t="shared" si="65"/>
        <v>0</v>
      </c>
      <c r="BB55" s="98">
        <f t="shared" si="34"/>
        <v>0</v>
      </c>
      <c r="BC55" s="98">
        <f t="shared" si="66"/>
        <v>0</v>
      </c>
      <c r="BD55" s="98">
        <f t="shared" si="5"/>
        <v>0</v>
      </c>
      <c r="BE55" s="98">
        <f t="shared" si="6"/>
        <v>0</v>
      </c>
      <c r="BF55" s="98">
        <f t="shared" si="36"/>
        <v>8580.4451998832064</v>
      </c>
      <c r="BG55" s="98">
        <f t="shared" si="37"/>
        <v>910.67679078663559</v>
      </c>
      <c r="BH55" s="98">
        <f t="shared" si="67"/>
        <v>6925.2987892519805</v>
      </c>
      <c r="BI55" s="98">
        <f t="shared" si="7"/>
        <v>415.51792735511884</v>
      </c>
      <c r="BJ55" s="98">
        <f t="shared" si="8"/>
        <v>0</v>
      </c>
      <c r="BK55" s="98">
        <f t="shared" si="9"/>
        <v>0</v>
      </c>
      <c r="BL55" s="98">
        <f t="shared" si="39"/>
        <v>378.72727753721773</v>
      </c>
      <c r="BM55" s="98">
        <f t="shared" si="68"/>
        <v>0</v>
      </c>
      <c r="BN55" s="98">
        <f t="shared" si="10"/>
        <v>0</v>
      </c>
      <c r="BO55" s="98">
        <f t="shared" si="41"/>
        <v>0</v>
      </c>
      <c r="BP55" s="98">
        <f t="shared" si="69"/>
        <v>0</v>
      </c>
      <c r="BQ55" s="98">
        <f t="shared" si="43"/>
        <v>140.67013165668087</v>
      </c>
      <c r="BR55" s="98">
        <f t="shared" si="70"/>
        <v>2551.1069414906983</v>
      </c>
    </row>
    <row r="56" spans="1:70" x14ac:dyDescent="0.25">
      <c r="A56" t="s">
        <v>57</v>
      </c>
      <c r="B56" t="s">
        <v>15</v>
      </c>
      <c r="C56">
        <v>2025</v>
      </c>
      <c r="D56" s="98">
        <f>INDEX('Reference Sheet'!$G$9:$J$100, MATCH(A56,'Reference Sheet'!$F$9:$F$100,0), MATCH(C56,'Reference Sheet'!$G$8:$J$8,0))/2080</f>
        <v>92.349581730769231</v>
      </c>
      <c r="E56" s="99">
        <f>VLOOKUP(C56,'Reference Sheet'!$A$2:$B$5,2)</f>
        <v>0.22450000000000001</v>
      </c>
      <c r="F56" s="98">
        <f t="shared" si="0"/>
        <v>113.08206282932692</v>
      </c>
      <c r="G56" s="98"/>
      <c r="H56" s="98"/>
      <c r="I56" s="32"/>
      <c r="J56" s="32"/>
      <c r="K56" s="32"/>
      <c r="L56" s="32"/>
      <c r="M56" s="32"/>
      <c r="N56" s="32">
        <v>99.11</v>
      </c>
      <c r="O56" s="32">
        <v>10.52</v>
      </c>
      <c r="P56" s="32">
        <v>90</v>
      </c>
      <c r="Q56" s="32">
        <v>4.8</v>
      </c>
      <c r="R56" s="32"/>
      <c r="S56" s="32"/>
      <c r="T56" s="32">
        <v>4.375</v>
      </c>
      <c r="U56" s="32"/>
      <c r="V56" s="32"/>
      <c r="W56" s="32"/>
      <c r="X56" s="32"/>
      <c r="Y56" s="32">
        <v>1.625</v>
      </c>
      <c r="Z56" s="32">
        <v>29.47</v>
      </c>
      <c r="AA56" s="98">
        <f t="shared" si="1"/>
        <v>239.9</v>
      </c>
      <c r="AB56" s="98">
        <f>IF(OR(B56="",C56=""),"",SUMIFS('Reference Sheet'!$D$9:$D$42,'Reference Sheet'!$A$9:$A$42,C56,'Reference Sheet'!$B$9:$B$42,B56))</f>
        <v>184</v>
      </c>
      <c r="AC56" s="98">
        <f t="shared" si="2"/>
        <v>-55.900000000000006</v>
      </c>
      <c r="AD56" s="100">
        <f t="shared" si="71"/>
        <v>0</v>
      </c>
      <c r="AE56" s="100">
        <f t="shared" si="72"/>
        <v>0</v>
      </c>
      <c r="AF56" s="100">
        <f t="shared" si="73"/>
        <v>0</v>
      </c>
      <c r="AG56" s="100">
        <f t="shared" si="74"/>
        <v>0</v>
      </c>
      <c r="AH56" s="100">
        <f t="shared" si="75"/>
        <v>0</v>
      </c>
      <c r="AI56" s="100">
        <f t="shared" si="76"/>
        <v>0</v>
      </c>
      <c r="AJ56" s="100">
        <f t="shared" si="77"/>
        <v>0</v>
      </c>
      <c r="AK56" s="100">
        <f t="shared" si="78"/>
        <v>76.016006669445602</v>
      </c>
      <c r="AL56" s="100">
        <f t="shared" si="19"/>
        <v>8.068695289704042</v>
      </c>
      <c r="AM56" s="100">
        <f t="shared" si="79"/>
        <v>69.02876198416007</v>
      </c>
      <c r="AN56" s="100">
        <f t="shared" si="80"/>
        <v>3.6815339724885368</v>
      </c>
      <c r="AO56" s="100">
        <f t="shared" si="81"/>
        <v>0</v>
      </c>
      <c r="AP56" s="100">
        <f t="shared" si="82"/>
        <v>0</v>
      </c>
      <c r="AQ56" s="100">
        <f t="shared" si="83"/>
        <v>3.3555648186744476</v>
      </c>
      <c r="AR56" s="100">
        <f t="shared" si="84"/>
        <v>0</v>
      </c>
      <c r="AS56" s="100">
        <f t="shared" si="85"/>
        <v>0</v>
      </c>
      <c r="AT56" s="100">
        <f t="shared" si="27"/>
        <v>0</v>
      </c>
      <c r="AU56" s="100">
        <f t="shared" si="63"/>
        <v>0</v>
      </c>
      <c r="AV56" s="100">
        <f t="shared" si="29"/>
        <v>1.2463526469362234</v>
      </c>
      <c r="AW56" s="100">
        <f t="shared" si="64"/>
        <v>22.603084618591076</v>
      </c>
      <c r="AX56">
        <f t="shared" si="4"/>
        <v>184</v>
      </c>
      <c r="AY56" s="98">
        <f t="shared" si="31"/>
        <v>0</v>
      </c>
      <c r="AZ56" s="98">
        <f t="shared" si="32"/>
        <v>0</v>
      </c>
      <c r="BA56" s="98">
        <f t="shared" si="65"/>
        <v>0</v>
      </c>
      <c r="BB56" s="98">
        <f t="shared" si="34"/>
        <v>0</v>
      </c>
      <c r="BC56" s="98">
        <f t="shared" si="66"/>
        <v>0</v>
      </c>
      <c r="BD56" s="98">
        <f t="shared" si="5"/>
        <v>0</v>
      </c>
      <c r="BE56" s="98">
        <f t="shared" si="6"/>
        <v>0</v>
      </c>
      <c r="BF56" s="98">
        <f t="shared" si="36"/>
        <v>8596.0468422287813</v>
      </c>
      <c r="BG56" s="98">
        <f t="shared" si="37"/>
        <v>912.42470770100658</v>
      </c>
      <c r="BH56" s="98">
        <f t="shared" si="67"/>
        <v>7805.9147997234422</v>
      </c>
      <c r="BI56" s="98">
        <f t="shared" si="7"/>
        <v>416.3154559852502</v>
      </c>
      <c r="BJ56" s="98">
        <f t="shared" si="8"/>
        <v>0</v>
      </c>
      <c r="BK56" s="98">
        <f t="shared" si="9"/>
        <v>0</v>
      </c>
      <c r="BL56" s="98">
        <f t="shared" si="39"/>
        <v>379.45419165322284</v>
      </c>
      <c r="BM56" s="98">
        <f t="shared" si="68"/>
        <v>0</v>
      </c>
      <c r="BN56" s="98">
        <f t="shared" si="10"/>
        <v>0</v>
      </c>
      <c r="BO56" s="98">
        <f t="shared" si="41"/>
        <v>0</v>
      </c>
      <c r="BP56" s="98">
        <f t="shared" si="69"/>
        <v>0</v>
      </c>
      <c r="BQ56" s="98">
        <f t="shared" si="43"/>
        <v>140.94012832833991</v>
      </c>
      <c r="BR56" s="98">
        <f t="shared" si="70"/>
        <v>2556.003434976109</v>
      </c>
    </row>
    <row r="57" spans="1:70" x14ac:dyDescent="0.25">
      <c r="A57" t="s">
        <v>57</v>
      </c>
      <c r="B57" t="s">
        <v>16</v>
      </c>
      <c r="C57">
        <v>2025</v>
      </c>
      <c r="D57" s="98">
        <f>INDEX('Reference Sheet'!$G$9:$J$100, MATCH(A57,'Reference Sheet'!$F$9:$F$100,0), MATCH(C57,'Reference Sheet'!$G$8:$J$8,0))/2080</f>
        <v>92.349581730769231</v>
      </c>
      <c r="E57" s="99">
        <f>VLOOKUP(C57,'Reference Sheet'!$A$2:$B$5,2)</f>
        <v>0.22450000000000001</v>
      </c>
      <c r="F57" s="98">
        <f t="shared" si="0"/>
        <v>113.08206282932692</v>
      </c>
      <c r="G57" s="98"/>
      <c r="H57" s="98"/>
      <c r="I57" s="32"/>
      <c r="J57" s="32"/>
      <c r="K57" s="32"/>
      <c r="L57" s="32"/>
      <c r="M57" s="32"/>
      <c r="N57" s="32">
        <v>99.11</v>
      </c>
      <c r="O57" s="32">
        <v>10.52</v>
      </c>
      <c r="P57" s="32">
        <v>90</v>
      </c>
      <c r="Q57" s="32">
        <v>4.8</v>
      </c>
      <c r="R57" s="32"/>
      <c r="S57" s="32"/>
      <c r="T57" s="32">
        <v>4.375</v>
      </c>
      <c r="U57" s="32"/>
      <c r="V57" s="32"/>
      <c r="W57" s="32"/>
      <c r="X57" s="32"/>
      <c r="Y57" s="32">
        <v>1.625</v>
      </c>
      <c r="Z57" s="32">
        <v>29.47</v>
      </c>
      <c r="AA57" s="98">
        <f t="shared" si="1"/>
        <v>239.9</v>
      </c>
      <c r="AB57" s="98">
        <f>IF(OR(B57="",C57=""),"",SUMIFS('Reference Sheet'!$D$9:$D$42,'Reference Sheet'!$A$9:$A$42,C57,'Reference Sheet'!$B$9:$B$42,B57))</f>
        <v>160</v>
      </c>
      <c r="AC57" s="98">
        <f t="shared" si="2"/>
        <v>-79.900000000000006</v>
      </c>
      <c r="AD57" s="100">
        <f t="shared" si="71"/>
        <v>0</v>
      </c>
      <c r="AE57" s="100">
        <f t="shared" si="72"/>
        <v>0</v>
      </c>
      <c r="AF57" s="100">
        <f t="shared" si="73"/>
        <v>0</v>
      </c>
      <c r="AG57" s="100">
        <f t="shared" si="74"/>
        <v>0</v>
      </c>
      <c r="AH57" s="100">
        <f t="shared" si="75"/>
        <v>0</v>
      </c>
      <c r="AI57" s="100">
        <f t="shared" si="76"/>
        <v>0</v>
      </c>
      <c r="AJ57" s="100">
        <f t="shared" si="77"/>
        <v>0</v>
      </c>
      <c r="AK57" s="100">
        <f t="shared" si="78"/>
        <v>66.100875364735302</v>
      </c>
      <c r="AL57" s="100">
        <f t="shared" si="19"/>
        <v>7.0162567736556891</v>
      </c>
      <c r="AM57" s="100">
        <f t="shared" si="79"/>
        <v>60.025010421008751</v>
      </c>
      <c r="AN57" s="100">
        <f t="shared" si="80"/>
        <v>3.201333889120467</v>
      </c>
      <c r="AO57" s="100">
        <f t="shared" si="81"/>
        <v>0</v>
      </c>
      <c r="AP57" s="100">
        <f t="shared" si="82"/>
        <v>0</v>
      </c>
      <c r="AQ57" s="100">
        <f t="shared" si="83"/>
        <v>2.9178824510212586</v>
      </c>
      <c r="AR57" s="100">
        <f t="shared" si="84"/>
        <v>0</v>
      </c>
      <c r="AS57" s="100">
        <f t="shared" si="85"/>
        <v>0</v>
      </c>
      <c r="AT57" s="100">
        <f t="shared" si="27"/>
        <v>0</v>
      </c>
      <c r="AU57" s="100">
        <f t="shared" si="63"/>
        <v>0</v>
      </c>
      <c r="AV57" s="100">
        <f t="shared" si="29"/>
        <v>1.0837849103793247</v>
      </c>
      <c r="AW57" s="100">
        <f t="shared" si="64"/>
        <v>19.654856190079197</v>
      </c>
      <c r="AX57">
        <f t="shared" si="4"/>
        <v>159.99999999999997</v>
      </c>
      <c r="AY57" s="98">
        <f t="shared" si="31"/>
        <v>0</v>
      </c>
      <c r="AZ57" s="98">
        <f t="shared" si="32"/>
        <v>0</v>
      </c>
      <c r="BA57" s="98">
        <f t="shared" si="65"/>
        <v>0</v>
      </c>
      <c r="BB57" s="98">
        <f t="shared" si="34"/>
        <v>0</v>
      </c>
      <c r="BC57" s="98">
        <f t="shared" si="66"/>
        <v>0</v>
      </c>
      <c r="BD57" s="98">
        <f t="shared" si="5"/>
        <v>0</v>
      </c>
      <c r="BE57" s="98">
        <f t="shared" si="6"/>
        <v>0</v>
      </c>
      <c r="BF57" s="98">
        <f t="shared" si="36"/>
        <v>7474.8233410685052</v>
      </c>
      <c r="BG57" s="98">
        <f t="shared" si="37"/>
        <v>793.41278930522321</v>
      </c>
      <c r="BH57" s="98">
        <f t="shared" si="67"/>
        <v>6787.7519997595145</v>
      </c>
      <c r="BI57" s="98">
        <f t="shared" si="7"/>
        <v>362.01343998717414</v>
      </c>
      <c r="BJ57" s="98">
        <f t="shared" si="8"/>
        <v>0</v>
      </c>
      <c r="BK57" s="98">
        <f t="shared" si="9"/>
        <v>0</v>
      </c>
      <c r="BL57" s="98">
        <f t="shared" si="39"/>
        <v>329.96016665497638</v>
      </c>
      <c r="BM57" s="98">
        <f t="shared" si="68"/>
        <v>0</v>
      </c>
      <c r="BN57" s="98">
        <f t="shared" si="10"/>
        <v>0</v>
      </c>
      <c r="BO57" s="98">
        <f t="shared" si="41"/>
        <v>0</v>
      </c>
      <c r="BP57" s="98">
        <f t="shared" si="69"/>
        <v>0</v>
      </c>
      <c r="BQ57" s="98">
        <f t="shared" si="43"/>
        <v>122.55663332899124</v>
      </c>
      <c r="BR57" s="98">
        <f t="shared" si="70"/>
        <v>2222.6116825879208</v>
      </c>
    </row>
    <row r="58" spans="1:70" x14ac:dyDescent="0.25">
      <c r="A58" t="s">
        <v>57</v>
      </c>
      <c r="B58" t="s">
        <v>17</v>
      </c>
      <c r="C58">
        <v>2025</v>
      </c>
      <c r="D58" s="98">
        <f>INDEX('Reference Sheet'!$G$9:$J$100, MATCH(A58,'Reference Sheet'!$F$9:$F$100,0), MATCH(C58,'Reference Sheet'!$G$8:$J$8,0))/2080</f>
        <v>92.349581730769231</v>
      </c>
      <c r="E58" s="99">
        <f>VLOOKUP(C58,'Reference Sheet'!$A$2:$B$5,2)</f>
        <v>0.22450000000000001</v>
      </c>
      <c r="F58" s="98">
        <f t="shared" si="0"/>
        <v>113.08206282932692</v>
      </c>
      <c r="G58" s="98"/>
      <c r="H58" s="98"/>
      <c r="I58" s="32"/>
      <c r="J58" s="32"/>
      <c r="K58" s="32"/>
      <c r="L58" s="32"/>
      <c r="M58" s="32"/>
      <c r="N58" s="32">
        <v>99.11</v>
      </c>
      <c r="O58" s="32">
        <v>10.52</v>
      </c>
      <c r="P58" s="32">
        <v>90</v>
      </c>
      <c r="Q58" s="32">
        <v>4.8</v>
      </c>
      <c r="R58" s="32"/>
      <c r="S58" s="32"/>
      <c r="T58" s="32">
        <v>4.375</v>
      </c>
      <c r="U58" s="32"/>
      <c r="V58" s="32"/>
      <c r="W58" s="32"/>
      <c r="X58" s="32"/>
      <c r="Y58" s="32">
        <v>1.625</v>
      </c>
      <c r="Z58" s="32">
        <v>29.45</v>
      </c>
      <c r="AA58" s="98">
        <f t="shared" si="1"/>
        <v>239.88</v>
      </c>
      <c r="AB58" s="98">
        <f>IF(OR(B58="",C58=""),"",SUMIFS('Reference Sheet'!$D$9:$D$42,'Reference Sheet'!$A$9:$A$42,C58,'Reference Sheet'!$B$9:$B$42,B58))</f>
        <v>184</v>
      </c>
      <c r="AC58" s="98">
        <f t="shared" si="2"/>
        <v>-55.879999999999995</v>
      </c>
      <c r="AD58" s="100">
        <f t="shared" si="71"/>
        <v>0</v>
      </c>
      <c r="AE58" s="100">
        <f t="shared" si="72"/>
        <v>0</v>
      </c>
      <c r="AF58" s="100">
        <f t="shared" si="73"/>
        <v>0</v>
      </c>
      <c r="AG58" s="100">
        <f t="shared" si="74"/>
        <v>0</v>
      </c>
      <c r="AH58" s="100">
        <f t="shared" si="75"/>
        <v>0</v>
      </c>
      <c r="AI58" s="100">
        <f t="shared" si="76"/>
        <v>0</v>
      </c>
      <c r="AJ58" s="100">
        <f t="shared" si="77"/>
        <v>0</v>
      </c>
      <c r="AK58" s="100">
        <f t="shared" si="78"/>
        <v>76.022344505586119</v>
      </c>
      <c r="AL58" s="100">
        <f t="shared" si="19"/>
        <v>8.0693680173420042</v>
      </c>
      <c r="AM58" s="100">
        <f t="shared" si="79"/>
        <v>69.034517258629322</v>
      </c>
      <c r="AN58" s="100">
        <f t="shared" si="80"/>
        <v>3.68184092046023</v>
      </c>
      <c r="AO58" s="100">
        <f t="shared" si="81"/>
        <v>0</v>
      </c>
      <c r="AP58" s="100">
        <f t="shared" si="82"/>
        <v>0</v>
      </c>
      <c r="AQ58" s="100">
        <f t="shared" si="83"/>
        <v>3.3558445889611472</v>
      </c>
      <c r="AR58" s="100">
        <f t="shared" si="84"/>
        <v>0</v>
      </c>
      <c r="AS58" s="100">
        <f t="shared" si="85"/>
        <v>0</v>
      </c>
      <c r="AT58" s="100">
        <f t="shared" si="27"/>
        <v>0</v>
      </c>
      <c r="AU58" s="100">
        <f t="shared" si="63"/>
        <v>0</v>
      </c>
      <c r="AV58" s="100">
        <f t="shared" si="29"/>
        <v>1.2464565616141405</v>
      </c>
      <c r="AW58" s="100">
        <f t="shared" si="64"/>
        <v>22.589628147407037</v>
      </c>
      <c r="AX58">
        <f t="shared" si="4"/>
        <v>183.99999999999997</v>
      </c>
      <c r="AY58" s="98">
        <f t="shared" si="31"/>
        <v>0</v>
      </c>
      <c r="AZ58" s="98">
        <f t="shared" si="32"/>
        <v>0</v>
      </c>
      <c r="BA58" s="98">
        <f t="shared" si="65"/>
        <v>0</v>
      </c>
      <c r="BB58" s="98">
        <f t="shared" si="34"/>
        <v>0</v>
      </c>
      <c r="BC58" s="98">
        <f t="shared" si="66"/>
        <v>0</v>
      </c>
      <c r="BD58" s="98">
        <f t="shared" si="5"/>
        <v>0</v>
      </c>
      <c r="BE58" s="98">
        <f t="shared" si="6"/>
        <v>0</v>
      </c>
      <c r="BF58" s="98">
        <f t="shared" si="36"/>
        <v>8596.7635378134255</v>
      </c>
      <c r="BG58" s="98">
        <f t="shared" si="37"/>
        <v>912.50078113002962</v>
      </c>
      <c r="BH58" s="98">
        <f t="shared" si="67"/>
        <v>7806.5656180325741</v>
      </c>
      <c r="BI58" s="98">
        <f t="shared" si="7"/>
        <v>416.35016629507055</v>
      </c>
      <c r="BJ58" s="98">
        <f t="shared" si="8"/>
        <v>0</v>
      </c>
      <c r="BK58" s="98">
        <f t="shared" si="9"/>
        <v>0</v>
      </c>
      <c r="BL58" s="98">
        <f t="shared" si="39"/>
        <v>379.48582865436123</v>
      </c>
      <c r="BM58" s="98">
        <f t="shared" si="68"/>
        <v>0</v>
      </c>
      <c r="BN58" s="98">
        <f t="shared" si="10"/>
        <v>0</v>
      </c>
      <c r="BO58" s="98">
        <f t="shared" si="41"/>
        <v>0</v>
      </c>
      <c r="BP58" s="98">
        <f t="shared" si="69"/>
        <v>0</v>
      </c>
      <c r="BQ58" s="98">
        <f t="shared" si="43"/>
        <v>140.95187921447703</v>
      </c>
      <c r="BR58" s="98">
        <f t="shared" si="70"/>
        <v>2554.4817494562144</v>
      </c>
    </row>
    <row r="59" spans="1:70" x14ac:dyDescent="0.25">
      <c r="A59" t="s">
        <v>57</v>
      </c>
      <c r="B59" t="s">
        <v>6</v>
      </c>
      <c r="C59">
        <v>2026</v>
      </c>
      <c r="D59" s="98">
        <f>INDEX('Reference Sheet'!$G$9:$J$100, MATCH(A59,'Reference Sheet'!$F$9:$F$100,0), MATCH(C59,'Reference Sheet'!$G$8:$J$8,0))/2080</f>
        <v>100.96153846153847</v>
      </c>
      <c r="E59" s="99">
        <f>VLOOKUP(C59,'Reference Sheet'!$A$2:$B$5,2)</f>
        <v>0.23630000000000001</v>
      </c>
      <c r="F59" s="98">
        <f t="shared" si="0"/>
        <v>124.81875000000001</v>
      </c>
      <c r="G59" s="98"/>
      <c r="H59" s="98"/>
      <c r="I59" s="32"/>
      <c r="J59" s="32"/>
      <c r="K59" s="32"/>
      <c r="L59" s="32"/>
      <c r="M59" s="32"/>
      <c r="N59" s="32"/>
      <c r="O59" s="32"/>
      <c r="P59" s="32"/>
      <c r="Q59" s="32">
        <v>4.8</v>
      </c>
      <c r="R59" s="32"/>
      <c r="S59" s="32"/>
      <c r="T59" s="32"/>
      <c r="U59" s="32"/>
      <c r="V59" s="32"/>
      <c r="W59" s="32"/>
      <c r="X59" s="32"/>
      <c r="Y59" s="32"/>
      <c r="Z59" s="32"/>
      <c r="AA59" s="98">
        <f t="shared" si="1"/>
        <v>4.8</v>
      </c>
      <c r="AB59" s="98">
        <f t="shared" si="62"/>
        <v>4.8</v>
      </c>
      <c r="AC59" s="98">
        <f t="shared" si="2"/>
        <v>0</v>
      </c>
      <c r="AD59" s="100">
        <f t="shared" si="71"/>
        <v>0</v>
      </c>
      <c r="AE59" s="100">
        <f t="shared" si="72"/>
        <v>0</v>
      </c>
      <c r="AF59" s="100">
        <f t="shared" si="73"/>
        <v>0</v>
      </c>
      <c r="AG59" s="100">
        <f t="shared" si="74"/>
        <v>0</v>
      </c>
      <c r="AH59" s="100">
        <f t="shared" si="75"/>
        <v>0</v>
      </c>
      <c r="AI59" s="100">
        <f t="shared" si="76"/>
        <v>0</v>
      </c>
      <c r="AJ59" s="100">
        <f t="shared" si="77"/>
        <v>0</v>
      </c>
      <c r="AK59" s="100">
        <f t="shared" si="78"/>
        <v>0</v>
      </c>
      <c r="AL59" s="100">
        <f t="shared" si="19"/>
        <v>0</v>
      </c>
      <c r="AM59" s="100">
        <f t="shared" si="79"/>
        <v>0</v>
      </c>
      <c r="AN59" s="100">
        <f t="shared" si="80"/>
        <v>4.8</v>
      </c>
      <c r="AO59" s="100">
        <f t="shared" si="81"/>
        <v>0</v>
      </c>
      <c r="AP59" s="100">
        <f t="shared" si="82"/>
        <v>0</v>
      </c>
      <c r="AQ59" s="100">
        <f t="shared" si="83"/>
        <v>0</v>
      </c>
      <c r="AR59" s="100">
        <f t="shared" si="84"/>
        <v>0</v>
      </c>
      <c r="AS59" s="100">
        <f t="shared" si="85"/>
        <v>0</v>
      </c>
      <c r="AT59" s="100">
        <f t="shared" si="27"/>
        <v>0</v>
      </c>
      <c r="AU59" s="100">
        <f t="shared" si="63"/>
        <v>0</v>
      </c>
      <c r="AV59" s="100">
        <f t="shared" si="29"/>
        <v>0</v>
      </c>
      <c r="AW59" s="100">
        <f t="shared" si="64"/>
        <v>0</v>
      </c>
      <c r="AX59">
        <f t="shared" si="4"/>
        <v>4.8</v>
      </c>
      <c r="AY59" s="98">
        <f t="shared" si="31"/>
        <v>0</v>
      </c>
      <c r="AZ59" s="98">
        <f t="shared" si="32"/>
        <v>0</v>
      </c>
      <c r="BA59" s="98">
        <f t="shared" si="65"/>
        <v>0</v>
      </c>
      <c r="BB59" s="98">
        <f t="shared" si="34"/>
        <v>0</v>
      </c>
      <c r="BC59" s="98">
        <f t="shared" si="66"/>
        <v>0</v>
      </c>
      <c r="BD59" s="98">
        <f t="shared" si="5"/>
        <v>0</v>
      </c>
      <c r="BE59" s="98">
        <f t="shared" si="6"/>
        <v>0</v>
      </c>
      <c r="BF59" s="98">
        <f t="shared" si="36"/>
        <v>0</v>
      </c>
      <c r="BG59" s="98">
        <f t="shared" si="37"/>
        <v>0</v>
      </c>
      <c r="BH59" s="98">
        <f t="shared" si="67"/>
        <v>0</v>
      </c>
      <c r="BI59" s="98">
        <f t="shared" si="7"/>
        <v>599.13</v>
      </c>
      <c r="BJ59" s="98">
        <f t="shared" si="8"/>
        <v>0</v>
      </c>
      <c r="BK59" s="98">
        <f t="shared" si="9"/>
        <v>0</v>
      </c>
      <c r="BL59" s="98">
        <f t="shared" si="39"/>
        <v>0</v>
      </c>
      <c r="BM59" s="98">
        <f t="shared" si="68"/>
        <v>0</v>
      </c>
      <c r="BN59" s="98">
        <f t="shared" si="10"/>
        <v>0</v>
      </c>
      <c r="BO59" s="98">
        <f t="shared" si="41"/>
        <v>0</v>
      </c>
      <c r="BP59" s="98">
        <f t="shared" si="69"/>
        <v>0</v>
      </c>
      <c r="BQ59" s="98">
        <f t="shared" si="43"/>
        <v>0</v>
      </c>
      <c r="BR59" s="98">
        <f t="shared" si="70"/>
        <v>0</v>
      </c>
    </row>
    <row r="60" spans="1:70" x14ac:dyDescent="0.25">
      <c r="A60" t="s">
        <v>57</v>
      </c>
      <c r="B60" t="s">
        <v>7</v>
      </c>
      <c r="C60">
        <v>2026</v>
      </c>
      <c r="D60" s="98">
        <f>INDEX('Reference Sheet'!$G$9:$J$100, MATCH(A60,'Reference Sheet'!$F$9:$F$100,0), MATCH(C60,'Reference Sheet'!$G$8:$J$8,0))/2080</f>
        <v>100.96153846153847</v>
      </c>
      <c r="E60" s="99">
        <f>VLOOKUP(C60,'Reference Sheet'!$A$2:$B$5,2)</f>
        <v>0.23630000000000001</v>
      </c>
      <c r="F60" s="98">
        <f t="shared" si="0"/>
        <v>124.81875000000001</v>
      </c>
      <c r="G60" s="98"/>
      <c r="H60" s="98"/>
      <c r="I60" s="32"/>
      <c r="J60" s="32"/>
      <c r="K60" s="32"/>
      <c r="L60" s="32"/>
      <c r="M60" s="32"/>
      <c r="N60" s="32"/>
      <c r="O60" s="32"/>
      <c r="P60" s="32"/>
      <c r="Q60" s="32">
        <v>4.8</v>
      </c>
      <c r="R60" s="32"/>
      <c r="S60" s="32"/>
      <c r="T60" s="32"/>
      <c r="U60" s="32"/>
      <c r="V60" s="32"/>
      <c r="W60" s="32"/>
      <c r="X60" s="32"/>
      <c r="Y60" s="32"/>
      <c r="Z60" s="32"/>
      <c r="AA60" s="98">
        <f t="shared" si="1"/>
        <v>4.8</v>
      </c>
      <c r="AB60" s="98">
        <f t="shared" si="62"/>
        <v>4.8</v>
      </c>
      <c r="AC60" s="98">
        <f t="shared" si="2"/>
        <v>0</v>
      </c>
      <c r="AD60" s="100">
        <f t="shared" si="71"/>
        <v>0</v>
      </c>
      <c r="AE60" s="100">
        <f t="shared" si="72"/>
        <v>0</v>
      </c>
      <c r="AF60" s="100">
        <f t="shared" si="73"/>
        <v>0</v>
      </c>
      <c r="AG60" s="100">
        <f t="shared" si="74"/>
        <v>0</v>
      </c>
      <c r="AH60" s="100">
        <f t="shared" si="75"/>
        <v>0</v>
      </c>
      <c r="AI60" s="100">
        <f t="shared" si="76"/>
        <v>0</v>
      </c>
      <c r="AJ60" s="100">
        <f t="shared" si="77"/>
        <v>0</v>
      </c>
      <c r="AK60" s="100">
        <f t="shared" si="78"/>
        <v>0</v>
      </c>
      <c r="AL60" s="100">
        <f t="shared" si="19"/>
        <v>0</v>
      </c>
      <c r="AM60" s="100">
        <f t="shared" si="79"/>
        <v>0</v>
      </c>
      <c r="AN60" s="100">
        <f t="shared" si="80"/>
        <v>4.8</v>
      </c>
      <c r="AO60" s="100">
        <f t="shared" si="81"/>
        <v>0</v>
      </c>
      <c r="AP60" s="100">
        <f t="shared" si="82"/>
        <v>0</v>
      </c>
      <c r="AQ60" s="100">
        <f t="shared" si="83"/>
        <v>0</v>
      </c>
      <c r="AR60" s="100">
        <f t="shared" si="84"/>
        <v>0</v>
      </c>
      <c r="AS60" s="100">
        <f t="shared" si="85"/>
        <v>0</v>
      </c>
      <c r="AT60" s="100">
        <f t="shared" si="27"/>
        <v>0</v>
      </c>
      <c r="AU60" s="100">
        <f t="shared" si="63"/>
        <v>0</v>
      </c>
      <c r="AV60" s="100">
        <f t="shared" si="29"/>
        <v>0</v>
      </c>
      <c r="AW60" s="100">
        <f t="shared" si="64"/>
        <v>0</v>
      </c>
      <c r="AX60">
        <f t="shared" si="4"/>
        <v>4.8</v>
      </c>
      <c r="AY60" s="98">
        <f t="shared" si="31"/>
        <v>0</v>
      </c>
      <c r="AZ60" s="98">
        <f t="shared" si="32"/>
        <v>0</v>
      </c>
      <c r="BA60" s="98">
        <f t="shared" si="65"/>
        <v>0</v>
      </c>
      <c r="BB60" s="98">
        <f t="shared" si="34"/>
        <v>0</v>
      </c>
      <c r="BC60" s="98">
        <f t="shared" si="66"/>
        <v>0</v>
      </c>
      <c r="BD60" s="98">
        <f t="shared" si="5"/>
        <v>0</v>
      </c>
      <c r="BE60" s="98">
        <f t="shared" si="6"/>
        <v>0</v>
      </c>
      <c r="BF60" s="98">
        <f t="shared" si="36"/>
        <v>0</v>
      </c>
      <c r="BG60" s="98">
        <f t="shared" si="37"/>
        <v>0</v>
      </c>
      <c r="BH60" s="98">
        <f t="shared" si="67"/>
        <v>0</v>
      </c>
      <c r="BI60" s="98">
        <f t="shared" si="7"/>
        <v>599.13</v>
      </c>
      <c r="BJ60" s="98">
        <f t="shared" si="8"/>
        <v>0</v>
      </c>
      <c r="BK60" s="98">
        <f t="shared" si="9"/>
        <v>0</v>
      </c>
      <c r="BL60" s="98">
        <f t="shared" si="39"/>
        <v>0</v>
      </c>
      <c r="BM60" s="98">
        <f t="shared" si="68"/>
        <v>0</v>
      </c>
      <c r="BN60" s="98">
        <f t="shared" si="10"/>
        <v>0</v>
      </c>
      <c r="BO60" s="98">
        <f t="shared" si="41"/>
        <v>0</v>
      </c>
      <c r="BP60" s="98">
        <f t="shared" si="69"/>
        <v>0</v>
      </c>
      <c r="BQ60" s="98">
        <f t="shared" si="43"/>
        <v>0</v>
      </c>
      <c r="BR60" s="98">
        <f t="shared" si="70"/>
        <v>0</v>
      </c>
    </row>
    <row r="61" spans="1:70" x14ac:dyDescent="0.25">
      <c r="A61" t="s">
        <v>57</v>
      </c>
      <c r="B61" t="s">
        <v>8</v>
      </c>
      <c r="C61">
        <v>2026</v>
      </c>
      <c r="D61" s="98">
        <f>INDEX('Reference Sheet'!$G$9:$J$100, MATCH(A61,'Reference Sheet'!$F$9:$F$100,0), MATCH(C61,'Reference Sheet'!$G$8:$J$8,0))/2080</f>
        <v>100.96153846153847</v>
      </c>
      <c r="E61" s="99">
        <f>VLOOKUP(C61,'Reference Sheet'!$A$2:$B$5,2)</f>
        <v>0.23630000000000001</v>
      </c>
      <c r="F61" s="98">
        <f t="shared" si="0"/>
        <v>124.81875000000001</v>
      </c>
      <c r="G61" s="98"/>
      <c r="H61" s="98"/>
      <c r="I61" s="32"/>
      <c r="J61" s="32"/>
      <c r="K61" s="32"/>
      <c r="L61" s="32"/>
      <c r="M61" s="32"/>
      <c r="N61" s="32"/>
      <c r="O61" s="32"/>
      <c r="P61" s="32"/>
      <c r="Q61" s="32">
        <v>4.8</v>
      </c>
      <c r="R61" s="32"/>
      <c r="S61" s="32"/>
      <c r="T61" s="32"/>
      <c r="U61" s="32"/>
      <c r="V61" s="32"/>
      <c r="W61" s="32"/>
      <c r="X61" s="32"/>
      <c r="Y61" s="32"/>
      <c r="Z61" s="32"/>
      <c r="AA61" s="98">
        <f t="shared" si="1"/>
        <v>4.8</v>
      </c>
      <c r="AB61" s="98">
        <f t="shared" si="62"/>
        <v>4.8</v>
      </c>
      <c r="AC61" s="98">
        <f t="shared" si="2"/>
        <v>0</v>
      </c>
      <c r="AD61" s="100">
        <f t="shared" si="71"/>
        <v>0</v>
      </c>
      <c r="AE61" s="100">
        <f t="shared" si="72"/>
        <v>0</v>
      </c>
      <c r="AF61" s="100">
        <f t="shared" si="73"/>
        <v>0</v>
      </c>
      <c r="AG61" s="100">
        <f t="shared" si="74"/>
        <v>0</v>
      </c>
      <c r="AH61" s="100">
        <f t="shared" si="75"/>
        <v>0</v>
      </c>
      <c r="AI61" s="100">
        <f t="shared" si="76"/>
        <v>0</v>
      </c>
      <c r="AJ61" s="100">
        <f t="shared" si="77"/>
        <v>0</v>
      </c>
      <c r="AK61" s="100">
        <f t="shared" si="78"/>
        <v>0</v>
      </c>
      <c r="AL61" s="100">
        <f t="shared" si="19"/>
        <v>0</v>
      </c>
      <c r="AM61" s="100">
        <f t="shared" si="79"/>
        <v>0</v>
      </c>
      <c r="AN61" s="100">
        <f t="shared" si="80"/>
        <v>4.8</v>
      </c>
      <c r="AO61" s="100">
        <f t="shared" si="81"/>
        <v>0</v>
      </c>
      <c r="AP61" s="100">
        <f t="shared" si="82"/>
        <v>0</v>
      </c>
      <c r="AQ61" s="100">
        <f t="shared" si="83"/>
        <v>0</v>
      </c>
      <c r="AR61" s="100">
        <f t="shared" si="84"/>
        <v>0</v>
      </c>
      <c r="AS61" s="100">
        <f t="shared" si="85"/>
        <v>0</v>
      </c>
      <c r="AT61" s="100">
        <f t="shared" si="27"/>
        <v>0</v>
      </c>
      <c r="AU61" s="100">
        <f t="shared" si="63"/>
        <v>0</v>
      </c>
      <c r="AV61" s="100">
        <f t="shared" si="29"/>
        <v>0</v>
      </c>
      <c r="AW61" s="100">
        <f t="shared" si="64"/>
        <v>0</v>
      </c>
      <c r="AX61">
        <f t="shared" si="4"/>
        <v>4.8</v>
      </c>
      <c r="AY61" s="98">
        <f t="shared" si="31"/>
        <v>0</v>
      </c>
      <c r="AZ61" s="98">
        <f t="shared" si="32"/>
        <v>0</v>
      </c>
      <c r="BA61" s="98">
        <f t="shared" si="65"/>
        <v>0</v>
      </c>
      <c r="BB61" s="98">
        <f t="shared" si="34"/>
        <v>0</v>
      </c>
      <c r="BC61" s="98">
        <f t="shared" si="66"/>
        <v>0</v>
      </c>
      <c r="BD61" s="98">
        <f t="shared" si="5"/>
        <v>0</v>
      </c>
      <c r="BE61" s="98">
        <f t="shared" si="6"/>
        <v>0</v>
      </c>
      <c r="BF61" s="98">
        <f t="shared" si="36"/>
        <v>0</v>
      </c>
      <c r="BG61" s="98">
        <f t="shared" si="37"/>
        <v>0</v>
      </c>
      <c r="BH61" s="98">
        <f t="shared" si="67"/>
        <v>0</v>
      </c>
      <c r="BI61" s="98">
        <f t="shared" si="7"/>
        <v>599.13</v>
      </c>
      <c r="BJ61" s="98">
        <f t="shared" si="8"/>
        <v>0</v>
      </c>
      <c r="BK61" s="98">
        <f t="shared" si="9"/>
        <v>0</v>
      </c>
      <c r="BL61" s="98">
        <f t="shared" si="39"/>
        <v>0</v>
      </c>
      <c r="BM61" s="98">
        <f t="shared" si="68"/>
        <v>0</v>
      </c>
      <c r="BN61" s="98">
        <f t="shared" si="10"/>
        <v>0</v>
      </c>
      <c r="BO61" s="98">
        <f t="shared" si="41"/>
        <v>0</v>
      </c>
      <c r="BP61" s="98">
        <f t="shared" si="69"/>
        <v>0</v>
      </c>
      <c r="BQ61" s="98">
        <f t="shared" si="43"/>
        <v>0</v>
      </c>
      <c r="BR61" s="98">
        <f t="shared" si="70"/>
        <v>0</v>
      </c>
    </row>
    <row r="62" spans="1:70" x14ac:dyDescent="0.25">
      <c r="A62" t="s">
        <v>57</v>
      </c>
      <c r="B62" t="s">
        <v>9</v>
      </c>
      <c r="C62">
        <v>2026</v>
      </c>
      <c r="D62" s="98">
        <f>INDEX('Reference Sheet'!$G$9:$J$100, MATCH(A62,'Reference Sheet'!$F$9:$F$100,0), MATCH(C62,'Reference Sheet'!$G$8:$J$8,0))/2080</f>
        <v>100.96153846153847</v>
      </c>
      <c r="E62" s="99">
        <f>VLOOKUP(C62,'Reference Sheet'!$A$2:$B$5,2)</f>
        <v>0.23630000000000001</v>
      </c>
      <c r="F62" s="98">
        <f t="shared" si="0"/>
        <v>124.81875000000001</v>
      </c>
      <c r="G62" s="98"/>
      <c r="H62" s="98"/>
      <c r="I62" s="32"/>
      <c r="J62" s="32"/>
      <c r="K62" s="32"/>
      <c r="L62" s="32"/>
      <c r="M62" s="32"/>
      <c r="N62" s="32"/>
      <c r="O62" s="32"/>
      <c r="P62" s="32"/>
      <c r="Q62" s="32">
        <v>4.8</v>
      </c>
      <c r="R62" s="32"/>
      <c r="S62" s="32"/>
      <c r="T62" s="32"/>
      <c r="U62" s="32"/>
      <c r="V62" s="32"/>
      <c r="W62" s="32"/>
      <c r="X62" s="32"/>
      <c r="Y62" s="32"/>
      <c r="Z62" s="32"/>
      <c r="AA62" s="98">
        <f t="shared" si="1"/>
        <v>4.8</v>
      </c>
      <c r="AB62" s="98">
        <f t="shared" si="62"/>
        <v>4.8</v>
      </c>
      <c r="AC62" s="98">
        <f t="shared" si="2"/>
        <v>0</v>
      </c>
      <c r="AD62" s="100">
        <f t="shared" si="71"/>
        <v>0</v>
      </c>
      <c r="AE62" s="100">
        <f t="shared" si="72"/>
        <v>0</v>
      </c>
      <c r="AF62" s="100">
        <f t="shared" si="73"/>
        <v>0</v>
      </c>
      <c r="AG62" s="100">
        <f t="shared" si="74"/>
        <v>0</v>
      </c>
      <c r="AH62" s="100">
        <f t="shared" si="75"/>
        <v>0</v>
      </c>
      <c r="AI62" s="100">
        <f t="shared" si="76"/>
        <v>0</v>
      </c>
      <c r="AJ62" s="100">
        <f t="shared" si="77"/>
        <v>0</v>
      </c>
      <c r="AK62" s="100">
        <f t="shared" si="78"/>
        <v>0</v>
      </c>
      <c r="AL62" s="100">
        <f t="shared" si="19"/>
        <v>0</v>
      </c>
      <c r="AM62" s="100">
        <f t="shared" si="79"/>
        <v>0</v>
      </c>
      <c r="AN62" s="100">
        <f t="shared" si="80"/>
        <v>4.8</v>
      </c>
      <c r="AO62" s="100">
        <f t="shared" si="81"/>
        <v>0</v>
      </c>
      <c r="AP62" s="100">
        <f t="shared" si="82"/>
        <v>0</v>
      </c>
      <c r="AQ62" s="100">
        <f t="shared" si="83"/>
        <v>0</v>
      </c>
      <c r="AR62" s="100">
        <f t="shared" si="84"/>
        <v>0</v>
      </c>
      <c r="AS62" s="100">
        <f t="shared" si="85"/>
        <v>0</v>
      </c>
      <c r="AT62" s="100">
        <f t="shared" si="27"/>
        <v>0</v>
      </c>
      <c r="AU62" s="100">
        <f t="shared" si="63"/>
        <v>0</v>
      </c>
      <c r="AV62" s="100">
        <f t="shared" si="29"/>
        <v>0</v>
      </c>
      <c r="AW62" s="100">
        <f t="shared" si="64"/>
        <v>0</v>
      </c>
      <c r="AX62">
        <f t="shared" si="4"/>
        <v>4.8</v>
      </c>
      <c r="AY62" s="98">
        <f t="shared" si="31"/>
        <v>0</v>
      </c>
      <c r="AZ62" s="98">
        <f t="shared" si="32"/>
        <v>0</v>
      </c>
      <c r="BA62" s="98">
        <f t="shared" si="65"/>
        <v>0</v>
      </c>
      <c r="BB62" s="98">
        <f t="shared" si="34"/>
        <v>0</v>
      </c>
      <c r="BC62" s="98">
        <f t="shared" si="66"/>
        <v>0</v>
      </c>
      <c r="BD62" s="98">
        <f t="shared" si="5"/>
        <v>0</v>
      </c>
      <c r="BE62" s="98">
        <f t="shared" si="6"/>
        <v>0</v>
      </c>
      <c r="BF62" s="98">
        <f t="shared" si="36"/>
        <v>0</v>
      </c>
      <c r="BG62" s="98">
        <f t="shared" si="37"/>
        <v>0</v>
      </c>
      <c r="BH62" s="98">
        <f t="shared" si="67"/>
        <v>0</v>
      </c>
      <c r="BI62" s="98">
        <f t="shared" si="7"/>
        <v>599.13</v>
      </c>
      <c r="BJ62" s="98">
        <f t="shared" si="8"/>
        <v>0</v>
      </c>
      <c r="BK62" s="98">
        <f t="shared" si="9"/>
        <v>0</v>
      </c>
      <c r="BL62" s="98">
        <f t="shared" si="39"/>
        <v>0</v>
      </c>
      <c r="BM62" s="98">
        <f t="shared" si="68"/>
        <v>0</v>
      </c>
      <c r="BN62" s="98">
        <f t="shared" si="10"/>
        <v>0</v>
      </c>
      <c r="BO62" s="98">
        <f t="shared" si="41"/>
        <v>0</v>
      </c>
      <c r="BP62" s="98">
        <f t="shared" si="69"/>
        <v>0</v>
      </c>
      <c r="BQ62" s="98">
        <f t="shared" si="43"/>
        <v>0</v>
      </c>
      <c r="BR62" s="98">
        <f t="shared" si="70"/>
        <v>0</v>
      </c>
    </row>
    <row r="63" spans="1:70" x14ac:dyDescent="0.25">
      <c r="A63" t="s">
        <v>57</v>
      </c>
      <c r="B63" t="s">
        <v>10</v>
      </c>
      <c r="C63">
        <v>2026</v>
      </c>
      <c r="D63" s="98">
        <f>INDEX('Reference Sheet'!$G$9:$J$100, MATCH(A63,'Reference Sheet'!$F$9:$F$100,0), MATCH(C63,'Reference Sheet'!$G$8:$J$8,0))/2080</f>
        <v>100.96153846153847</v>
      </c>
      <c r="E63" s="99">
        <f>VLOOKUP(C63,'Reference Sheet'!$A$2:$B$5,2)</f>
        <v>0.23630000000000001</v>
      </c>
      <c r="F63" s="98">
        <f t="shared" si="0"/>
        <v>124.81875000000001</v>
      </c>
      <c r="G63" s="98"/>
      <c r="H63" s="98"/>
      <c r="I63" s="32"/>
      <c r="J63" s="32"/>
      <c r="K63" s="32"/>
      <c r="L63" s="32"/>
      <c r="M63" s="32"/>
      <c r="N63" s="32"/>
      <c r="O63" s="32"/>
      <c r="P63" s="32"/>
      <c r="Q63" s="32">
        <v>4.8</v>
      </c>
      <c r="R63" s="32"/>
      <c r="S63" s="32"/>
      <c r="T63" s="32"/>
      <c r="U63" s="32"/>
      <c r="V63" s="32"/>
      <c r="W63" s="32"/>
      <c r="X63" s="32"/>
      <c r="Y63" s="32"/>
      <c r="Z63" s="32"/>
      <c r="AA63" s="98">
        <f t="shared" si="1"/>
        <v>4.8</v>
      </c>
      <c r="AB63" s="98">
        <f t="shared" si="62"/>
        <v>4.8</v>
      </c>
      <c r="AC63" s="98">
        <f t="shared" si="2"/>
        <v>0</v>
      </c>
      <c r="AD63" s="100">
        <f t="shared" si="71"/>
        <v>0</v>
      </c>
      <c r="AE63" s="100">
        <f t="shared" si="72"/>
        <v>0</v>
      </c>
      <c r="AF63" s="100">
        <f t="shared" si="73"/>
        <v>0</v>
      </c>
      <c r="AG63" s="100">
        <f t="shared" si="74"/>
        <v>0</v>
      </c>
      <c r="AH63" s="100">
        <f t="shared" si="75"/>
        <v>0</v>
      </c>
      <c r="AI63" s="100">
        <f t="shared" si="76"/>
        <v>0</v>
      </c>
      <c r="AJ63" s="100">
        <f t="shared" si="77"/>
        <v>0</v>
      </c>
      <c r="AK63" s="100">
        <f t="shared" si="78"/>
        <v>0</v>
      </c>
      <c r="AL63" s="100">
        <f t="shared" si="19"/>
        <v>0</v>
      </c>
      <c r="AM63" s="100">
        <f t="shared" si="79"/>
        <v>0</v>
      </c>
      <c r="AN63" s="100">
        <f t="shared" si="80"/>
        <v>4.8</v>
      </c>
      <c r="AO63" s="100">
        <f t="shared" si="81"/>
        <v>0</v>
      </c>
      <c r="AP63" s="100">
        <f t="shared" si="82"/>
        <v>0</v>
      </c>
      <c r="AQ63" s="100">
        <f t="shared" si="83"/>
        <v>0</v>
      </c>
      <c r="AR63" s="100">
        <f t="shared" si="84"/>
        <v>0</v>
      </c>
      <c r="AS63" s="100">
        <f t="shared" si="85"/>
        <v>0</v>
      </c>
      <c r="AT63" s="100">
        <f t="shared" si="27"/>
        <v>0</v>
      </c>
      <c r="AU63" s="100">
        <f t="shared" si="63"/>
        <v>0</v>
      </c>
      <c r="AV63" s="100">
        <f t="shared" si="29"/>
        <v>0</v>
      </c>
      <c r="AW63" s="100">
        <f t="shared" si="64"/>
        <v>0</v>
      </c>
      <c r="AX63">
        <f t="shared" si="4"/>
        <v>4.8</v>
      </c>
      <c r="AY63" s="98">
        <f t="shared" si="31"/>
        <v>0</v>
      </c>
      <c r="AZ63" s="98">
        <f t="shared" si="32"/>
        <v>0</v>
      </c>
      <c r="BA63" s="98">
        <f t="shared" si="65"/>
        <v>0</v>
      </c>
      <c r="BB63" s="98">
        <f t="shared" si="34"/>
        <v>0</v>
      </c>
      <c r="BC63" s="98">
        <f t="shared" si="66"/>
        <v>0</v>
      </c>
      <c r="BD63" s="98">
        <f t="shared" si="5"/>
        <v>0</v>
      </c>
      <c r="BE63" s="98">
        <f t="shared" si="6"/>
        <v>0</v>
      </c>
      <c r="BF63" s="98">
        <f t="shared" si="36"/>
        <v>0</v>
      </c>
      <c r="BG63" s="98">
        <f t="shared" si="37"/>
        <v>0</v>
      </c>
      <c r="BH63" s="98">
        <f t="shared" si="67"/>
        <v>0</v>
      </c>
      <c r="BI63" s="98">
        <f t="shared" si="7"/>
        <v>599.13</v>
      </c>
      <c r="BJ63" s="98">
        <f t="shared" si="8"/>
        <v>0</v>
      </c>
      <c r="BK63" s="98">
        <f t="shared" si="9"/>
        <v>0</v>
      </c>
      <c r="BL63" s="98">
        <f t="shared" si="39"/>
        <v>0</v>
      </c>
      <c r="BM63" s="98">
        <f t="shared" si="68"/>
        <v>0</v>
      </c>
      <c r="BN63" s="98">
        <f t="shared" si="10"/>
        <v>0</v>
      </c>
      <c r="BO63" s="98">
        <f t="shared" si="41"/>
        <v>0</v>
      </c>
      <c r="BP63" s="98">
        <f t="shared" si="69"/>
        <v>0</v>
      </c>
      <c r="BQ63" s="98">
        <f t="shared" si="43"/>
        <v>0</v>
      </c>
      <c r="BR63" s="98">
        <f t="shared" si="70"/>
        <v>0</v>
      </c>
    </row>
    <row r="64" spans="1:70" x14ac:dyDescent="0.25">
      <c r="A64" t="s">
        <v>57</v>
      </c>
      <c r="B64" t="s">
        <v>11</v>
      </c>
      <c r="C64">
        <v>2026</v>
      </c>
      <c r="D64" s="98">
        <f>INDEX('Reference Sheet'!$G$9:$J$100, MATCH(A64,'Reference Sheet'!$F$9:$F$100,0), MATCH(C64,'Reference Sheet'!$G$8:$J$8,0))/2080</f>
        <v>100.96153846153847</v>
      </c>
      <c r="E64" s="99">
        <f>VLOOKUP(C64,'Reference Sheet'!$A$2:$B$5,2)</f>
        <v>0.23630000000000001</v>
      </c>
      <c r="F64" s="98">
        <f t="shared" si="0"/>
        <v>124.81875000000001</v>
      </c>
      <c r="G64" s="98"/>
      <c r="H64" s="98"/>
      <c r="I64" s="32"/>
      <c r="J64" s="32"/>
      <c r="K64" s="32"/>
      <c r="L64" s="32"/>
      <c r="M64" s="32"/>
      <c r="N64" s="32"/>
      <c r="O64" s="32"/>
      <c r="P64" s="32"/>
      <c r="Q64" s="32">
        <v>4.8</v>
      </c>
      <c r="R64" s="32"/>
      <c r="S64" s="32"/>
      <c r="T64" s="32"/>
      <c r="U64" s="32"/>
      <c r="V64" s="32"/>
      <c r="W64" s="32"/>
      <c r="X64" s="32"/>
      <c r="Y64" s="32"/>
      <c r="Z64" s="32"/>
      <c r="AA64" s="98">
        <f t="shared" si="1"/>
        <v>4.8</v>
      </c>
      <c r="AB64" s="98">
        <f t="shared" si="62"/>
        <v>4.8</v>
      </c>
      <c r="AC64" s="98">
        <f t="shared" si="2"/>
        <v>0</v>
      </c>
      <c r="AD64" s="100">
        <f t="shared" si="71"/>
        <v>0</v>
      </c>
      <c r="AE64" s="100">
        <f t="shared" si="72"/>
        <v>0</v>
      </c>
      <c r="AF64" s="100">
        <f t="shared" si="73"/>
        <v>0</v>
      </c>
      <c r="AG64" s="100">
        <f t="shared" si="74"/>
        <v>0</v>
      </c>
      <c r="AH64" s="100">
        <f t="shared" si="75"/>
        <v>0</v>
      </c>
      <c r="AI64" s="100">
        <f t="shared" si="76"/>
        <v>0</v>
      </c>
      <c r="AJ64" s="100">
        <f t="shared" si="77"/>
        <v>0</v>
      </c>
      <c r="AK64" s="100">
        <f t="shared" si="78"/>
        <v>0</v>
      </c>
      <c r="AL64" s="100">
        <f t="shared" si="19"/>
        <v>0</v>
      </c>
      <c r="AM64" s="100">
        <f t="shared" si="79"/>
        <v>0</v>
      </c>
      <c r="AN64" s="100">
        <f t="shared" si="80"/>
        <v>4.8</v>
      </c>
      <c r="AO64" s="100">
        <f t="shared" si="81"/>
        <v>0</v>
      </c>
      <c r="AP64" s="100">
        <f t="shared" si="82"/>
        <v>0</v>
      </c>
      <c r="AQ64" s="100">
        <f t="shared" si="83"/>
        <v>0</v>
      </c>
      <c r="AR64" s="100">
        <f t="shared" si="84"/>
        <v>0</v>
      </c>
      <c r="AS64" s="100">
        <f t="shared" si="85"/>
        <v>0</v>
      </c>
      <c r="AT64" s="100">
        <f t="shared" si="27"/>
        <v>0</v>
      </c>
      <c r="AU64" s="100">
        <f t="shared" si="63"/>
        <v>0</v>
      </c>
      <c r="AV64" s="100">
        <f t="shared" si="29"/>
        <v>0</v>
      </c>
      <c r="AW64" s="100">
        <f t="shared" si="64"/>
        <v>0</v>
      </c>
      <c r="AX64">
        <f t="shared" si="4"/>
        <v>4.8</v>
      </c>
      <c r="AY64" s="98">
        <f t="shared" si="31"/>
        <v>0</v>
      </c>
      <c r="AZ64" s="98">
        <f t="shared" si="32"/>
        <v>0</v>
      </c>
      <c r="BA64" s="98">
        <f t="shared" si="65"/>
        <v>0</v>
      </c>
      <c r="BB64" s="98">
        <f t="shared" si="34"/>
        <v>0</v>
      </c>
      <c r="BC64" s="98">
        <f t="shared" si="66"/>
        <v>0</v>
      </c>
      <c r="BD64" s="98">
        <f t="shared" si="5"/>
        <v>0</v>
      </c>
      <c r="BE64" s="98">
        <f t="shared" si="6"/>
        <v>0</v>
      </c>
      <c r="BF64" s="98">
        <f t="shared" si="36"/>
        <v>0</v>
      </c>
      <c r="BG64" s="98">
        <f t="shared" si="37"/>
        <v>0</v>
      </c>
      <c r="BH64" s="98">
        <f t="shared" si="67"/>
        <v>0</v>
      </c>
      <c r="BI64" s="98">
        <f t="shared" si="7"/>
        <v>599.13</v>
      </c>
      <c r="BJ64" s="98">
        <f t="shared" si="8"/>
        <v>0</v>
      </c>
      <c r="BK64" s="98">
        <f t="shared" si="9"/>
        <v>0</v>
      </c>
      <c r="BL64" s="98">
        <f t="shared" si="39"/>
        <v>0</v>
      </c>
      <c r="BM64" s="98">
        <f t="shared" si="68"/>
        <v>0</v>
      </c>
      <c r="BN64" s="98">
        <f t="shared" si="10"/>
        <v>0</v>
      </c>
      <c r="BO64" s="98">
        <f t="shared" si="41"/>
        <v>0</v>
      </c>
      <c r="BP64" s="98">
        <f t="shared" si="69"/>
        <v>0</v>
      </c>
      <c r="BQ64" s="98">
        <f t="shared" si="43"/>
        <v>0</v>
      </c>
      <c r="BR64" s="98">
        <f t="shared" si="70"/>
        <v>0</v>
      </c>
    </row>
    <row r="65" spans="1:70" x14ac:dyDescent="0.25">
      <c r="A65" t="s">
        <v>54</v>
      </c>
      <c r="B65" t="s">
        <v>17</v>
      </c>
      <c r="C65">
        <v>2023</v>
      </c>
      <c r="D65" s="98">
        <f>INDEX('Reference Sheet'!$G$9:$J$100, MATCH(A65,'Reference Sheet'!$F$9:$F$100,0), MATCH(C65,'Reference Sheet'!$G$8:$J$8,0))/2080</f>
        <v>57.206374999999994</v>
      </c>
      <c r="E65" s="99">
        <f>VLOOKUP(C65,'Reference Sheet'!$A$2:$B$5,2)</f>
        <v>0.21360000000000001</v>
      </c>
      <c r="F65" s="98">
        <f t="shared" si="0"/>
        <v>69.42565669999999</v>
      </c>
      <c r="G65" s="98"/>
      <c r="H65" s="98"/>
      <c r="I65" s="32">
        <v>9</v>
      </c>
      <c r="J65" s="32"/>
      <c r="K65" s="32"/>
      <c r="L65" s="32">
        <v>10.5</v>
      </c>
      <c r="M65" s="32"/>
      <c r="N65" s="32"/>
      <c r="O65" s="32"/>
      <c r="P65" s="32"/>
      <c r="Q65" s="32">
        <v>20</v>
      </c>
      <c r="R65" s="32">
        <v>30</v>
      </c>
      <c r="S65" s="32"/>
      <c r="T65" s="32"/>
      <c r="U65" s="32"/>
      <c r="V65" s="32"/>
      <c r="W65" s="32"/>
      <c r="X65" s="32"/>
      <c r="Y65" s="32"/>
      <c r="Z65" s="32">
        <v>30</v>
      </c>
      <c r="AA65" s="98">
        <f t="shared" si="1"/>
        <v>99.5</v>
      </c>
      <c r="AB65" s="98">
        <f>IF(OR(B65="",C65=""),"",SUMIFS('Reference Sheet'!$D$9:$D$42,'Reference Sheet'!$A$9:$A$42,C65,'Reference Sheet'!$B$9:$B$42,B65))</f>
        <v>168</v>
      </c>
      <c r="AC65" s="98">
        <f t="shared" si="2"/>
        <v>68.5</v>
      </c>
      <c r="AD65" s="100">
        <f t="shared" si="71"/>
        <v>0</v>
      </c>
      <c r="AE65" s="100">
        <f t="shared" si="72"/>
        <v>0</v>
      </c>
      <c r="AF65" s="100">
        <f t="shared" si="73"/>
        <v>15.195979899497488</v>
      </c>
      <c r="AG65" s="100">
        <f t="shared" si="74"/>
        <v>0</v>
      </c>
      <c r="AH65" s="100">
        <f t="shared" si="75"/>
        <v>0</v>
      </c>
      <c r="AI65" s="100">
        <f t="shared" si="76"/>
        <v>17.728643216080403</v>
      </c>
      <c r="AJ65" s="100">
        <f t="shared" si="77"/>
        <v>0</v>
      </c>
      <c r="AK65" s="100">
        <f t="shared" si="78"/>
        <v>0</v>
      </c>
      <c r="AL65" s="100">
        <f t="shared" si="19"/>
        <v>0</v>
      </c>
      <c r="AM65" s="100">
        <f t="shared" si="79"/>
        <v>0</v>
      </c>
      <c r="AN65" s="100">
        <f t="shared" si="80"/>
        <v>33.768844221105532</v>
      </c>
      <c r="AO65" s="100">
        <f t="shared" si="81"/>
        <v>50.653266331658287</v>
      </c>
      <c r="AP65" s="100">
        <f t="shared" si="82"/>
        <v>0</v>
      </c>
      <c r="AQ65" s="100">
        <f t="shared" si="83"/>
        <v>0</v>
      </c>
      <c r="AR65" s="100">
        <f t="shared" si="84"/>
        <v>0</v>
      </c>
      <c r="AS65" s="100">
        <f t="shared" si="85"/>
        <v>0</v>
      </c>
      <c r="AT65" s="100">
        <f t="shared" si="27"/>
        <v>0</v>
      </c>
      <c r="AU65" s="100">
        <f t="shared" si="63"/>
        <v>0</v>
      </c>
      <c r="AV65" s="100">
        <f t="shared" si="29"/>
        <v>0</v>
      </c>
      <c r="AW65" s="100">
        <f t="shared" si="64"/>
        <v>50.653266331658287</v>
      </c>
      <c r="AX65">
        <f t="shared" si="4"/>
        <v>168</v>
      </c>
      <c r="AY65" s="98">
        <f t="shared" si="31"/>
        <v>0</v>
      </c>
      <c r="AZ65" s="98">
        <f t="shared" si="32"/>
        <v>0</v>
      </c>
      <c r="BA65" s="98">
        <f t="shared" si="65"/>
        <v>1054.990883722613</v>
      </c>
      <c r="BB65" s="98">
        <f t="shared" si="34"/>
        <v>0</v>
      </c>
      <c r="BC65" s="98">
        <f t="shared" si="66"/>
        <v>0</v>
      </c>
      <c r="BD65" s="98">
        <f t="shared" si="5"/>
        <v>1230.8226976763817</v>
      </c>
      <c r="BE65" s="98">
        <f t="shared" si="6"/>
        <v>0</v>
      </c>
      <c r="BF65" s="98">
        <f t="shared" si="36"/>
        <v>0</v>
      </c>
      <c r="BG65" s="98">
        <f t="shared" si="37"/>
        <v>0</v>
      </c>
      <c r="BH65" s="98">
        <f t="shared" si="67"/>
        <v>0</v>
      </c>
      <c r="BI65" s="98">
        <f t="shared" si="7"/>
        <v>2344.4241860502511</v>
      </c>
      <c r="BJ65" s="98">
        <f t="shared" si="8"/>
        <v>3516.636279075376</v>
      </c>
      <c r="BK65" s="98">
        <f t="shared" si="9"/>
        <v>0</v>
      </c>
      <c r="BL65" s="98">
        <f t="shared" si="39"/>
        <v>0</v>
      </c>
      <c r="BM65" s="98">
        <f t="shared" si="68"/>
        <v>0</v>
      </c>
      <c r="BN65" s="98">
        <f t="shared" si="10"/>
        <v>0</v>
      </c>
      <c r="BO65" s="98">
        <f t="shared" si="41"/>
        <v>0</v>
      </c>
      <c r="BP65" s="98">
        <f t="shared" si="69"/>
        <v>0</v>
      </c>
      <c r="BQ65" s="98">
        <f t="shared" si="43"/>
        <v>0</v>
      </c>
      <c r="BR65" s="98">
        <f t="shared" si="70"/>
        <v>3516.636279075376</v>
      </c>
    </row>
    <row r="66" spans="1:70" x14ac:dyDescent="0.25">
      <c r="A66" t="s">
        <v>54</v>
      </c>
      <c r="B66" t="s">
        <v>16</v>
      </c>
      <c r="C66">
        <v>2023</v>
      </c>
      <c r="D66" s="98">
        <f>INDEX('Reference Sheet'!$G$9:$J$100, MATCH(A66,'Reference Sheet'!$F$9:$F$100,0), MATCH(C66,'Reference Sheet'!$G$8:$J$8,0))/2080</f>
        <v>57.206374999999994</v>
      </c>
      <c r="E66" s="99">
        <f>VLOOKUP(C66,'Reference Sheet'!$A$2:$B$5,2)</f>
        <v>0.21360000000000001</v>
      </c>
      <c r="F66" s="98">
        <f t="shared" si="0"/>
        <v>69.42565669999999</v>
      </c>
      <c r="G66" s="98"/>
      <c r="H66" s="98"/>
      <c r="I66" s="32">
        <v>22</v>
      </c>
      <c r="J66" s="32"/>
      <c r="K66" s="32"/>
      <c r="L66" s="32">
        <v>17.5</v>
      </c>
      <c r="M66" s="32"/>
      <c r="N66" s="32"/>
      <c r="O66" s="32"/>
      <c r="P66" s="32"/>
      <c r="Q66" s="32">
        <v>40</v>
      </c>
      <c r="R66" s="32">
        <v>40</v>
      </c>
      <c r="S66" s="32"/>
      <c r="T66" s="32"/>
      <c r="U66" s="32"/>
      <c r="V66" s="32"/>
      <c r="W66" s="32"/>
      <c r="X66" s="32"/>
      <c r="Y66" s="32"/>
      <c r="Z66" s="32">
        <v>40</v>
      </c>
      <c r="AA66" s="98">
        <f t="shared" ref="AA66:AA129" si="86">SUM(G66:Z66)</f>
        <v>159.5</v>
      </c>
      <c r="AB66" s="98">
        <f>IF(OR(B66="",C66=""),"",SUMIFS('Reference Sheet'!$D$9:$D$42,'Reference Sheet'!$A$9:$A$42,C66,'Reference Sheet'!$B$9:$B$42,B66))</f>
        <v>176</v>
      </c>
      <c r="AC66" s="98">
        <f t="shared" si="2"/>
        <v>16.5</v>
      </c>
      <c r="AD66" s="100">
        <f t="shared" si="71"/>
        <v>0</v>
      </c>
      <c r="AE66" s="100">
        <f t="shared" si="72"/>
        <v>0</v>
      </c>
      <c r="AF66" s="100">
        <f t="shared" si="73"/>
        <v>24.275862068965516</v>
      </c>
      <c r="AG66" s="100">
        <f t="shared" si="74"/>
        <v>0</v>
      </c>
      <c r="AH66" s="100">
        <f t="shared" si="75"/>
        <v>0</v>
      </c>
      <c r="AI66" s="100">
        <f t="shared" si="76"/>
        <v>19.310344827586206</v>
      </c>
      <c r="AJ66" s="100">
        <f t="shared" si="77"/>
        <v>0</v>
      </c>
      <c r="AK66" s="100">
        <f t="shared" si="78"/>
        <v>0</v>
      </c>
      <c r="AL66" s="100">
        <f t="shared" si="19"/>
        <v>0</v>
      </c>
      <c r="AM66" s="100">
        <f t="shared" si="79"/>
        <v>0</v>
      </c>
      <c r="AN66" s="100">
        <f t="shared" si="80"/>
        <v>44.137931034482754</v>
      </c>
      <c r="AO66" s="100">
        <f t="shared" si="81"/>
        <v>44.137931034482754</v>
      </c>
      <c r="AP66" s="100">
        <f t="shared" si="82"/>
        <v>0</v>
      </c>
      <c r="AQ66" s="100">
        <f t="shared" si="83"/>
        <v>0</v>
      </c>
      <c r="AR66" s="100">
        <f t="shared" si="84"/>
        <v>0</v>
      </c>
      <c r="AS66" s="100">
        <f t="shared" si="85"/>
        <v>0</v>
      </c>
      <c r="AT66" s="100">
        <f t="shared" si="27"/>
        <v>0</v>
      </c>
      <c r="AU66" s="100">
        <f t="shared" si="63"/>
        <v>0</v>
      </c>
      <c r="AV66" s="100">
        <f t="shared" si="29"/>
        <v>0</v>
      </c>
      <c r="AW66" s="100">
        <f t="shared" si="64"/>
        <v>44.137931034482754</v>
      </c>
      <c r="AX66">
        <f t="shared" si="4"/>
        <v>176</v>
      </c>
      <c r="AY66" s="98">
        <f t="shared" si="31"/>
        <v>0</v>
      </c>
      <c r="AZ66" s="98">
        <f t="shared" si="32"/>
        <v>0</v>
      </c>
      <c r="BA66" s="98">
        <f t="shared" si="65"/>
        <v>1685.3676660965514</v>
      </c>
      <c r="BB66" s="98">
        <f t="shared" si="34"/>
        <v>0</v>
      </c>
      <c r="BC66" s="98">
        <f t="shared" si="66"/>
        <v>0</v>
      </c>
      <c r="BD66" s="98">
        <f t="shared" si="5"/>
        <v>1340.6333707586205</v>
      </c>
      <c r="BE66" s="98">
        <f t="shared" si="6"/>
        <v>0</v>
      </c>
      <c r="BF66" s="98">
        <f t="shared" si="36"/>
        <v>0</v>
      </c>
      <c r="BG66" s="98">
        <f t="shared" si="37"/>
        <v>0</v>
      </c>
      <c r="BH66" s="98">
        <f t="shared" si="67"/>
        <v>0</v>
      </c>
      <c r="BI66" s="98">
        <f t="shared" si="7"/>
        <v>3064.3048474482753</v>
      </c>
      <c r="BJ66" s="98">
        <f t="shared" si="8"/>
        <v>3064.3048474482753</v>
      </c>
      <c r="BK66" s="98">
        <f t="shared" si="9"/>
        <v>0</v>
      </c>
      <c r="BL66" s="98">
        <f t="shared" si="39"/>
        <v>0</v>
      </c>
      <c r="BM66" s="98">
        <f t="shared" si="68"/>
        <v>0</v>
      </c>
      <c r="BN66" s="98">
        <f t="shared" si="10"/>
        <v>0</v>
      </c>
      <c r="BO66" s="98">
        <f t="shared" si="41"/>
        <v>0</v>
      </c>
      <c r="BP66" s="98">
        <f t="shared" si="69"/>
        <v>0</v>
      </c>
      <c r="BQ66" s="98">
        <f t="shared" si="43"/>
        <v>0</v>
      </c>
      <c r="BR66" s="98">
        <f t="shared" si="70"/>
        <v>3064.3048474482753</v>
      </c>
    </row>
    <row r="67" spans="1:70" x14ac:dyDescent="0.25">
      <c r="A67" t="s">
        <v>54</v>
      </c>
      <c r="B67" t="s">
        <v>15</v>
      </c>
      <c r="C67">
        <v>2023</v>
      </c>
      <c r="D67" s="98">
        <f>INDEX('Reference Sheet'!$G$9:$J$100, MATCH(A67,'Reference Sheet'!$F$9:$F$100,0), MATCH(C67,'Reference Sheet'!$G$8:$J$8,0))/2080</f>
        <v>57.206374999999994</v>
      </c>
      <c r="E67" s="99">
        <f>VLOOKUP(C67,'Reference Sheet'!$A$2:$B$5,2)</f>
        <v>0.21360000000000001</v>
      </c>
      <c r="F67" s="98">
        <f t="shared" ref="F67:F130" si="87">D67*(1+E67)</f>
        <v>69.42565669999999</v>
      </c>
      <c r="G67" s="98"/>
      <c r="H67" s="98"/>
      <c r="I67" s="32">
        <v>32.5</v>
      </c>
      <c r="J67" s="32"/>
      <c r="K67" s="32"/>
      <c r="L67" s="32">
        <v>15.5</v>
      </c>
      <c r="M67" s="32"/>
      <c r="N67" s="32"/>
      <c r="O67" s="32"/>
      <c r="P67" s="32"/>
      <c r="Q67" s="32">
        <v>30</v>
      </c>
      <c r="R67" s="32">
        <v>50</v>
      </c>
      <c r="S67" s="32"/>
      <c r="T67" s="32"/>
      <c r="U67" s="32"/>
      <c r="V67" s="32"/>
      <c r="W67" s="32"/>
      <c r="X67" s="32"/>
      <c r="Y67" s="32"/>
      <c r="Z67" s="32">
        <v>40</v>
      </c>
      <c r="AA67" s="98">
        <f t="shared" si="86"/>
        <v>168</v>
      </c>
      <c r="AB67" s="98">
        <f>IF(OR(B67="",C67=""),"",SUMIFS('Reference Sheet'!$D$9:$D$42,'Reference Sheet'!$A$9:$A$42,C67,'Reference Sheet'!$B$9:$B$42,B67))</f>
        <v>176</v>
      </c>
      <c r="AC67" s="98">
        <f t="shared" ref="AC67:AC130" si="88">AB67-AA67</f>
        <v>8</v>
      </c>
      <c r="AD67" s="100">
        <f t="shared" ref="AD67:AD98" si="89">(G67/$AA67)*$AB67</f>
        <v>0</v>
      </c>
      <c r="AE67" s="100">
        <f t="shared" ref="AE67:AE98" si="90">(H67/$AA67)*$AB67</f>
        <v>0</v>
      </c>
      <c r="AF67" s="100">
        <f t="shared" ref="AF67:AF98" si="91">(I67/$AA67)*$AB67</f>
        <v>34.047619047619051</v>
      </c>
      <c r="AG67" s="100">
        <f t="shared" ref="AG67:AG98" si="92">(J67/$AA67)*$AB67</f>
        <v>0</v>
      </c>
      <c r="AH67" s="100">
        <f t="shared" ref="AH67:AH98" si="93">(K67/$AA67)*$AB67</f>
        <v>0</v>
      </c>
      <c r="AI67" s="100">
        <f t="shared" ref="AI67:AI98" si="94">(L67/$AA67)*$AB67</f>
        <v>16.238095238095241</v>
      </c>
      <c r="AJ67" s="100">
        <f t="shared" ref="AJ67:AJ98" si="95">(M67/$AA67)*$AB67</f>
        <v>0</v>
      </c>
      <c r="AK67" s="100">
        <f t="shared" ref="AK67:AK98" si="96">(N67/$AA67)*$AB67</f>
        <v>0</v>
      </c>
      <c r="AL67" s="100">
        <f t="shared" ref="AL67:AL130" si="97">(O67/$AA67)*$AB67</f>
        <v>0</v>
      </c>
      <c r="AM67" s="100">
        <f t="shared" ref="AM67:AM98" si="98">(P67/$AA67)*$AB67</f>
        <v>0</v>
      </c>
      <c r="AN67" s="100">
        <f t="shared" ref="AN67:AN98" si="99">(Q67/$AA67)*$AB67</f>
        <v>31.428571428571431</v>
      </c>
      <c r="AO67" s="100">
        <f t="shared" ref="AO67:AO98" si="100">(R67/$AA67)*$AB67</f>
        <v>52.38095238095238</v>
      </c>
      <c r="AP67" s="100">
        <f t="shared" ref="AP67:AP98" si="101">(S67/$AA67)*$AB67</f>
        <v>0</v>
      </c>
      <c r="AQ67" s="100">
        <f t="shared" ref="AQ67:AQ98" si="102">(T67/$AA67)*$AB67</f>
        <v>0</v>
      </c>
      <c r="AR67" s="100">
        <f t="shared" ref="AR67:AR98" si="103">(U67/$AA67)*$AB67</f>
        <v>0</v>
      </c>
      <c r="AS67" s="100">
        <f t="shared" ref="AS67:AS98" si="104">(V67/$AA67)*$AB67</f>
        <v>0</v>
      </c>
      <c r="AT67" s="100">
        <f t="shared" ref="AT67:AT130" si="105">(W67/$AA67)*$AB67</f>
        <v>0</v>
      </c>
      <c r="AU67" s="100">
        <f t="shared" ref="AU67:AU130" si="106">(X67/$AA67)*$AB67</f>
        <v>0</v>
      </c>
      <c r="AV67" s="100">
        <f t="shared" ref="AV67:AV130" si="107">(Y67/$AA67)*$AB67</f>
        <v>0</v>
      </c>
      <c r="AW67" s="100">
        <f t="shared" ref="AW67:AW130" si="108">(Z67/$AA67)*$AB67</f>
        <v>41.904761904761905</v>
      </c>
      <c r="AX67">
        <f t="shared" ref="AX67:AX130" si="109">SUM(AF67:AW67)</f>
        <v>176</v>
      </c>
      <c r="AY67" s="98">
        <f t="shared" ref="AY67:AY130" si="110">$F67*AD67</f>
        <v>0</v>
      </c>
      <c r="AZ67" s="98">
        <f t="shared" ref="AZ67:AZ130" si="111">$F67*AE67</f>
        <v>0</v>
      </c>
      <c r="BA67" s="98">
        <f t="shared" ref="BA67:BA113" si="112">$F67*AF67</f>
        <v>2363.7783114523809</v>
      </c>
      <c r="BB67" s="98">
        <f t="shared" ref="BB67:BB130" si="113">$F67*AG67</f>
        <v>0</v>
      </c>
      <c r="BC67" s="98">
        <f t="shared" ref="BC67:BC113" si="114">$F67*AH67</f>
        <v>0</v>
      </c>
      <c r="BD67" s="98">
        <f t="shared" ref="BD67:BD113" si="115">$F67*AI67</f>
        <v>1127.3404254619047</v>
      </c>
      <c r="BE67" s="98">
        <f t="shared" ref="BE67:BE113" si="116">$F67*AJ67</f>
        <v>0</v>
      </c>
      <c r="BF67" s="98">
        <f t="shared" ref="BF67:BF130" si="117">$F67*AK67</f>
        <v>0</v>
      </c>
      <c r="BG67" s="98">
        <f t="shared" ref="BG67:BG130" si="118">$F67*AL67</f>
        <v>0</v>
      </c>
      <c r="BH67" s="98">
        <f t="shared" ref="BH67:BH113" si="119">$F67*AM67</f>
        <v>0</v>
      </c>
      <c r="BI67" s="98">
        <f t="shared" ref="BI67:BI113" si="120">$F67*AN67</f>
        <v>2181.9492105714285</v>
      </c>
      <c r="BJ67" s="98">
        <f t="shared" ref="BJ67:BJ113" si="121">$F67*AO67</f>
        <v>3636.5820176190468</v>
      </c>
      <c r="BK67" s="98">
        <f t="shared" ref="BK67:BK113" si="122">$F67*AP67</f>
        <v>0</v>
      </c>
      <c r="BL67" s="98">
        <f t="shared" ref="BL67:BL130" si="123">$F67*AQ67</f>
        <v>0</v>
      </c>
      <c r="BM67" s="98">
        <f t="shared" ref="BM67:BM113" si="124">$F67*AR67</f>
        <v>0</v>
      </c>
      <c r="BN67" s="98">
        <f t="shared" ref="BN67:BN113" si="125">$F67*AS67</f>
        <v>0</v>
      </c>
      <c r="BO67" s="98">
        <f t="shared" ref="BO67:BO130" si="126">$F67*AT67</f>
        <v>0</v>
      </c>
      <c r="BP67" s="98">
        <f t="shared" ref="BP67:BP113" si="127">$F67*AU67</f>
        <v>0</v>
      </c>
      <c r="BQ67" s="98">
        <f t="shared" ref="BQ67:BQ130" si="128">$F67*AV67</f>
        <v>0</v>
      </c>
      <c r="BR67" s="98">
        <f t="shared" ref="BR67:BR113" si="129">$F67*AW67</f>
        <v>2909.2656140952377</v>
      </c>
    </row>
    <row r="68" spans="1:70" x14ac:dyDescent="0.25">
      <c r="A68" t="s">
        <v>54</v>
      </c>
      <c r="B68" t="s">
        <v>17</v>
      </c>
      <c r="C68">
        <v>2024</v>
      </c>
      <c r="D68" s="98">
        <f>INDEX('Reference Sheet'!$G$9:$J$100, MATCH(A68,'Reference Sheet'!$F$9:$F$100,0), MATCH(C68,'Reference Sheet'!$G$8:$J$8,0))/2080</f>
        <v>64.663456730769227</v>
      </c>
      <c r="E68" s="99">
        <f>VLOOKUP(C68,'Reference Sheet'!$A$2:$B$5,2)</f>
        <v>0.1913</v>
      </c>
      <c r="F68" s="98">
        <f t="shared" si="87"/>
        <v>77.033576003365383</v>
      </c>
      <c r="G68" s="98"/>
      <c r="H68" s="98"/>
      <c r="I68" s="21"/>
      <c r="J68" s="21"/>
      <c r="K68" s="21">
        <v>5</v>
      </c>
      <c r="L68" s="21">
        <v>9</v>
      </c>
      <c r="M68" s="21">
        <v>30</v>
      </c>
      <c r="N68" s="21"/>
      <c r="O68" s="21"/>
      <c r="P68" s="21"/>
      <c r="Q68" s="21"/>
      <c r="R68" s="21">
        <v>20</v>
      </c>
      <c r="S68" s="21">
        <v>26</v>
      </c>
      <c r="T68" s="21"/>
      <c r="U68" s="21"/>
      <c r="V68" s="21">
        <v>25</v>
      </c>
      <c r="W68" s="21"/>
      <c r="X68" s="21"/>
      <c r="Y68" s="21"/>
      <c r="Z68" s="21">
        <v>5</v>
      </c>
      <c r="AA68" s="98">
        <f t="shared" si="86"/>
        <v>120</v>
      </c>
      <c r="AB68" s="98">
        <f>IF(OR(B68="",C68=""),"",SUMIFS('Reference Sheet'!$D$9:$D$42,'Reference Sheet'!$A$9:$A$42,C68,'Reference Sheet'!$B$9:$B$42,B68))</f>
        <v>176</v>
      </c>
      <c r="AC68" s="98">
        <f t="shared" si="88"/>
        <v>56</v>
      </c>
      <c r="AD68" s="100">
        <f t="shared" si="89"/>
        <v>0</v>
      </c>
      <c r="AE68" s="100">
        <f t="shared" si="90"/>
        <v>0</v>
      </c>
      <c r="AF68" s="100">
        <f t="shared" si="91"/>
        <v>0</v>
      </c>
      <c r="AG68" s="100">
        <f t="shared" si="92"/>
        <v>0</v>
      </c>
      <c r="AH68" s="100">
        <f t="shared" si="93"/>
        <v>7.333333333333333</v>
      </c>
      <c r="AI68" s="100">
        <f t="shared" si="94"/>
        <v>13.2</v>
      </c>
      <c r="AJ68" s="100">
        <f t="shared" si="95"/>
        <v>44</v>
      </c>
      <c r="AK68" s="100">
        <f t="shared" si="96"/>
        <v>0</v>
      </c>
      <c r="AL68" s="100">
        <f t="shared" si="97"/>
        <v>0</v>
      </c>
      <c r="AM68" s="100">
        <f t="shared" si="98"/>
        <v>0</v>
      </c>
      <c r="AN68" s="100">
        <f t="shared" si="99"/>
        <v>0</v>
      </c>
      <c r="AO68" s="100">
        <f t="shared" si="100"/>
        <v>29.333333333333332</v>
      </c>
      <c r="AP68" s="100">
        <f t="shared" si="101"/>
        <v>38.133333333333333</v>
      </c>
      <c r="AQ68" s="100">
        <f t="shared" si="102"/>
        <v>0</v>
      </c>
      <c r="AR68" s="100">
        <f t="shared" si="103"/>
        <v>0</v>
      </c>
      <c r="AS68" s="100">
        <f t="shared" si="104"/>
        <v>36.666666666666671</v>
      </c>
      <c r="AT68" s="100">
        <f t="shared" si="105"/>
        <v>0</v>
      </c>
      <c r="AU68" s="100">
        <f t="shared" si="106"/>
        <v>0</v>
      </c>
      <c r="AV68" s="100">
        <f t="shared" si="107"/>
        <v>0</v>
      </c>
      <c r="AW68" s="100">
        <f t="shared" si="108"/>
        <v>7.333333333333333</v>
      </c>
      <c r="AX68">
        <f t="shared" si="109"/>
        <v>176.00000000000003</v>
      </c>
      <c r="AY68" s="98">
        <f t="shared" si="110"/>
        <v>0</v>
      </c>
      <c r="AZ68" s="98">
        <f t="shared" si="111"/>
        <v>0</v>
      </c>
      <c r="BA68" s="98">
        <f t="shared" si="112"/>
        <v>0</v>
      </c>
      <c r="BB68" s="98">
        <f t="shared" si="113"/>
        <v>0</v>
      </c>
      <c r="BC68" s="98">
        <f t="shared" si="114"/>
        <v>564.91289069134609</v>
      </c>
      <c r="BD68" s="98">
        <f t="shared" si="115"/>
        <v>1016.843203244423</v>
      </c>
      <c r="BE68" s="98">
        <f t="shared" si="116"/>
        <v>3389.477344148077</v>
      </c>
      <c r="BF68" s="98">
        <f t="shared" si="117"/>
        <v>0</v>
      </c>
      <c r="BG68" s="98">
        <f t="shared" si="118"/>
        <v>0</v>
      </c>
      <c r="BH68" s="98">
        <f t="shared" si="119"/>
        <v>0</v>
      </c>
      <c r="BI68" s="98">
        <f t="shared" si="120"/>
        <v>0</v>
      </c>
      <c r="BJ68" s="98">
        <f t="shared" si="121"/>
        <v>2259.6515627653844</v>
      </c>
      <c r="BK68" s="98">
        <f t="shared" si="122"/>
        <v>2937.5470315949997</v>
      </c>
      <c r="BL68" s="98">
        <f t="shared" si="123"/>
        <v>0</v>
      </c>
      <c r="BM68" s="98">
        <f t="shared" si="124"/>
        <v>0</v>
      </c>
      <c r="BN68" s="98">
        <f t="shared" si="125"/>
        <v>2824.5644534567309</v>
      </c>
      <c r="BO68" s="98">
        <f t="shared" si="126"/>
        <v>0</v>
      </c>
      <c r="BP68" s="98">
        <f t="shared" si="127"/>
        <v>0</v>
      </c>
      <c r="BQ68" s="98">
        <f t="shared" si="128"/>
        <v>0</v>
      </c>
      <c r="BR68" s="98">
        <f t="shared" si="129"/>
        <v>564.91289069134609</v>
      </c>
    </row>
    <row r="69" spans="1:70" x14ac:dyDescent="0.25">
      <c r="A69" t="s">
        <v>54</v>
      </c>
      <c r="B69" t="s">
        <v>16</v>
      </c>
      <c r="C69">
        <v>2024</v>
      </c>
      <c r="D69" s="98">
        <f>INDEX('Reference Sheet'!$G$9:$J$100, MATCH(A69,'Reference Sheet'!$F$9:$F$100,0), MATCH(C69,'Reference Sheet'!$G$8:$J$8,0))/2080</f>
        <v>64.663456730769227</v>
      </c>
      <c r="E69" s="99">
        <f>VLOOKUP(C69,'Reference Sheet'!$A$2:$B$5,2)</f>
        <v>0.1913</v>
      </c>
      <c r="F69" s="98">
        <f t="shared" si="87"/>
        <v>77.033576003365383</v>
      </c>
      <c r="G69" s="98"/>
      <c r="H69" s="98"/>
      <c r="I69" s="21"/>
      <c r="J69" s="21"/>
      <c r="K69" s="21">
        <v>5</v>
      </c>
      <c r="L69" s="21">
        <v>12</v>
      </c>
      <c r="M69" s="21">
        <v>30</v>
      </c>
      <c r="N69" s="21"/>
      <c r="O69" s="21"/>
      <c r="P69" s="21"/>
      <c r="Q69" s="21"/>
      <c r="R69" s="21">
        <v>40</v>
      </c>
      <c r="S69" s="21">
        <v>30</v>
      </c>
      <c r="T69" s="21"/>
      <c r="U69" s="21"/>
      <c r="V69" s="21">
        <v>30</v>
      </c>
      <c r="W69" s="21"/>
      <c r="X69" s="21"/>
      <c r="Y69" s="21"/>
      <c r="Z69" s="21">
        <v>5</v>
      </c>
      <c r="AA69" s="98">
        <f t="shared" si="86"/>
        <v>152</v>
      </c>
      <c r="AB69" s="98">
        <f>IF(OR(B69="",C69=""),"",SUMIFS('Reference Sheet'!$D$9:$D$42,'Reference Sheet'!$A$9:$A$42,C69,'Reference Sheet'!$B$9:$B$42,B69))</f>
        <v>168</v>
      </c>
      <c r="AC69" s="98">
        <f t="shared" si="88"/>
        <v>16</v>
      </c>
      <c r="AD69" s="100">
        <f t="shared" si="89"/>
        <v>0</v>
      </c>
      <c r="AE69" s="100">
        <f t="shared" si="90"/>
        <v>0</v>
      </c>
      <c r="AF69" s="100">
        <f t="shared" si="91"/>
        <v>0</v>
      </c>
      <c r="AG69" s="100">
        <f t="shared" si="92"/>
        <v>0</v>
      </c>
      <c r="AH69" s="100">
        <f t="shared" si="93"/>
        <v>5.5263157894736841</v>
      </c>
      <c r="AI69" s="100">
        <f t="shared" si="94"/>
        <v>13.263157894736841</v>
      </c>
      <c r="AJ69" s="100">
        <f t="shared" si="95"/>
        <v>33.157894736842103</v>
      </c>
      <c r="AK69" s="100">
        <f t="shared" si="96"/>
        <v>0</v>
      </c>
      <c r="AL69" s="100">
        <f t="shared" si="97"/>
        <v>0</v>
      </c>
      <c r="AM69" s="100">
        <f t="shared" si="98"/>
        <v>0</v>
      </c>
      <c r="AN69" s="100">
        <f t="shared" si="99"/>
        <v>0</v>
      </c>
      <c r="AO69" s="100">
        <f t="shared" si="100"/>
        <v>44.210526315789473</v>
      </c>
      <c r="AP69" s="100">
        <f t="shared" si="101"/>
        <v>33.157894736842103</v>
      </c>
      <c r="AQ69" s="100">
        <f t="shared" si="102"/>
        <v>0</v>
      </c>
      <c r="AR69" s="100">
        <f t="shared" si="103"/>
        <v>0</v>
      </c>
      <c r="AS69" s="100">
        <f t="shared" si="104"/>
        <v>33.157894736842103</v>
      </c>
      <c r="AT69" s="100">
        <f t="shared" si="105"/>
        <v>0</v>
      </c>
      <c r="AU69" s="100">
        <f t="shared" si="106"/>
        <v>0</v>
      </c>
      <c r="AV69" s="100">
        <f t="shared" si="107"/>
        <v>0</v>
      </c>
      <c r="AW69" s="100">
        <f t="shared" si="108"/>
        <v>5.5263157894736841</v>
      </c>
      <c r="AX69">
        <f t="shared" si="109"/>
        <v>168</v>
      </c>
      <c r="AY69" s="98">
        <f t="shared" si="110"/>
        <v>0</v>
      </c>
      <c r="AZ69" s="98">
        <f t="shared" si="111"/>
        <v>0</v>
      </c>
      <c r="BA69" s="98">
        <f t="shared" si="112"/>
        <v>0</v>
      </c>
      <c r="BB69" s="98">
        <f t="shared" si="113"/>
        <v>0</v>
      </c>
      <c r="BC69" s="98">
        <f t="shared" si="114"/>
        <v>425.7118673870192</v>
      </c>
      <c r="BD69" s="98">
        <f t="shared" si="115"/>
        <v>1021.708481728846</v>
      </c>
      <c r="BE69" s="98">
        <f t="shared" si="116"/>
        <v>2554.271204322115</v>
      </c>
      <c r="BF69" s="98">
        <f t="shared" si="117"/>
        <v>0</v>
      </c>
      <c r="BG69" s="98">
        <f t="shared" si="118"/>
        <v>0</v>
      </c>
      <c r="BH69" s="98">
        <f t="shared" si="119"/>
        <v>0</v>
      </c>
      <c r="BI69" s="98">
        <f t="shared" si="120"/>
        <v>0</v>
      </c>
      <c r="BJ69" s="98">
        <f t="shared" si="121"/>
        <v>3405.6949390961536</v>
      </c>
      <c r="BK69" s="98">
        <f t="shared" si="122"/>
        <v>2554.271204322115</v>
      </c>
      <c r="BL69" s="98">
        <f t="shared" si="123"/>
        <v>0</v>
      </c>
      <c r="BM69" s="98">
        <f t="shared" si="124"/>
        <v>0</v>
      </c>
      <c r="BN69" s="98">
        <f t="shared" si="125"/>
        <v>2554.271204322115</v>
      </c>
      <c r="BO69" s="98">
        <f t="shared" si="126"/>
        <v>0</v>
      </c>
      <c r="BP69" s="98">
        <f t="shared" si="127"/>
        <v>0</v>
      </c>
      <c r="BQ69" s="98">
        <f t="shared" si="128"/>
        <v>0</v>
      </c>
      <c r="BR69" s="98">
        <f t="shared" si="129"/>
        <v>425.7118673870192</v>
      </c>
    </row>
    <row r="70" spans="1:70" x14ac:dyDescent="0.25">
      <c r="A70" t="s">
        <v>54</v>
      </c>
      <c r="B70" t="s">
        <v>11</v>
      </c>
      <c r="C70">
        <v>2024</v>
      </c>
      <c r="D70" s="98">
        <f>INDEX('Reference Sheet'!$G$9:$J$100, MATCH(A70,'Reference Sheet'!$F$9:$F$100,0), MATCH(C70,'Reference Sheet'!$G$8:$J$8,0))/2080</f>
        <v>64.663456730769227</v>
      </c>
      <c r="E70" s="99">
        <f>VLOOKUP(C70,'Reference Sheet'!$A$2:$B$5,2)</f>
        <v>0.1913</v>
      </c>
      <c r="F70" s="98">
        <f t="shared" si="87"/>
        <v>77.033576003365383</v>
      </c>
      <c r="G70" s="98"/>
      <c r="H70" s="98"/>
      <c r="I70" s="21"/>
      <c r="J70" s="21"/>
      <c r="K70" s="21"/>
      <c r="L70" s="21">
        <v>27</v>
      </c>
      <c r="M70" s="21">
        <v>42</v>
      </c>
      <c r="N70" s="21"/>
      <c r="O70" s="21"/>
      <c r="P70" s="21"/>
      <c r="Q70" s="21">
        <v>40</v>
      </c>
      <c r="R70" s="21">
        <v>32</v>
      </c>
      <c r="S70" s="21"/>
      <c r="T70" s="21"/>
      <c r="U70" s="21"/>
      <c r="V70" s="21"/>
      <c r="W70" s="21"/>
      <c r="X70" s="21"/>
      <c r="Y70" s="21"/>
      <c r="Z70" s="21">
        <v>15</v>
      </c>
      <c r="AA70" s="98">
        <f t="shared" si="86"/>
        <v>156</v>
      </c>
      <c r="AB70" s="98">
        <f>IF(OR(B70="",C70=""),"",SUMIFS('Reference Sheet'!$D$9:$D$42,'Reference Sheet'!$A$9:$A$42,C70,'Reference Sheet'!$B$9:$B$42,B70))</f>
        <v>160</v>
      </c>
      <c r="AC70" s="98">
        <f t="shared" si="88"/>
        <v>4</v>
      </c>
      <c r="AD70" s="100">
        <f t="shared" si="89"/>
        <v>0</v>
      </c>
      <c r="AE70" s="100">
        <f t="shared" si="90"/>
        <v>0</v>
      </c>
      <c r="AF70" s="100">
        <f t="shared" si="91"/>
        <v>0</v>
      </c>
      <c r="AG70" s="100">
        <f t="shared" si="92"/>
        <v>0</v>
      </c>
      <c r="AH70" s="100">
        <f t="shared" si="93"/>
        <v>0</v>
      </c>
      <c r="AI70" s="100">
        <f t="shared" si="94"/>
        <v>27.692307692307693</v>
      </c>
      <c r="AJ70" s="100">
        <f t="shared" si="95"/>
        <v>43.076923076923073</v>
      </c>
      <c r="AK70" s="100">
        <f t="shared" si="96"/>
        <v>0</v>
      </c>
      <c r="AL70" s="100">
        <f t="shared" si="97"/>
        <v>0</v>
      </c>
      <c r="AM70" s="100">
        <f t="shared" si="98"/>
        <v>0</v>
      </c>
      <c r="AN70" s="100">
        <f t="shared" si="99"/>
        <v>41.025641025641022</v>
      </c>
      <c r="AO70" s="100">
        <f t="shared" si="100"/>
        <v>32.820512820512818</v>
      </c>
      <c r="AP70" s="100">
        <f t="shared" si="101"/>
        <v>0</v>
      </c>
      <c r="AQ70" s="100">
        <f t="shared" si="102"/>
        <v>0</v>
      </c>
      <c r="AR70" s="100">
        <f t="shared" si="103"/>
        <v>0</v>
      </c>
      <c r="AS70" s="100">
        <f t="shared" si="104"/>
        <v>0</v>
      </c>
      <c r="AT70" s="100">
        <f t="shared" si="105"/>
        <v>0</v>
      </c>
      <c r="AU70" s="100">
        <f t="shared" si="106"/>
        <v>0</v>
      </c>
      <c r="AV70" s="100">
        <f t="shared" si="107"/>
        <v>0</v>
      </c>
      <c r="AW70" s="100">
        <f t="shared" si="108"/>
        <v>15.384615384615385</v>
      </c>
      <c r="AX70">
        <f t="shared" si="109"/>
        <v>160</v>
      </c>
      <c r="AY70" s="98">
        <f t="shared" si="110"/>
        <v>0</v>
      </c>
      <c r="AZ70" s="98">
        <f t="shared" si="111"/>
        <v>0</v>
      </c>
      <c r="BA70" s="98">
        <f t="shared" si="112"/>
        <v>0</v>
      </c>
      <c r="BB70" s="98">
        <f t="shared" si="113"/>
        <v>0</v>
      </c>
      <c r="BC70" s="98">
        <f t="shared" si="114"/>
        <v>0</v>
      </c>
      <c r="BD70" s="98">
        <f t="shared" si="115"/>
        <v>2133.2374893239644</v>
      </c>
      <c r="BE70" s="98">
        <f t="shared" si="116"/>
        <v>3318.3694278372777</v>
      </c>
      <c r="BF70" s="98">
        <f t="shared" si="117"/>
        <v>0</v>
      </c>
      <c r="BG70" s="98">
        <f t="shared" si="118"/>
        <v>0</v>
      </c>
      <c r="BH70" s="98">
        <f t="shared" si="119"/>
        <v>0</v>
      </c>
      <c r="BI70" s="98">
        <f t="shared" si="120"/>
        <v>3160.3518360355024</v>
      </c>
      <c r="BJ70" s="98">
        <f t="shared" si="121"/>
        <v>2528.281468828402</v>
      </c>
      <c r="BK70" s="98">
        <f t="shared" si="122"/>
        <v>0</v>
      </c>
      <c r="BL70" s="98">
        <f t="shared" si="123"/>
        <v>0</v>
      </c>
      <c r="BM70" s="98">
        <f t="shared" si="124"/>
        <v>0</v>
      </c>
      <c r="BN70" s="98">
        <f t="shared" si="125"/>
        <v>0</v>
      </c>
      <c r="BO70" s="98">
        <f t="shared" si="126"/>
        <v>0</v>
      </c>
      <c r="BP70" s="98">
        <f t="shared" si="127"/>
        <v>0</v>
      </c>
      <c r="BQ70" s="98">
        <f t="shared" si="128"/>
        <v>0</v>
      </c>
      <c r="BR70" s="98">
        <f t="shared" si="129"/>
        <v>1185.1319385133136</v>
      </c>
    </row>
    <row r="71" spans="1:70" x14ac:dyDescent="0.25">
      <c r="A71" t="s">
        <v>54</v>
      </c>
      <c r="B71" t="s">
        <v>8</v>
      </c>
      <c r="C71">
        <v>2024</v>
      </c>
      <c r="D71" s="98">
        <f>INDEX('Reference Sheet'!$G$9:$J$100, MATCH(A71,'Reference Sheet'!$F$9:$F$100,0), MATCH(C71,'Reference Sheet'!$G$8:$J$8,0))/2080</f>
        <v>64.663456730769227</v>
      </c>
      <c r="E71" s="99">
        <f>VLOOKUP(C71,'Reference Sheet'!$A$2:$B$5,2)</f>
        <v>0.1913</v>
      </c>
      <c r="F71" s="98">
        <f t="shared" si="87"/>
        <v>77.033576003365383</v>
      </c>
      <c r="G71" s="98"/>
      <c r="H71" s="98"/>
      <c r="I71" s="21">
        <v>11</v>
      </c>
      <c r="J71" s="21"/>
      <c r="K71" s="21"/>
      <c r="L71" s="21">
        <v>19</v>
      </c>
      <c r="M71" s="21">
        <v>55</v>
      </c>
      <c r="N71" s="21"/>
      <c r="O71" s="21"/>
      <c r="P71" s="21"/>
      <c r="Q71" s="21">
        <v>25</v>
      </c>
      <c r="R71" s="21">
        <v>30</v>
      </c>
      <c r="S71" s="21"/>
      <c r="T71" s="21"/>
      <c r="U71" s="21"/>
      <c r="V71" s="21"/>
      <c r="W71" s="21"/>
      <c r="X71" s="21"/>
      <c r="Y71" s="21"/>
      <c r="Z71" s="21">
        <v>20</v>
      </c>
      <c r="AA71" s="98">
        <f t="shared" si="86"/>
        <v>160</v>
      </c>
      <c r="AB71" s="98">
        <f>IF(OR(B71="",C71=""),"",SUMIFS('Reference Sheet'!$D$9:$D$42,'Reference Sheet'!$A$9:$A$42,C71,'Reference Sheet'!$B$9:$B$42,B71))</f>
        <v>168</v>
      </c>
      <c r="AC71" s="98">
        <f t="shared" si="88"/>
        <v>8</v>
      </c>
      <c r="AD71" s="100">
        <f t="shared" si="89"/>
        <v>0</v>
      </c>
      <c r="AE71" s="100">
        <f t="shared" si="90"/>
        <v>0</v>
      </c>
      <c r="AF71" s="100">
        <f t="shared" si="91"/>
        <v>11.55</v>
      </c>
      <c r="AG71" s="100">
        <f t="shared" si="92"/>
        <v>0</v>
      </c>
      <c r="AH71" s="100">
        <f t="shared" si="93"/>
        <v>0</v>
      </c>
      <c r="AI71" s="100">
        <f t="shared" si="94"/>
        <v>19.95</v>
      </c>
      <c r="AJ71" s="100">
        <f t="shared" si="95"/>
        <v>57.75</v>
      </c>
      <c r="AK71" s="100">
        <f t="shared" si="96"/>
        <v>0</v>
      </c>
      <c r="AL71" s="100">
        <f t="shared" si="97"/>
        <v>0</v>
      </c>
      <c r="AM71" s="100">
        <f t="shared" si="98"/>
        <v>0</v>
      </c>
      <c r="AN71" s="100">
        <f t="shared" si="99"/>
        <v>26.25</v>
      </c>
      <c r="AO71" s="100">
        <f t="shared" si="100"/>
        <v>31.5</v>
      </c>
      <c r="AP71" s="100">
        <f t="shared" si="101"/>
        <v>0</v>
      </c>
      <c r="AQ71" s="100">
        <f t="shared" si="102"/>
        <v>0</v>
      </c>
      <c r="AR71" s="100">
        <f t="shared" si="103"/>
        <v>0</v>
      </c>
      <c r="AS71" s="100">
        <f t="shared" si="104"/>
        <v>0</v>
      </c>
      <c r="AT71" s="100">
        <f t="shared" si="105"/>
        <v>0</v>
      </c>
      <c r="AU71" s="100">
        <f t="shared" si="106"/>
        <v>0</v>
      </c>
      <c r="AV71" s="100">
        <f t="shared" si="107"/>
        <v>0</v>
      </c>
      <c r="AW71" s="100">
        <f t="shared" si="108"/>
        <v>21</v>
      </c>
      <c r="AX71">
        <f t="shared" si="109"/>
        <v>168</v>
      </c>
      <c r="AY71" s="98">
        <f t="shared" si="110"/>
        <v>0</v>
      </c>
      <c r="AZ71" s="98">
        <f t="shared" si="111"/>
        <v>0</v>
      </c>
      <c r="BA71" s="98">
        <f t="shared" si="112"/>
        <v>889.73780283887027</v>
      </c>
      <c r="BB71" s="98">
        <f t="shared" si="113"/>
        <v>0</v>
      </c>
      <c r="BC71" s="98">
        <f t="shared" si="114"/>
        <v>0</v>
      </c>
      <c r="BD71" s="98">
        <f t="shared" si="115"/>
        <v>1536.8198412671393</v>
      </c>
      <c r="BE71" s="98">
        <f t="shared" si="116"/>
        <v>4448.6890141943504</v>
      </c>
      <c r="BF71" s="98">
        <f t="shared" si="117"/>
        <v>0</v>
      </c>
      <c r="BG71" s="98">
        <f t="shared" si="118"/>
        <v>0</v>
      </c>
      <c r="BH71" s="98">
        <f t="shared" si="119"/>
        <v>0</v>
      </c>
      <c r="BI71" s="98">
        <f t="shared" si="120"/>
        <v>2022.1313700883413</v>
      </c>
      <c r="BJ71" s="98">
        <f t="shared" si="121"/>
        <v>2426.5576441060098</v>
      </c>
      <c r="BK71" s="98">
        <f t="shared" si="122"/>
        <v>0</v>
      </c>
      <c r="BL71" s="98">
        <f t="shared" si="123"/>
        <v>0</v>
      </c>
      <c r="BM71" s="98">
        <f t="shared" si="124"/>
        <v>0</v>
      </c>
      <c r="BN71" s="98">
        <f t="shared" si="125"/>
        <v>0</v>
      </c>
      <c r="BO71" s="98">
        <f t="shared" si="126"/>
        <v>0</v>
      </c>
      <c r="BP71" s="98">
        <f t="shared" si="127"/>
        <v>0</v>
      </c>
      <c r="BQ71" s="98">
        <f t="shared" si="128"/>
        <v>0</v>
      </c>
      <c r="BR71" s="98">
        <f t="shared" si="129"/>
        <v>1617.7050960706731</v>
      </c>
    </row>
    <row r="72" spans="1:70" x14ac:dyDescent="0.25">
      <c r="A72" t="s">
        <v>54</v>
      </c>
      <c r="B72" t="s">
        <v>13</v>
      </c>
      <c r="C72">
        <v>2024</v>
      </c>
      <c r="D72" s="98">
        <f>INDEX('Reference Sheet'!$G$9:$J$100, MATCH(A72,'Reference Sheet'!$F$9:$F$100,0), MATCH(C72,'Reference Sheet'!$G$8:$J$8,0))/2080</f>
        <v>64.663456730769227</v>
      </c>
      <c r="E72" s="99">
        <f>VLOOKUP(C72,'Reference Sheet'!$A$2:$B$5,2)</f>
        <v>0.1913</v>
      </c>
      <c r="F72" s="98">
        <f t="shared" si="87"/>
        <v>77.033576003365383</v>
      </c>
      <c r="G72" s="98"/>
      <c r="H72" s="98"/>
      <c r="I72" s="21"/>
      <c r="J72" s="21"/>
      <c r="K72" s="21"/>
      <c r="L72" s="21">
        <v>40</v>
      </c>
      <c r="M72" s="21">
        <v>33</v>
      </c>
      <c r="N72" s="21"/>
      <c r="O72" s="21"/>
      <c r="P72" s="21"/>
      <c r="Q72" s="21">
        <v>30</v>
      </c>
      <c r="R72" s="21">
        <v>40</v>
      </c>
      <c r="S72" s="21"/>
      <c r="T72" s="21"/>
      <c r="U72" s="21"/>
      <c r="V72" s="21"/>
      <c r="W72" s="21"/>
      <c r="X72" s="21"/>
      <c r="Y72" s="21"/>
      <c r="Z72" s="21">
        <v>20</v>
      </c>
      <c r="AA72" s="98">
        <f t="shared" si="86"/>
        <v>163</v>
      </c>
      <c r="AB72" s="98">
        <f>IF(OR(B72="",C72=""),"",SUMIFS('Reference Sheet'!$D$9:$D$42,'Reference Sheet'!$A$9:$A$42,C72,'Reference Sheet'!$B$9:$B$42,B72))</f>
        <v>176</v>
      </c>
      <c r="AC72" s="98">
        <f t="shared" si="88"/>
        <v>13</v>
      </c>
      <c r="AD72" s="100">
        <f t="shared" si="89"/>
        <v>0</v>
      </c>
      <c r="AE72" s="100">
        <f t="shared" si="90"/>
        <v>0</v>
      </c>
      <c r="AF72" s="100">
        <f t="shared" si="91"/>
        <v>0</v>
      </c>
      <c r="AG72" s="100">
        <f t="shared" si="92"/>
        <v>0</v>
      </c>
      <c r="AH72" s="100">
        <f t="shared" si="93"/>
        <v>0</v>
      </c>
      <c r="AI72" s="100">
        <f t="shared" si="94"/>
        <v>43.190184049079754</v>
      </c>
      <c r="AJ72" s="100">
        <f t="shared" si="95"/>
        <v>35.631901840490798</v>
      </c>
      <c r="AK72" s="100">
        <f t="shared" si="96"/>
        <v>0</v>
      </c>
      <c r="AL72" s="100">
        <f t="shared" si="97"/>
        <v>0</v>
      </c>
      <c r="AM72" s="100">
        <f t="shared" si="98"/>
        <v>0</v>
      </c>
      <c r="AN72" s="100">
        <f t="shared" si="99"/>
        <v>32.392638036809814</v>
      </c>
      <c r="AO72" s="100">
        <f t="shared" si="100"/>
        <v>43.190184049079754</v>
      </c>
      <c r="AP72" s="100">
        <f t="shared" si="101"/>
        <v>0</v>
      </c>
      <c r="AQ72" s="100">
        <f t="shared" si="102"/>
        <v>0</v>
      </c>
      <c r="AR72" s="100">
        <f t="shared" si="103"/>
        <v>0</v>
      </c>
      <c r="AS72" s="100">
        <f t="shared" si="104"/>
        <v>0</v>
      </c>
      <c r="AT72" s="100">
        <f t="shared" si="105"/>
        <v>0</v>
      </c>
      <c r="AU72" s="100">
        <f t="shared" si="106"/>
        <v>0</v>
      </c>
      <c r="AV72" s="100">
        <f t="shared" si="107"/>
        <v>0</v>
      </c>
      <c r="AW72" s="100">
        <f t="shared" si="108"/>
        <v>21.595092024539877</v>
      </c>
      <c r="AX72">
        <f t="shared" si="109"/>
        <v>176</v>
      </c>
      <c r="AY72" s="98">
        <f t="shared" si="110"/>
        <v>0</v>
      </c>
      <c r="AZ72" s="98">
        <f t="shared" si="111"/>
        <v>0</v>
      </c>
      <c r="BA72" s="98">
        <f t="shared" si="112"/>
        <v>0</v>
      </c>
      <c r="BB72" s="98">
        <f t="shared" si="113"/>
        <v>0</v>
      </c>
      <c r="BC72" s="98">
        <f t="shared" si="114"/>
        <v>0</v>
      </c>
      <c r="BD72" s="98">
        <f t="shared" si="115"/>
        <v>3327.0943255441243</v>
      </c>
      <c r="BE72" s="98">
        <f t="shared" si="116"/>
        <v>2744.8528185739028</v>
      </c>
      <c r="BF72" s="98">
        <f t="shared" si="117"/>
        <v>0</v>
      </c>
      <c r="BG72" s="98">
        <f t="shared" si="118"/>
        <v>0</v>
      </c>
      <c r="BH72" s="98">
        <f t="shared" si="119"/>
        <v>0</v>
      </c>
      <c r="BI72" s="98">
        <f t="shared" si="120"/>
        <v>2495.320744158093</v>
      </c>
      <c r="BJ72" s="98">
        <f t="shared" si="121"/>
        <v>3327.0943255441243</v>
      </c>
      <c r="BK72" s="98">
        <f t="shared" si="122"/>
        <v>0</v>
      </c>
      <c r="BL72" s="98">
        <f t="shared" si="123"/>
        <v>0</v>
      </c>
      <c r="BM72" s="98">
        <f t="shared" si="124"/>
        <v>0</v>
      </c>
      <c r="BN72" s="98">
        <f t="shared" si="125"/>
        <v>0</v>
      </c>
      <c r="BO72" s="98">
        <f t="shared" si="126"/>
        <v>0</v>
      </c>
      <c r="BP72" s="98">
        <f t="shared" si="127"/>
        <v>0</v>
      </c>
      <c r="BQ72" s="98">
        <f t="shared" si="128"/>
        <v>0</v>
      </c>
      <c r="BR72" s="98">
        <f t="shared" si="129"/>
        <v>1663.5471627720622</v>
      </c>
    </row>
    <row r="73" spans="1:70" x14ac:dyDescent="0.25">
      <c r="A73" t="s">
        <v>54</v>
      </c>
      <c r="B73" t="s">
        <v>7</v>
      </c>
      <c r="C73">
        <v>2024</v>
      </c>
      <c r="D73" s="98">
        <f>INDEX('Reference Sheet'!$G$9:$J$100, MATCH(A73,'Reference Sheet'!$F$9:$F$100,0), MATCH(C73,'Reference Sheet'!$G$8:$J$8,0))/2080</f>
        <v>64.663456730769227</v>
      </c>
      <c r="E73" s="99">
        <f>VLOOKUP(C73,'Reference Sheet'!$A$2:$B$5,2)</f>
        <v>0.1913</v>
      </c>
      <c r="F73" s="98">
        <f t="shared" si="87"/>
        <v>77.033576003365383</v>
      </c>
      <c r="G73" s="98"/>
      <c r="H73" s="98"/>
      <c r="I73" s="21">
        <v>24</v>
      </c>
      <c r="J73" s="21"/>
      <c r="K73" s="21"/>
      <c r="L73" s="21">
        <v>25</v>
      </c>
      <c r="M73" s="21">
        <v>17</v>
      </c>
      <c r="N73" s="21"/>
      <c r="O73" s="21"/>
      <c r="P73" s="21"/>
      <c r="Q73" s="21">
        <v>40</v>
      </c>
      <c r="R73" s="21">
        <v>30</v>
      </c>
      <c r="S73" s="21"/>
      <c r="T73" s="21"/>
      <c r="U73" s="21"/>
      <c r="V73" s="21"/>
      <c r="W73" s="21"/>
      <c r="X73" s="21"/>
      <c r="Y73" s="21"/>
      <c r="Z73" s="21">
        <v>30</v>
      </c>
      <c r="AA73" s="98">
        <f t="shared" si="86"/>
        <v>166</v>
      </c>
      <c r="AB73" s="98">
        <f>IF(OR(B73="",C73=""),"",SUMIFS('Reference Sheet'!$D$9:$D$42,'Reference Sheet'!$A$9:$A$42,C73,'Reference Sheet'!$B$9:$B$42,B73))</f>
        <v>168</v>
      </c>
      <c r="AC73" s="98">
        <f t="shared" si="88"/>
        <v>2</v>
      </c>
      <c r="AD73" s="100">
        <f t="shared" si="89"/>
        <v>0</v>
      </c>
      <c r="AE73" s="100">
        <f t="shared" si="90"/>
        <v>0</v>
      </c>
      <c r="AF73" s="100">
        <f t="shared" si="91"/>
        <v>24.289156626506024</v>
      </c>
      <c r="AG73" s="100">
        <f t="shared" si="92"/>
        <v>0</v>
      </c>
      <c r="AH73" s="100">
        <f t="shared" si="93"/>
        <v>0</v>
      </c>
      <c r="AI73" s="100">
        <f t="shared" si="94"/>
        <v>25.30120481927711</v>
      </c>
      <c r="AJ73" s="100">
        <f t="shared" si="95"/>
        <v>17.204819277108435</v>
      </c>
      <c r="AK73" s="100">
        <f t="shared" si="96"/>
        <v>0</v>
      </c>
      <c r="AL73" s="100">
        <f t="shared" si="97"/>
        <v>0</v>
      </c>
      <c r="AM73" s="100">
        <f t="shared" si="98"/>
        <v>0</v>
      </c>
      <c r="AN73" s="100">
        <f t="shared" si="99"/>
        <v>40.481927710843372</v>
      </c>
      <c r="AO73" s="100">
        <f t="shared" si="100"/>
        <v>30.361445783132531</v>
      </c>
      <c r="AP73" s="100">
        <f t="shared" si="101"/>
        <v>0</v>
      </c>
      <c r="AQ73" s="100">
        <f t="shared" si="102"/>
        <v>0</v>
      </c>
      <c r="AR73" s="100">
        <f t="shared" si="103"/>
        <v>0</v>
      </c>
      <c r="AS73" s="100">
        <f t="shared" si="104"/>
        <v>0</v>
      </c>
      <c r="AT73" s="100">
        <f t="shared" si="105"/>
        <v>0</v>
      </c>
      <c r="AU73" s="100">
        <f t="shared" si="106"/>
        <v>0</v>
      </c>
      <c r="AV73" s="100">
        <f t="shared" si="107"/>
        <v>0</v>
      </c>
      <c r="AW73" s="100">
        <f t="shared" si="108"/>
        <v>30.361445783132531</v>
      </c>
      <c r="AX73">
        <f t="shared" si="109"/>
        <v>167.99999999999997</v>
      </c>
      <c r="AY73" s="98">
        <f t="shared" si="110"/>
        <v>0</v>
      </c>
      <c r="AZ73" s="98">
        <f t="shared" si="111"/>
        <v>0</v>
      </c>
      <c r="BA73" s="98">
        <f t="shared" si="112"/>
        <v>1871.0805930455977</v>
      </c>
      <c r="BB73" s="98">
        <f t="shared" si="113"/>
        <v>0</v>
      </c>
      <c r="BC73" s="98">
        <f t="shared" si="114"/>
        <v>0</v>
      </c>
      <c r="BD73" s="98">
        <f t="shared" si="115"/>
        <v>1949.0422844224977</v>
      </c>
      <c r="BE73" s="98">
        <f t="shared" si="116"/>
        <v>1325.3487534072985</v>
      </c>
      <c r="BF73" s="98">
        <f t="shared" si="117"/>
        <v>0</v>
      </c>
      <c r="BG73" s="98">
        <f t="shared" si="118"/>
        <v>0</v>
      </c>
      <c r="BH73" s="98">
        <f t="shared" si="119"/>
        <v>0</v>
      </c>
      <c r="BI73" s="98">
        <f t="shared" si="120"/>
        <v>3118.4676550759959</v>
      </c>
      <c r="BJ73" s="98">
        <f t="shared" si="121"/>
        <v>2338.8507413069974</v>
      </c>
      <c r="BK73" s="98">
        <f t="shared" si="122"/>
        <v>0</v>
      </c>
      <c r="BL73" s="98">
        <f t="shared" si="123"/>
        <v>0</v>
      </c>
      <c r="BM73" s="98">
        <f t="shared" si="124"/>
        <v>0</v>
      </c>
      <c r="BN73" s="98">
        <f t="shared" si="125"/>
        <v>0</v>
      </c>
      <c r="BO73" s="98">
        <f t="shared" si="126"/>
        <v>0</v>
      </c>
      <c r="BP73" s="98">
        <f t="shared" si="127"/>
        <v>0</v>
      </c>
      <c r="BQ73" s="98">
        <f t="shared" si="128"/>
        <v>0</v>
      </c>
      <c r="BR73" s="98">
        <f t="shared" si="129"/>
        <v>2338.8507413069974</v>
      </c>
    </row>
    <row r="74" spans="1:70" x14ac:dyDescent="0.25">
      <c r="A74" t="s">
        <v>54</v>
      </c>
      <c r="B74" t="s">
        <v>14</v>
      </c>
      <c r="C74">
        <v>2024</v>
      </c>
      <c r="D74" s="98">
        <f>INDEX('Reference Sheet'!$G$9:$J$100, MATCH(A74,'Reference Sheet'!$F$9:$F$100,0), MATCH(C74,'Reference Sheet'!$G$8:$J$8,0))/2080</f>
        <v>64.663456730769227</v>
      </c>
      <c r="E74" s="99">
        <f>VLOOKUP(C74,'Reference Sheet'!$A$2:$B$5,2)</f>
        <v>0.1913</v>
      </c>
      <c r="F74" s="98">
        <f t="shared" si="87"/>
        <v>77.033576003365383</v>
      </c>
      <c r="G74" s="98"/>
      <c r="H74" s="98"/>
      <c r="I74" s="21"/>
      <c r="J74" s="21"/>
      <c r="K74" s="21"/>
      <c r="L74" s="21">
        <v>40</v>
      </c>
      <c r="M74" s="21">
        <v>60</v>
      </c>
      <c r="N74" s="21"/>
      <c r="O74" s="21"/>
      <c r="P74" s="21"/>
      <c r="Q74" s="21">
        <v>20</v>
      </c>
      <c r="R74" s="21">
        <v>28</v>
      </c>
      <c r="S74" s="21"/>
      <c r="T74" s="21"/>
      <c r="U74" s="21"/>
      <c r="V74" s="21"/>
      <c r="W74" s="21"/>
      <c r="X74" s="21"/>
      <c r="Y74" s="21"/>
      <c r="Z74" s="21">
        <v>20</v>
      </c>
      <c r="AA74" s="98">
        <f t="shared" si="86"/>
        <v>168</v>
      </c>
      <c r="AB74" s="98">
        <f>IF(OR(B74="",C74=""),"",SUMIFS('Reference Sheet'!$D$9:$D$42,'Reference Sheet'!$A$9:$A$42,C74,'Reference Sheet'!$B$9:$B$42,B74))</f>
        <v>168</v>
      </c>
      <c r="AC74" s="98">
        <f t="shared" si="88"/>
        <v>0</v>
      </c>
      <c r="AD74" s="100">
        <f t="shared" si="89"/>
        <v>0</v>
      </c>
      <c r="AE74" s="100">
        <f t="shared" si="90"/>
        <v>0</v>
      </c>
      <c r="AF74" s="100">
        <f t="shared" si="91"/>
        <v>0</v>
      </c>
      <c r="AG74" s="100">
        <f t="shared" si="92"/>
        <v>0</v>
      </c>
      <c r="AH74" s="100">
        <f t="shared" si="93"/>
        <v>0</v>
      </c>
      <c r="AI74" s="100">
        <f t="shared" si="94"/>
        <v>40</v>
      </c>
      <c r="AJ74" s="100">
        <f t="shared" si="95"/>
        <v>60</v>
      </c>
      <c r="AK74" s="100">
        <f t="shared" si="96"/>
        <v>0</v>
      </c>
      <c r="AL74" s="100">
        <f t="shared" si="97"/>
        <v>0</v>
      </c>
      <c r="AM74" s="100">
        <f t="shared" si="98"/>
        <v>0</v>
      </c>
      <c r="AN74" s="100">
        <f t="shared" si="99"/>
        <v>20</v>
      </c>
      <c r="AO74" s="100">
        <f t="shared" si="100"/>
        <v>28</v>
      </c>
      <c r="AP74" s="100">
        <f t="shared" si="101"/>
        <v>0</v>
      </c>
      <c r="AQ74" s="100">
        <f t="shared" si="102"/>
        <v>0</v>
      </c>
      <c r="AR74" s="100">
        <f t="shared" si="103"/>
        <v>0</v>
      </c>
      <c r="AS74" s="100">
        <f t="shared" si="104"/>
        <v>0</v>
      </c>
      <c r="AT74" s="100">
        <f t="shared" si="105"/>
        <v>0</v>
      </c>
      <c r="AU74" s="100">
        <f t="shared" si="106"/>
        <v>0</v>
      </c>
      <c r="AV74" s="100">
        <f t="shared" si="107"/>
        <v>0</v>
      </c>
      <c r="AW74" s="100">
        <f t="shared" si="108"/>
        <v>20</v>
      </c>
      <c r="AX74">
        <f t="shared" si="109"/>
        <v>168</v>
      </c>
      <c r="AY74" s="98">
        <f t="shared" si="110"/>
        <v>0</v>
      </c>
      <c r="AZ74" s="98">
        <f t="shared" si="111"/>
        <v>0</v>
      </c>
      <c r="BA74" s="98">
        <f t="shared" si="112"/>
        <v>0</v>
      </c>
      <c r="BB74" s="98">
        <f t="shared" si="113"/>
        <v>0</v>
      </c>
      <c r="BC74" s="98">
        <f t="shared" si="114"/>
        <v>0</v>
      </c>
      <c r="BD74" s="98">
        <f t="shared" si="115"/>
        <v>3081.3430401346154</v>
      </c>
      <c r="BE74" s="98">
        <f t="shared" si="116"/>
        <v>4622.0145602019229</v>
      </c>
      <c r="BF74" s="98">
        <f t="shared" si="117"/>
        <v>0</v>
      </c>
      <c r="BG74" s="98">
        <f t="shared" si="118"/>
        <v>0</v>
      </c>
      <c r="BH74" s="98">
        <f t="shared" si="119"/>
        <v>0</v>
      </c>
      <c r="BI74" s="98">
        <f t="shared" si="120"/>
        <v>1540.6715200673077</v>
      </c>
      <c r="BJ74" s="98">
        <f t="shared" si="121"/>
        <v>2156.9401280942307</v>
      </c>
      <c r="BK74" s="98">
        <f t="shared" si="122"/>
        <v>0</v>
      </c>
      <c r="BL74" s="98">
        <f t="shared" si="123"/>
        <v>0</v>
      </c>
      <c r="BM74" s="98">
        <f t="shared" si="124"/>
        <v>0</v>
      </c>
      <c r="BN74" s="98">
        <f t="shared" si="125"/>
        <v>0</v>
      </c>
      <c r="BO74" s="98">
        <f t="shared" si="126"/>
        <v>0</v>
      </c>
      <c r="BP74" s="98">
        <f t="shared" si="127"/>
        <v>0</v>
      </c>
      <c r="BQ74" s="98">
        <f t="shared" si="128"/>
        <v>0</v>
      </c>
      <c r="BR74" s="98">
        <f t="shared" si="129"/>
        <v>1540.6715200673077</v>
      </c>
    </row>
    <row r="75" spans="1:70" x14ac:dyDescent="0.25">
      <c r="A75" t="s">
        <v>54</v>
      </c>
      <c r="B75" t="s">
        <v>9</v>
      </c>
      <c r="C75">
        <v>2024</v>
      </c>
      <c r="D75" s="98">
        <f>INDEX('Reference Sheet'!$G$9:$J$100, MATCH(A75,'Reference Sheet'!$F$9:$F$100,0), MATCH(C75,'Reference Sheet'!$G$8:$J$8,0))/2080</f>
        <v>64.663456730769227</v>
      </c>
      <c r="E75" s="99">
        <f>VLOOKUP(C75,'Reference Sheet'!$A$2:$B$5,2)</f>
        <v>0.1913</v>
      </c>
      <c r="F75" s="98">
        <f t="shared" si="87"/>
        <v>77.033576003365383</v>
      </c>
      <c r="G75" s="98"/>
      <c r="H75" s="98"/>
      <c r="I75" s="21">
        <v>5</v>
      </c>
      <c r="J75" s="21"/>
      <c r="K75" s="21"/>
      <c r="L75" s="21">
        <v>31</v>
      </c>
      <c r="M75" s="21">
        <v>43</v>
      </c>
      <c r="N75" s="21"/>
      <c r="O75" s="21"/>
      <c r="P75" s="21"/>
      <c r="Q75" s="21">
        <v>33</v>
      </c>
      <c r="R75" s="21">
        <v>35</v>
      </c>
      <c r="S75" s="21"/>
      <c r="T75" s="21"/>
      <c r="U75" s="21"/>
      <c r="V75" s="21"/>
      <c r="W75" s="21"/>
      <c r="X75" s="21"/>
      <c r="Y75" s="21"/>
      <c r="Z75" s="21">
        <v>25</v>
      </c>
      <c r="AA75" s="98">
        <f t="shared" si="86"/>
        <v>172</v>
      </c>
      <c r="AB75" s="98">
        <f>IF(OR(B75="",C75=""),"",SUMIFS('Reference Sheet'!$D$9:$D$42,'Reference Sheet'!$A$9:$A$42,C75,'Reference Sheet'!$B$9:$B$42,B75))</f>
        <v>176</v>
      </c>
      <c r="AC75" s="98">
        <f t="shared" si="88"/>
        <v>4</v>
      </c>
      <c r="AD75" s="100">
        <f t="shared" si="89"/>
        <v>0</v>
      </c>
      <c r="AE75" s="100">
        <f t="shared" si="90"/>
        <v>0</v>
      </c>
      <c r="AF75" s="100">
        <f t="shared" si="91"/>
        <v>5.1162790697674421</v>
      </c>
      <c r="AG75" s="100">
        <f t="shared" si="92"/>
        <v>0</v>
      </c>
      <c r="AH75" s="100">
        <f t="shared" si="93"/>
        <v>0</v>
      </c>
      <c r="AI75" s="100">
        <f t="shared" si="94"/>
        <v>31.720930232558139</v>
      </c>
      <c r="AJ75" s="100">
        <f t="shared" si="95"/>
        <v>44</v>
      </c>
      <c r="AK75" s="100">
        <f t="shared" si="96"/>
        <v>0</v>
      </c>
      <c r="AL75" s="100">
        <f t="shared" si="97"/>
        <v>0</v>
      </c>
      <c r="AM75" s="100">
        <f t="shared" si="98"/>
        <v>0</v>
      </c>
      <c r="AN75" s="100">
        <f t="shared" si="99"/>
        <v>33.767441860465119</v>
      </c>
      <c r="AO75" s="100">
        <f t="shared" si="100"/>
        <v>35.813953488372093</v>
      </c>
      <c r="AP75" s="100">
        <f t="shared" si="101"/>
        <v>0</v>
      </c>
      <c r="AQ75" s="100">
        <f t="shared" si="102"/>
        <v>0</v>
      </c>
      <c r="AR75" s="100">
        <f t="shared" si="103"/>
        <v>0</v>
      </c>
      <c r="AS75" s="100">
        <f t="shared" si="104"/>
        <v>0</v>
      </c>
      <c r="AT75" s="100">
        <f t="shared" si="105"/>
        <v>0</v>
      </c>
      <c r="AU75" s="100">
        <f t="shared" si="106"/>
        <v>0</v>
      </c>
      <c r="AV75" s="100">
        <f t="shared" si="107"/>
        <v>0</v>
      </c>
      <c r="AW75" s="100">
        <f t="shared" si="108"/>
        <v>25.581395348837212</v>
      </c>
      <c r="AX75">
        <f t="shared" si="109"/>
        <v>176.00000000000003</v>
      </c>
      <c r="AY75" s="98">
        <f t="shared" si="110"/>
        <v>0</v>
      </c>
      <c r="AZ75" s="98">
        <f t="shared" si="111"/>
        <v>0</v>
      </c>
      <c r="BA75" s="98">
        <f t="shared" si="112"/>
        <v>394.12527257535777</v>
      </c>
      <c r="BB75" s="98">
        <f t="shared" si="113"/>
        <v>0</v>
      </c>
      <c r="BC75" s="98">
        <f t="shared" si="114"/>
        <v>0</v>
      </c>
      <c r="BD75" s="98">
        <f t="shared" si="115"/>
        <v>2443.576689967218</v>
      </c>
      <c r="BE75" s="98">
        <f t="shared" si="116"/>
        <v>3389.477344148077</v>
      </c>
      <c r="BF75" s="98">
        <f t="shared" si="117"/>
        <v>0</v>
      </c>
      <c r="BG75" s="98">
        <f t="shared" si="118"/>
        <v>0</v>
      </c>
      <c r="BH75" s="98">
        <f t="shared" si="119"/>
        <v>0</v>
      </c>
      <c r="BI75" s="98">
        <f t="shared" si="120"/>
        <v>2601.2267989973616</v>
      </c>
      <c r="BJ75" s="98">
        <f t="shared" si="121"/>
        <v>2758.8769080275042</v>
      </c>
      <c r="BK75" s="98">
        <f t="shared" si="122"/>
        <v>0</v>
      </c>
      <c r="BL75" s="98">
        <f t="shared" si="123"/>
        <v>0</v>
      </c>
      <c r="BM75" s="98">
        <f t="shared" si="124"/>
        <v>0</v>
      </c>
      <c r="BN75" s="98">
        <f t="shared" si="125"/>
        <v>0</v>
      </c>
      <c r="BO75" s="98">
        <f t="shared" si="126"/>
        <v>0</v>
      </c>
      <c r="BP75" s="98">
        <f t="shared" si="127"/>
        <v>0</v>
      </c>
      <c r="BQ75" s="98">
        <f t="shared" si="128"/>
        <v>0</v>
      </c>
      <c r="BR75" s="98">
        <f t="shared" si="129"/>
        <v>1970.626362876789</v>
      </c>
    </row>
    <row r="76" spans="1:70" x14ac:dyDescent="0.25">
      <c r="A76" t="s">
        <v>54</v>
      </c>
      <c r="B76" t="s">
        <v>10</v>
      </c>
      <c r="C76">
        <v>2024</v>
      </c>
      <c r="D76" s="98">
        <f>INDEX('Reference Sheet'!$G$9:$J$100, MATCH(A76,'Reference Sheet'!$F$9:$F$100,0), MATCH(C76,'Reference Sheet'!$G$8:$J$8,0))/2080</f>
        <v>64.663456730769227</v>
      </c>
      <c r="E76" s="99">
        <f>VLOOKUP(C76,'Reference Sheet'!$A$2:$B$5,2)</f>
        <v>0.1913</v>
      </c>
      <c r="F76" s="98">
        <f t="shared" si="87"/>
        <v>77.033576003365383</v>
      </c>
      <c r="G76" s="98"/>
      <c r="H76" s="98"/>
      <c r="I76" s="21"/>
      <c r="J76" s="21"/>
      <c r="K76" s="21"/>
      <c r="L76" s="21">
        <v>34</v>
      </c>
      <c r="M76" s="21">
        <v>45</v>
      </c>
      <c r="N76" s="21"/>
      <c r="O76" s="21"/>
      <c r="P76" s="21"/>
      <c r="Q76" s="21">
        <v>43</v>
      </c>
      <c r="R76" s="21">
        <v>34</v>
      </c>
      <c r="S76" s="21"/>
      <c r="T76" s="21"/>
      <c r="U76" s="21"/>
      <c r="V76" s="21"/>
      <c r="W76" s="21"/>
      <c r="X76" s="21"/>
      <c r="Y76" s="21"/>
      <c r="Z76" s="21">
        <v>20</v>
      </c>
      <c r="AA76" s="98">
        <f t="shared" si="86"/>
        <v>176</v>
      </c>
      <c r="AB76" s="98">
        <f>IF(OR(B76="",C76=""),"",SUMIFS('Reference Sheet'!$D$9:$D$42,'Reference Sheet'!$A$9:$A$42,C76,'Reference Sheet'!$B$9:$B$42,B76))</f>
        <v>184</v>
      </c>
      <c r="AC76" s="98">
        <f t="shared" si="88"/>
        <v>8</v>
      </c>
      <c r="AD76" s="100">
        <f t="shared" si="89"/>
        <v>0</v>
      </c>
      <c r="AE76" s="100">
        <f t="shared" si="90"/>
        <v>0</v>
      </c>
      <c r="AF76" s="100">
        <f t="shared" si="91"/>
        <v>0</v>
      </c>
      <c r="AG76" s="100">
        <f t="shared" si="92"/>
        <v>0</v>
      </c>
      <c r="AH76" s="100">
        <f t="shared" si="93"/>
        <v>0</v>
      </c>
      <c r="AI76" s="100">
        <f t="shared" si="94"/>
        <v>35.545454545454547</v>
      </c>
      <c r="AJ76" s="100">
        <f t="shared" si="95"/>
        <v>47.045454545454547</v>
      </c>
      <c r="AK76" s="100">
        <f t="shared" si="96"/>
        <v>0</v>
      </c>
      <c r="AL76" s="100">
        <f t="shared" si="97"/>
        <v>0</v>
      </c>
      <c r="AM76" s="100">
        <f t="shared" si="98"/>
        <v>0</v>
      </c>
      <c r="AN76" s="100">
        <f t="shared" si="99"/>
        <v>44.954545454545453</v>
      </c>
      <c r="AO76" s="100">
        <f t="shared" si="100"/>
        <v>35.545454545454547</v>
      </c>
      <c r="AP76" s="100">
        <f t="shared" si="101"/>
        <v>0</v>
      </c>
      <c r="AQ76" s="100">
        <f t="shared" si="102"/>
        <v>0</v>
      </c>
      <c r="AR76" s="100">
        <f t="shared" si="103"/>
        <v>0</v>
      </c>
      <c r="AS76" s="100">
        <f t="shared" si="104"/>
        <v>0</v>
      </c>
      <c r="AT76" s="100">
        <f t="shared" si="105"/>
        <v>0</v>
      </c>
      <c r="AU76" s="100">
        <f t="shared" si="106"/>
        <v>0</v>
      </c>
      <c r="AV76" s="100">
        <f t="shared" si="107"/>
        <v>0</v>
      </c>
      <c r="AW76" s="100">
        <f t="shared" si="108"/>
        <v>20.90909090909091</v>
      </c>
      <c r="AX76">
        <f t="shared" si="109"/>
        <v>184</v>
      </c>
      <c r="AY76" s="98">
        <f t="shared" si="110"/>
        <v>0</v>
      </c>
      <c r="AZ76" s="98">
        <f t="shared" si="111"/>
        <v>0</v>
      </c>
      <c r="BA76" s="98">
        <f t="shared" si="112"/>
        <v>0</v>
      </c>
      <c r="BB76" s="98">
        <f t="shared" si="113"/>
        <v>0</v>
      </c>
      <c r="BC76" s="98">
        <f t="shared" si="114"/>
        <v>0</v>
      </c>
      <c r="BD76" s="98">
        <f t="shared" si="115"/>
        <v>2738.1934743014422</v>
      </c>
      <c r="BE76" s="98">
        <f t="shared" si="116"/>
        <v>3624.0795983401445</v>
      </c>
      <c r="BF76" s="98">
        <f t="shared" si="117"/>
        <v>0</v>
      </c>
      <c r="BG76" s="98">
        <f t="shared" si="118"/>
        <v>0</v>
      </c>
      <c r="BH76" s="98">
        <f t="shared" si="119"/>
        <v>0</v>
      </c>
      <c r="BI76" s="98">
        <f t="shared" si="120"/>
        <v>3463.0093939694711</v>
      </c>
      <c r="BJ76" s="98">
        <f t="shared" si="121"/>
        <v>2738.1934743014422</v>
      </c>
      <c r="BK76" s="98">
        <f t="shared" si="122"/>
        <v>0</v>
      </c>
      <c r="BL76" s="98">
        <f t="shared" si="123"/>
        <v>0</v>
      </c>
      <c r="BM76" s="98">
        <f t="shared" si="124"/>
        <v>0</v>
      </c>
      <c r="BN76" s="98">
        <f t="shared" si="125"/>
        <v>0</v>
      </c>
      <c r="BO76" s="98">
        <f t="shared" si="126"/>
        <v>0</v>
      </c>
      <c r="BP76" s="98">
        <f t="shared" si="127"/>
        <v>0</v>
      </c>
      <c r="BQ76" s="98">
        <f t="shared" si="128"/>
        <v>0</v>
      </c>
      <c r="BR76" s="98">
        <f t="shared" si="129"/>
        <v>1610.7020437067308</v>
      </c>
    </row>
    <row r="77" spans="1:70" x14ac:dyDescent="0.25">
      <c r="A77" t="s">
        <v>54</v>
      </c>
      <c r="B77" t="s">
        <v>12</v>
      </c>
      <c r="C77">
        <v>2024</v>
      </c>
      <c r="D77" s="98">
        <f>INDEX('Reference Sheet'!$G$9:$J$100, MATCH(A77,'Reference Sheet'!$F$9:$F$100,0), MATCH(C77,'Reference Sheet'!$G$8:$J$8,0))/2080</f>
        <v>64.663456730769227</v>
      </c>
      <c r="E77" s="99">
        <f>VLOOKUP(C77,'Reference Sheet'!$A$2:$B$5,2)</f>
        <v>0.1913</v>
      </c>
      <c r="F77" s="98">
        <f t="shared" si="87"/>
        <v>77.033576003365383</v>
      </c>
      <c r="G77" s="98"/>
      <c r="H77" s="98"/>
      <c r="I77" s="21"/>
      <c r="J77" s="21"/>
      <c r="K77" s="21"/>
      <c r="L77" s="21">
        <v>22</v>
      </c>
      <c r="M77" s="21">
        <v>45</v>
      </c>
      <c r="N77" s="21"/>
      <c r="O77" s="21"/>
      <c r="P77" s="21"/>
      <c r="Q77" s="21">
        <v>43</v>
      </c>
      <c r="R77" s="21">
        <v>44</v>
      </c>
      <c r="S77" s="21"/>
      <c r="T77" s="21"/>
      <c r="U77" s="21"/>
      <c r="V77" s="21"/>
      <c r="W77" s="21"/>
      <c r="X77" s="21"/>
      <c r="Y77" s="21"/>
      <c r="Z77" s="21">
        <v>22</v>
      </c>
      <c r="AA77" s="98">
        <f t="shared" si="86"/>
        <v>176</v>
      </c>
      <c r="AB77" s="98">
        <f>IF(OR(B77="",C77=""),"",SUMIFS('Reference Sheet'!$D$9:$D$42,'Reference Sheet'!$A$9:$A$42,C77,'Reference Sheet'!$B$9:$B$42,B77))</f>
        <v>184</v>
      </c>
      <c r="AC77" s="98">
        <f t="shared" si="88"/>
        <v>8</v>
      </c>
      <c r="AD77" s="100">
        <f t="shared" si="89"/>
        <v>0</v>
      </c>
      <c r="AE77" s="100">
        <f t="shared" si="90"/>
        <v>0</v>
      </c>
      <c r="AF77" s="100">
        <f t="shared" si="91"/>
        <v>0</v>
      </c>
      <c r="AG77" s="100">
        <f t="shared" si="92"/>
        <v>0</v>
      </c>
      <c r="AH77" s="100">
        <f t="shared" si="93"/>
        <v>0</v>
      </c>
      <c r="AI77" s="100">
        <f t="shared" si="94"/>
        <v>23</v>
      </c>
      <c r="AJ77" s="100">
        <f t="shared" si="95"/>
        <v>47.045454545454547</v>
      </c>
      <c r="AK77" s="100">
        <f t="shared" si="96"/>
        <v>0</v>
      </c>
      <c r="AL77" s="100">
        <f t="shared" si="97"/>
        <v>0</v>
      </c>
      <c r="AM77" s="100">
        <f t="shared" si="98"/>
        <v>0</v>
      </c>
      <c r="AN77" s="100">
        <f t="shared" si="99"/>
        <v>44.954545454545453</v>
      </c>
      <c r="AO77" s="100">
        <f t="shared" si="100"/>
        <v>46</v>
      </c>
      <c r="AP77" s="100">
        <f t="shared" si="101"/>
        <v>0</v>
      </c>
      <c r="AQ77" s="100">
        <f t="shared" si="102"/>
        <v>0</v>
      </c>
      <c r="AR77" s="100">
        <f t="shared" si="103"/>
        <v>0</v>
      </c>
      <c r="AS77" s="100">
        <f t="shared" si="104"/>
        <v>0</v>
      </c>
      <c r="AT77" s="100">
        <f t="shared" si="105"/>
        <v>0</v>
      </c>
      <c r="AU77" s="100">
        <f t="shared" si="106"/>
        <v>0</v>
      </c>
      <c r="AV77" s="100">
        <f t="shared" si="107"/>
        <v>0</v>
      </c>
      <c r="AW77" s="100">
        <f t="shared" si="108"/>
        <v>23</v>
      </c>
      <c r="AX77">
        <f t="shared" si="109"/>
        <v>184</v>
      </c>
      <c r="AY77" s="98">
        <f t="shared" si="110"/>
        <v>0</v>
      </c>
      <c r="AZ77" s="98">
        <f t="shared" si="111"/>
        <v>0</v>
      </c>
      <c r="BA77" s="98">
        <f t="shared" si="112"/>
        <v>0</v>
      </c>
      <c r="BB77" s="98">
        <f t="shared" si="113"/>
        <v>0</v>
      </c>
      <c r="BC77" s="98">
        <f t="shared" si="114"/>
        <v>0</v>
      </c>
      <c r="BD77" s="98">
        <f t="shared" si="115"/>
        <v>1771.7722480774039</v>
      </c>
      <c r="BE77" s="98">
        <f t="shared" si="116"/>
        <v>3624.0795983401445</v>
      </c>
      <c r="BF77" s="98">
        <f t="shared" si="117"/>
        <v>0</v>
      </c>
      <c r="BG77" s="98">
        <f t="shared" si="118"/>
        <v>0</v>
      </c>
      <c r="BH77" s="98">
        <f t="shared" si="119"/>
        <v>0</v>
      </c>
      <c r="BI77" s="98">
        <f t="shared" si="120"/>
        <v>3463.0093939694711</v>
      </c>
      <c r="BJ77" s="98">
        <f t="shared" si="121"/>
        <v>3543.5444961548078</v>
      </c>
      <c r="BK77" s="98">
        <f t="shared" si="122"/>
        <v>0</v>
      </c>
      <c r="BL77" s="98">
        <f t="shared" si="123"/>
        <v>0</v>
      </c>
      <c r="BM77" s="98">
        <f t="shared" si="124"/>
        <v>0</v>
      </c>
      <c r="BN77" s="98">
        <f t="shared" si="125"/>
        <v>0</v>
      </c>
      <c r="BO77" s="98">
        <f t="shared" si="126"/>
        <v>0</v>
      </c>
      <c r="BP77" s="98">
        <f t="shared" si="127"/>
        <v>0</v>
      </c>
      <c r="BQ77" s="98">
        <f t="shared" si="128"/>
        <v>0</v>
      </c>
      <c r="BR77" s="98">
        <f t="shared" si="129"/>
        <v>1771.7722480774039</v>
      </c>
    </row>
    <row r="78" spans="1:70" x14ac:dyDescent="0.25">
      <c r="A78" t="s">
        <v>54</v>
      </c>
      <c r="B78" t="s">
        <v>6</v>
      </c>
      <c r="C78">
        <v>2024</v>
      </c>
      <c r="D78" s="98">
        <f>INDEX('Reference Sheet'!$G$9:$J$100, MATCH(A78,'Reference Sheet'!$F$9:$F$100,0), MATCH(C78,'Reference Sheet'!$G$8:$J$8,0))/2080</f>
        <v>64.663456730769227</v>
      </c>
      <c r="E78" s="99">
        <f>VLOOKUP(C78,'Reference Sheet'!$A$2:$B$5,2)</f>
        <v>0.1913</v>
      </c>
      <c r="F78" s="98">
        <f t="shared" si="87"/>
        <v>77.033576003365383</v>
      </c>
      <c r="G78" s="98"/>
      <c r="H78" s="98"/>
      <c r="I78" s="21">
        <v>17</v>
      </c>
      <c r="J78" s="21"/>
      <c r="K78" s="21"/>
      <c r="L78" s="21">
        <v>22</v>
      </c>
      <c r="M78" s="21">
        <v>15</v>
      </c>
      <c r="N78" s="21"/>
      <c r="O78" s="21"/>
      <c r="P78" s="21"/>
      <c r="Q78" s="21">
        <v>50</v>
      </c>
      <c r="R78" s="21">
        <v>60</v>
      </c>
      <c r="S78" s="21"/>
      <c r="T78" s="21"/>
      <c r="U78" s="21"/>
      <c r="V78" s="21"/>
      <c r="W78" s="21"/>
      <c r="X78" s="21"/>
      <c r="Y78" s="21"/>
      <c r="Z78" s="21">
        <v>20</v>
      </c>
      <c r="AA78" s="98">
        <f t="shared" si="86"/>
        <v>184</v>
      </c>
      <c r="AB78" s="98">
        <f>IF(OR(B78="",C78=""),"",SUMIFS('Reference Sheet'!$D$9:$D$42,'Reference Sheet'!$A$9:$A$42,C78,'Reference Sheet'!$B$9:$B$42,B78))</f>
        <v>184</v>
      </c>
      <c r="AC78" s="98">
        <f t="shared" si="88"/>
        <v>0</v>
      </c>
      <c r="AD78" s="100">
        <f t="shared" si="89"/>
        <v>0</v>
      </c>
      <c r="AE78" s="100">
        <f t="shared" si="90"/>
        <v>0</v>
      </c>
      <c r="AF78" s="100">
        <f t="shared" si="91"/>
        <v>17</v>
      </c>
      <c r="AG78" s="100">
        <f t="shared" si="92"/>
        <v>0</v>
      </c>
      <c r="AH78" s="100">
        <f t="shared" si="93"/>
        <v>0</v>
      </c>
      <c r="AI78" s="100">
        <f t="shared" si="94"/>
        <v>22</v>
      </c>
      <c r="AJ78" s="100">
        <f t="shared" si="95"/>
        <v>15</v>
      </c>
      <c r="AK78" s="100">
        <f t="shared" si="96"/>
        <v>0</v>
      </c>
      <c r="AL78" s="100">
        <f t="shared" si="97"/>
        <v>0</v>
      </c>
      <c r="AM78" s="100">
        <f t="shared" si="98"/>
        <v>0</v>
      </c>
      <c r="AN78" s="100">
        <f t="shared" si="99"/>
        <v>50</v>
      </c>
      <c r="AO78" s="100">
        <f t="shared" si="100"/>
        <v>60</v>
      </c>
      <c r="AP78" s="100">
        <f t="shared" si="101"/>
        <v>0</v>
      </c>
      <c r="AQ78" s="100">
        <f t="shared" si="102"/>
        <v>0</v>
      </c>
      <c r="AR78" s="100">
        <f t="shared" si="103"/>
        <v>0</v>
      </c>
      <c r="AS78" s="100">
        <f t="shared" si="104"/>
        <v>0</v>
      </c>
      <c r="AT78" s="100">
        <f t="shared" si="105"/>
        <v>0</v>
      </c>
      <c r="AU78" s="100">
        <f t="shared" si="106"/>
        <v>0</v>
      </c>
      <c r="AV78" s="100">
        <f t="shared" si="107"/>
        <v>0</v>
      </c>
      <c r="AW78" s="100">
        <f t="shared" si="108"/>
        <v>20</v>
      </c>
      <c r="AX78">
        <f t="shared" si="109"/>
        <v>184</v>
      </c>
      <c r="AY78" s="98">
        <f t="shared" si="110"/>
        <v>0</v>
      </c>
      <c r="AZ78" s="98">
        <f t="shared" si="111"/>
        <v>0</v>
      </c>
      <c r="BA78" s="98">
        <f t="shared" si="112"/>
        <v>1309.5707920572115</v>
      </c>
      <c r="BB78" s="98">
        <f t="shared" si="113"/>
        <v>0</v>
      </c>
      <c r="BC78" s="98">
        <f t="shared" si="114"/>
        <v>0</v>
      </c>
      <c r="BD78" s="98">
        <f t="shared" si="115"/>
        <v>1694.7386720740385</v>
      </c>
      <c r="BE78" s="98">
        <f t="shared" si="116"/>
        <v>1155.5036400504807</v>
      </c>
      <c r="BF78" s="98">
        <f t="shared" si="117"/>
        <v>0</v>
      </c>
      <c r="BG78" s="98">
        <f t="shared" si="118"/>
        <v>0</v>
      </c>
      <c r="BH78" s="98">
        <f t="shared" si="119"/>
        <v>0</v>
      </c>
      <c r="BI78" s="98">
        <f t="shared" si="120"/>
        <v>3851.6788001682689</v>
      </c>
      <c r="BJ78" s="98">
        <f t="shared" si="121"/>
        <v>4622.0145602019229</v>
      </c>
      <c r="BK78" s="98">
        <f t="shared" si="122"/>
        <v>0</v>
      </c>
      <c r="BL78" s="98">
        <f t="shared" si="123"/>
        <v>0</v>
      </c>
      <c r="BM78" s="98">
        <f t="shared" si="124"/>
        <v>0</v>
      </c>
      <c r="BN78" s="98">
        <f t="shared" si="125"/>
        <v>0</v>
      </c>
      <c r="BO78" s="98">
        <f t="shared" si="126"/>
        <v>0</v>
      </c>
      <c r="BP78" s="98">
        <f t="shared" si="127"/>
        <v>0</v>
      </c>
      <c r="BQ78" s="98">
        <f t="shared" si="128"/>
        <v>0</v>
      </c>
      <c r="BR78" s="98">
        <f t="shared" si="129"/>
        <v>1540.6715200673077</v>
      </c>
    </row>
    <row r="79" spans="1:70" x14ac:dyDescent="0.25">
      <c r="A79" t="s">
        <v>54</v>
      </c>
      <c r="B79" t="s">
        <v>15</v>
      </c>
      <c r="C79">
        <v>2024</v>
      </c>
      <c r="D79" s="98">
        <f>INDEX('Reference Sheet'!$G$9:$J$100, MATCH(A79,'Reference Sheet'!$F$9:$F$100,0), MATCH(C79,'Reference Sheet'!$G$8:$J$8,0))/2080</f>
        <v>64.663456730769227</v>
      </c>
      <c r="E79" s="99">
        <f>VLOOKUP(C79,'Reference Sheet'!$A$2:$B$5,2)</f>
        <v>0.1913</v>
      </c>
      <c r="F79" s="98">
        <f t="shared" si="87"/>
        <v>77.033576003365383</v>
      </c>
      <c r="G79" s="98"/>
      <c r="H79" s="98"/>
      <c r="I79" s="21">
        <v>20</v>
      </c>
      <c r="J79" s="21"/>
      <c r="K79" s="21"/>
      <c r="L79" s="21">
        <v>18</v>
      </c>
      <c r="M79" s="21">
        <v>40</v>
      </c>
      <c r="N79" s="21"/>
      <c r="O79" s="21"/>
      <c r="P79" s="21"/>
      <c r="Q79" s="21">
        <v>35</v>
      </c>
      <c r="R79" s="21">
        <v>46</v>
      </c>
      <c r="S79" s="21"/>
      <c r="T79" s="21"/>
      <c r="U79" s="21"/>
      <c r="V79" s="21"/>
      <c r="W79" s="21"/>
      <c r="X79" s="21"/>
      <c r="Y79" s="21"/>
      <c r="Z79" s="21">
        <v>25</v>
      </c>
      <c r="AA79" s="98">
        <f t="shared" si="86"/>
        <v>184</v>
      </c>
      <c r="AB79" s="98">
        <f>IF(OR(B79="",C79=""),"",SUMIFS('Reference Sheet'!$D$9:$D$42,'Reference Sheet'!$A$9:$A$42,C79,'Reference Sheet'!$B$9:$B$42,B79))</f>
        <v>184</v>
      </c>
      <c r="AC79" s="98">
        <f t="shared" si="88"/>
        <v>0</v>
      </c>
      <c r="AD79" s="100">
        <f t="shared" si="89"/>
        <v>0</v>
      </c>
      <c r="AE79" s="100">
        <f t="shared" si="90"/>
        <v>0</v>
      </c>
      <c r="AF79" s="100">
        <f t="shared" si="91"/>
        <v>20</v>
      </c>
      <c r="AG79" s="100">
        <f t="shared" si="92"/>
        <v>0</v>
      </c>
      <c r="AH79" s="100">
        <f t="shared" si="93"/>
        <v>0</v>
      </c>
      <c r="AI79" s="100">
        <f t="shared" si="94"/>
        <v>18</v>
      </c>
      <c r="AJ79" s="100">
        <f t="shared" si="95"/>
        <v>40</v>
      </c>
      <c r="AK79" s="100">
        <f t="shared" si="96"/>
        <v>0</v>
      </c>
      <c r="AL79" s="100">
        <f t="shared" si="97"/>
        <v>0</v>
      </c>
      <c r="AM79" s="100">
        <f t="shared" si="98"/>
        <v>0</v>
      </c>
      <c r="AN79" s="100">
        <f t="shared" si="99"/>
        <v>35</v>
      </c>
      <c r="AO79" s="100">
        <f t="shared" si="100"/>
        <v>46</v>
      </c>
      <c r="AP79" s="100">
        <f t="shared" si="101"/>
        <v>0</v>
      </c>
      <c r="AQ79" s="100">
        <f t="shared" si="102"/>
        <v>0</v>
      </c>
      <c r="AR79" s="100">
        <f t="shared" si="103"/>
        <v>0</v>
      </c>
      <c r="AS79" s="100">
        <f t="shared" si="104"/>
        <v>0</v>
      </c>
      <c r="AT79" s="100">
        <f t="shared" si="105"/>
        <v>0</v>
      </c>
      <c r="AU79" s="100">
        <f t="shared" si="106"/>
        <v>0</v>
      </c>
      <c r="AV79" s="100">
        <f t="shared" si="107"/>
        <v>0</v>
      </c>
      <c r="AW79" s="100">
        <f t="shared" si="108"/>
        <v>25</v>
      </c>
      <c r="AX79">
        <f t="shared" si="109"/>
        <v>184</v>
      </c>
      <c r="AY79" s="98">
        <f t="shared" si="110"/>
        <v>0</v>
      </c>
      <c r="AZ79" s="98">
        <f t="shared" si="111"/>
        <v>0</v>
      </c>
      <c r="BA79" s="98">
        <f t="shared" si="112"/>
        <v>1540.6715200673077</v>
      </c>
      <c r="BB79" s="98">
        <f t="shared" si="113"/>
        <v>0</v>
      </c>
      <c r="BC79" s="98">
        <f t="shared" si="114"/>
        <v>0</v>
      </c>
      <c r="BD79" s="98">
        <f t="shared" si="115"/>
        <v>1386.6043680605769</v>
      </c>
      <c r="BE79" s="98">
        <f t="shared" si="116"/>
        <v>3081.3430401346154</v>
      </c>
      <c r="BF79" s="98">
        <f t="shared" si="117"/>
        <v>0</v>
      </c>
      <c r="BG79" s="98">
        <f t="shared" si="118"/>
        <v>0</v>
      </c>
      <c r="BH79" s="98">
        <f t="shared" si="119"/>
        <v>0</v>
      </c>
      <c r="BI79" s="98">
        <f t="shared" si="120"/>
        <v>2696.1751601177884</v>
      </c>
      <c r="BJ79" s="98">
        <f t="shared" si="121"/>
        <v>3543.5444961548078</v>
      </c>
      <c r="BK79" s="98">
        <f t="shared" si="122"/>
        <v>0</v>
      </c>
      <c r="BL79" s="98">
        <f t="shared" si="123"/>
        <v>0</v>
      </c>
      <c r="BM79" s="98">
        <f t="shared" si="124"/>
        <v>0</v>
      </c>
      <c r="BN79" s="98">
        <f t="shared" si="125"/>
        <v>0</v>
      </c>
      <c r="BO79" s="98">
        <f t="shared" si="126"/>
        <v>0</v>
      </c>
      <c r="BP79" s="98">
        <f t="shared" si="127"/>
        <v>0</v>
      </c>
      <c r="BQ79" s="98">
        <f t="shared" si="128"/>
        <v>0</v>
      </c>
      <c r="BR79" s="98">
        <f t="shared" si="129"/>
        <v>1925.8394000841345</v>
      </c>
    </row>
    <row r="80" spans="1:70" x14ac:dyDescent="0.25">
      <c r="A80" t="s">
        <v>54</v>
      </c>
      <c r="B80" t="s">
        <v>7</v>
      </c>
      <c r="C80">
        <v>2025</v>
      </c>
      <c r="D80" s="98">
        <f>INDEX('Reference Sheet'!$G$9:$J$100, MATCH(A80,'Reference Sheet'!$F$9:$F$100,0), MATCH(C80,'Reference Sheet'!$G$8:$J$8,0))/2080</f>
        <v>82.595701923076916</v>
      </c>
      <c r="E80" s="99">
        <f>VLOOKUP(C80,'Reference Sheet'!$A$2:$B$5,2)</f>
        <v>0.22450000000000001</v>
      </c>
      <c r="F80" s="98">
        <f t="shared" si="87"/>
        <v>101.13843700480768</v>
      </c>
      <c r="G80" s="98"/>
      <c r="H80" s="98"/>
      <c r="I80" s="21"/>
      <c r="J80" s="21"/>
      <c r="K80" s="21">
        <v>24</v>
      </c>
      <c r="L80" s="21"/>
      <c r="M80" s="21">
        <v>56</v>
      </c>
      <c r="N80" s="21">
        <v>23.75</v>
      </c>
      <c r="O80" s="21"/>
      <c r="P80" s="21"/>
      <c r="Q80" s="21">
        <v>66</v>
      </c>
      <c r="R80" s="21"/>
      <c r="S80" s="21">
        <v>6</v>
      </c>
      <c r="T80" s="21"/>
      <c r="U80" s="21"/>
      <c r="V80" s="21">
        <v>30</v>
      </c>
      <c r="W80" s="21"/>
      <c r="X80" s="21"/>
      <c r="Y80" s="21"/>
      <c r="Z80" s="21"/>
      <c r="AA80" s="98">
        <f t="shared" si="86"/>
        <v>205.75</v>
      </c>
      <c r="AB80" s="98">
        <f>IF(OR(B80="",C80=""),"",SUMIFS('Reference Sheet'!$D$9:$D$42,'Reference Sheet'!$A$9:$A$42,C80,'Reference Sheet'!$B$9:$B$42,B80))</f>
        <v>160</v>
      </c>
      <c r="AC80" s="98">
        <f t="shared" si="88"/>
        <v>-45.75</v>
      </c>
      <c r="AD80" s="100">
        <f t="shared" si="89"/>
        <v>0</v>
      </c>
      <c r="AE80" s="100">
        <f t="shared" si="90"/>
        <v>0</v>
      </c>
      <c r="AF80" s="100">
        <f t="shared" si="91"/>
        <v>0</v>
      </c>
      <c r="AG80" s="100">
        <f t="shared" si="92"/>
        <v>0</v>
      </c>
      <c r="AH80" s="100">
        <f t="shared" si="93"/>
        <v>18.663426488456864</v>
      </c>
      <c r="AI80" s="100">
        <f t="shared" si="94"/>
        <v>0</v>
      </c>
      <c r="AJ80" s="100">
        <f t="shared" si="95"/>
        <v>43.547995139732684</v>
      </c>
      <c r="AK80" s="100">
        <f t="shared" si="96"/>
        <v>18.469015795868774</v>
      </c>
      <c r="AL80" s="100">
        <f t="shared" si="97"/>
        <v>0</v>
      </c>
      <c r="AM80" s="100">
        <f t="shared" si="98"/>
        <v>0</v>
      </c>
      <c r="AN80" s="100">
        <f t="shared" si="99"/>
        <v>51.324422843256379</v>
      </c>
      <c r="AO80" s="100">
        <f t="shared" si="100"/>
        <v>0</v>
      </c>
      <c r="AP80" s="100">
        <f t="shared" si="101"/>
        <v>4.6658566221142159</v>
      </c>
      <c r="AQ80" s="100">
        <f t="shared" si="102"/>
        <v>0</v>
      </c>
      <c r="AR80" s="100">
        <f t="shared" si="103"/>
        <v>0</v>
      </c>
      <c r="AS80" s="100">
        <f t="shared" si="104"/>
        <v>23.32928311057108</v>
      </c>
      <c r="AT80" s="100">
        <f t="shared" si="105"/>
        <v>0</v>
      </c>
      <c r="AU80" s="100">
        <f t="shared" si="106"/>
        <v>0</v>
      </c>
      <c r="AV80" s="100">
        <f t="shared" si="107"/>
        <v>0</v>
      </c>
      <c r="AW80" s="100">
        <f t="shared" si="108"/>
        <v>0</v>
      </c>
      <c r="AX80">
        <f t="shared" si="109"/>
        <v>160</v>
      </c>
      <c r="AY80" s="98">
        <f t="shared" si="110"/>
        <v>0</v>
      </c>
      <c r="AZ80" s="98">
        <f t="shared" si="111"/>
        <v>0</v>
      </c>
      <c r="BA80" s="98">
        <f t="shared" si="112"/>
        <v>0</v>
      </c>
      <c r="BB80" s="98">
        <f t="shared" si="113"/>
        <v>0</v>
      </c>
      <c r="BC80" s="98">
        <f t="shared" si="114"/>
        <v>1887.5897841966537</v>
      </c>
      <c r="BD80" s="98">
        <f t="shared" si="115"/>
        <v>0</v>
      </c>
      <c r="BE80" s="98">
        <f t="shared" si="116"/>
        <v>4404.3761631255256</v>
      </c>
      <c r="BF80" s="98">
        <f t="shared" si="117"/>
        <v>1867.9273906112721</v>
      </c>
      <c r="BG80" s="98">
        <f t="shared" si="118"/>
        <v>0</v>
      </c>
      <c r="BH80" s="98">
        <f t="shared" si="119"/>
        <v>0</v>
      </c>
      <c r="BI80" s="98">
        <f t="shared" si="120"/>
        <v>5190.8719065407977</v>
      </c>
      <c r="BJ80" s="98">
        <f t="shared" si="121"/>
        <v>0</v>
      </c>
      <c r="BK80" s="98">
        <f t="shared" si="122"/>
        <v>471.89744604916342</v>
      </c>
      <c r="BL80" s="98">
        <f t="shared" si="123"/>
        <v>0</v>
      </c>
      <c r="BM80" s="98">
        <f t="shared" si="124"/>
        <v>0</v>
      </c>
      <c r="BN80" s="98">
        <f t="shared" si="125"/>
        <v>2359.487230245817</v>
      </c>
      <c r="BO80" s="98">
        <f t="shared" si="126"/>
        <v>0</v>
      </c>
      <c r="BP80" s="98">
        <f t="shared" si="127"/>
        <v>0</v>
      </c>
      <c r="BQ80" s="98">
        <f t="shared" si="128"/>
        <v>0</v>
      </c>
      <c r="BR80" s="98">
        <f t="shared" si="129"/>
        <v>0</v>
      </c>
    </row>
    <row r="81" spans="1:70" x14ac:dyDescent="0.25">
      <c r="A81" t="s">
        <v>54</v>
      </c>
      <c r="B81" t="s">
        <v>8</v>
      </c>
      <c r="C81">
        <v>2025</v>
      </c>
      <c r="D81" s="98">
        <f>INDEX('Reference Sheet'!$G$9:$J$100, MATCH(A81,'Reference Sheet'!$F$9:$F$100,0), MATCH(C81,'Reference Sheet'!$G$8:$J$8,0))/2080</f>
        <v>82.595701923076916</v>
      </c>
      <c r="E81" s="99">
        <f>VLOOKUP(C81,'Reference Sheet'!$A$2:$B$5,2)</f>
        <v>0.22450000000000001</v>
      </c>
      <c r="F81" s="98">
        <f t="shared" si="87"/>
        <v>101.13843700480768</v>
      </c>
      <c r="G81" s="98"/>
      <c r="H81" s="98"/>
      <c r="I81" s="21"/>
      <c r="J81" s="21"/>
      <c r="K81" s="21">
        <v>26</v>
      </c>
      <c r="L81" s="21"/>
      <c r="M81" s="21">
        <v>38</v>
      </c>
      <c r="N81" s="21">
        <v>23.75</v>
      </c>
      <c r="O81" s="21"/>
      <c r="P81" s="21">
        <v>35</v>
      </c>
      <c r="Q81" s="21">
        <v>43</v>
      </c>
      <c r="R81" s="21"/>
      <c r="S81" s="21">
        <v>17</v>
      </c>
      <c r="T81" s="21"/>
      <c r="U81" s="21"/>
      <c r="V81" s="21">
        <v>26</v>
      </c>
      <c r="W81" s="21"/>
      <c r="X81" s="21"/>
      <c r="Y81" s="21"/>
      <c r="Z81" s="21"/>
      <c r="AA81" s="98">
        <f t="shared" si="86"/>
        <v>208.75</v>
      </c>
      <c r="AB81" s="98">
        <f>IF(OR(B81="",C81=""),"",SUMIFS('Reference Sheet'!$D$9:$D$42,'Reference Sheet'!$A$9:$A$42,C81,'Reference Sheet'!$B$9:$B$42,B81))</f>
        <v>168</v>
      </c>
      <c r="AC81" s="98">
        <f t="shared" si="88"/>
        <v>-40.75</v>
      </c>
      <c r="AD81" s="100">
        <f t="shared" si="89"/>
        <v>0</v>
      </c>
      <c r="AE81" s="100">
        <f t="shared" si="90"/>
        <v>0</v>
      </c>
      <c r="AF81" s="100">
        <f t="shared" si="91"/>
        <v>0</v>
      </c>
      <c r="AG81" s="100">
        <f t="shared" si="92"/>
        <v>0</v>
      </c>
      <c r="AH81" s="100">
        <f t="shared" si="93"/>
        <v>20.924550898203591</v>
      </c>
      <c r="AI81" s="100">
        <f t="shared" si="94"/>
        <v>0</v>
      </c>
      <c r="AJ81" s="100">
        <f t="shared" si="95"/>
        <v>30.582035928143714</v>
      </c>
      <c r="AK81" s="100">
        <f t="shared" si="96"/>
        <v>19.113772455089819</v>
      </c>
      <c r="AL81" s="100">
        <f t="shared" si="97"/>
        <v>0</v>
      </c>
      <c r="AM81" s="100">
        <f t="shared" si="98"/>
        <v>28.167664670658681</v>
      </c>
      <c r="AN81" s="100">
        <f t="shared" si="99"/>
        <v>34.605988023952094</v>
      </c>
      <c r="AO81" s="100">
        <f t="shared" si="100"/>
        <v>0</v>
      </c>
      <c r="AP81" s="100">
        <f t="shared" si="101"/>
        <v>13.681437125748504</v>
      </c>
      <c r="AQ81" s="100">
        <f t="shared" si="102"/>
        <v>0</v>
      </c>
      <c r="AR81" s="100">
        <f t="shared" si="103"/>
        <v>0</v>
      </c>
      <c r="AS81" s="100">
        <f t="shared" si="104"/>
        <v>20.924550898203591</v>
      </c>
      <c r="AT81" s="100">
        <f t="shared" si="105"/>
        <v>0</v>
      </c>
      <c r="AU81" s="100">
        <f t="shared" si="106"/>
        <v>0</v>
      </c>
      <c r="AV81" s="100">
        <f t="shared" si="107"/>
        <v>0</v>
      </c>
      <c r="AW81" s="100">
        <f t="shared" si="108"/>
        <v>0</v>
      </c>
      <c r="AX81">
        <f t="shared" si="109"/>
        <v>168</v>
      </c>
      <c r="AY81" s="98">
        <f t="shared" si="110"/>
        <v>0</v>
      </c>
      <c r="AZ81" s="98">
        <f t="shared" si="111"/>
        <v>0</v>
      </c>
      <c r="BA81" s="98">
        <f t="shared" si="112"/>
        <v>0</v>
      </c>
      <c r="BB81" s="98">
        <f t="shared" si="113"/>
        <v>0</v>
      </c>
      <c r="BC81" s="98">
        <f t="shared" si="114"/>
        <v>2116.276372871856</v>
      </c>
      <c r="BD81" s="98">
        <f t="shared" si="115"/>
        <v>0</v>
      </c>
      <c r="BE81" s="98">
        <f t="shared" si="116"/>
        <v>3093.0193141973282</v>
      </c>
      <c r="BF81" s="98">
        <f t="shared" si="117"/>
        <v>1933.1370713733299</v>
      </c>
      <c r="BG81" s="98">
        <f t="shared" si="118"/>
        <v>0</v>
      </c>
      <c r="BH81" s="98">
        <f t="shared" si="119"/>
        <v>2848.8335788659601</v>
      </c>
      <c r="BI81" s="98">
        <f t="shared" si="120"/>
        <v>3499.9955397496078</v>
      </c>
      <c r="BJ81" s="98">
        <f t="shared" si="121"/>
        <v>0</v>
      </c>
      <c r="BK81" s="98">
        <f t="shared" si="122"/>
        <v>1383.7191668777523</v>
      </c>
      <c r="BL81" s="98">
        <f t="shared" si="123"/>
        <v>0</v>
      </c>
      <c r="BM81" s="98">
        <f t="shared" si="124"/>
        <v>0</v>
      </c>
      <c r="BN81" s="98">
        <f t="shared" si="125"/>
        <v>2116.276372871856</v>
      </c>
      <c r="BO81" s="98">
        <f t="shared" si="126"/>
        <v>0</v>
      </c>
      <c r="BP81" s="98">
        <f t="shared" si="127"/>
        <v>0</v>
      </c>
      <c r="BQ81" s="98">
        <f t="shared" si="128"/>
        <v>0</v>
      </c>
      <c r="BR81" s="98">
        <f t="shared" si="129"/>
        <v>0</v>
      </c>
    </row>
    <row r="82" spans="1:70" x14ac:dyDescent="0.25">
      <c r="A82" t="s">
        <v>54</v>
      </c>
      <c r="B82" t="s">
        <v>12</v>
      </c>
      <c r="C82">
        <v>2025</v>
      </c>
      <c r="D82" s="98">
        <f>INDEX('Reference Sheet'!$G$9:$J$100, MATCH(A82,'Reference Sheet'!$F$9:$F$100,0), MATCH(C82,'Reference Sheet'!$G$8:$J$8,0))/2080</f>
        <v>82.595701923076916</v>
      </c>
      <c r="E82" s="99">
        <f>VLOOKUP(C82,'Reference Sheet'!$A$2:$B$5,2)</f>
        <v>0.22450000000000001</v>
      </c>
      <c r="F82" s="98">
        <f t="shared" si="87"/>
        <v>101.13843700480768</v>
      </c>
      <c r="G82" s="98"/>
      <c r="H82" s="98"/>
      <c r="I82" s="21"/>
      <c r="J82" s="21"/>
      <c r="K82" s="21">
        <v>23</v>
      </c>
      <c r="L82" s="21"/>
      <c r="M82" s="21">
        <v>33</v>
      </c>
      <c r="N82" s="21">
        <v>23.75</v>
      </c>
      <c r="O82" s="21"/>
      <c r="P82" s="21">
        <v>50</v>
      </c>
      <c r="Q82" s="21">
        <v>33</v>
      </c>
      <c r="R82" s="21"/>
      <c r="S82" s="21">
        <v>25.5</v>
      </c>
      <c r="T82" s="21"/>
      <c r="U82" s="21"/>
      <c r="V82" s="21">
        <v>26</v>
      </c>
      <c r="W82" s="21"/>
      <c r="X82" s="21"/>
      <c r="Y82" s="21"/>
      <c r="Z82" s="21"/>
      <c r="AA82" s="98">
        <f t="shared" si="86"/>
        <v>214.25</v>
      </c>
      <c r="AB82" s="98">
        <f>IF(OR(B82="",C82=""),"",SUMIFS('Reference Sheet'!$D$9:$D$42,'Reference Sheet'!$A$9:$A$42,C82,'Reference Sheet'!$B$9:$B$42,B82))</f>
        <v>184</v>
      </c>
      <c r="AC82" s="98">
        <f t="shared" si="88"/>
        <v>-30.25</v>
      </c>
      <c r="AD82" s="100">
        <f t="shared" si="89"/>
        <v>0</v>
      </c>
      <c r="AE82" s="100">
        <f t="shared" si="90"/>
        <v>0</v>
      </c>
      <c r="AF82" s="100">
        <f t="shared" si="91"/>
        <v>0</v>
      </c>
      <c r="AG82" s="100">
        <f t="shared" si="92"/>
        <v>0</v>
      </c>
      <c r="AH82" s="100">
        <f t="shared" si="93"/>
        <v>19.752625437572931</v>
      </c>
      <c r="AI82" s="100">
        <f t="shared" si="94"/>
        <v>0</v>
      </c>
      <c r="AJ82" s="100">
        <f t="shared" si="95"/>
        <v>28.340723453908986</v>
      </c>
      <c r="AK82" s="100">
        <f t="shared" si="96"/>
        <v>20.396732788798133</v>
      </c>
      <c r="AL82" s="100">
        <f t="shared" si="97"/>
        <v>0</v>
      </c>
      <c r="AM82" s="100">
        <f t="shared" si="98"/>
        <v>42.940490081680281</v>
      </c>
      <c r="AN82" s="100">
        <f t="shared" si="99"/>
        <v>28.340723453908986</v>
      </c>
      <c r="AO82" s="100">
        <f t="shared" si="100"/>
        <v>0</v>
      </c>
      <c r="AP82" s="100">
        <f t="shared" si="101"/>
        <v>21.899649941656943</v>
      </c>
      <c r="AQ82" s="100">
        <f t="shared" si="102"/>
        <v>0</v>
      </c>
      <c r="AR82" s="100">
        <f t="shared" si="103"/>
        <v>0</v>
      </c>
      <c r="AS82" s="100">
        <f t="shared" si="104"/>
        <v>22.329054842473745</v>
      </c>
      <c r="AT82" s="100">
        <f t="shared" si="105"/>
        <v>0</v>
      </c>
      <c r="AU82" s="100">
        <f t="shared" si="106"/>
        <v>0</v>
      </c>
      <c r="AV82" s="100">
        <f t="shared" si="107"/>
        <v>0</v>
      </c>
      <c r="AW82" s="100">
        <f t="shared" si="108"/>
        <v>0</v>
      </c>
      <c r="AX82">
        <f t="shared" si="109"/>
        <v>184</v>
      </c>
      <c r="AY82" s="98">
        <f t="shared" si="110"/>
        <v>0</v>
      </c>
      <c r="AZ82" s="98">
        <f t="shared" si="111"/>
        <v>0</v>
      </c>
      <c r="BA82" s="98">
        <f t="shared" si="112"/>
        <v>0</v>
      </c>
      <c r="BB82" s="98">
        <f t="shared" si="113"/>
        <v>0</v>
      </c>
      <c r="BC82" s="98">
        <f t="shared" si="114"/>
        <v>1997.7496634975316</v>
      </c>
      <c r="BD82" s="98">
        <f t="shared" si="115"/>
        <v>0</v>
      </c>
      <c r="BE82" s="98">
        <f t="shared" si="116"/>
        <v>2866.3364737138495</v>
      </c>
      <c r="BF82" s="98">
        <f t="shared" si="117"/>
        <v>2062.8936742637552</v>
      </c>
      <c r="BG82" s="98">
        <f t="shared" si="118"/>
        <v>0</v>
      </c>
      <c r="BH82" s="98">
        <f t="shared" si="119"/>
        <v>4342.93405108159</v>
      </c>
      <c r="BI82" s="98">
        <f t="shared" si="120"/>
        <v>2866.3364737138495</v>
      </c>
      <c r="BJ82" s="98">
        <f t="shared" si="121"/>
        <v>0</v>
      </c>
      <c r="BK82" s="98">
        <f t="shared" si="122"/>
        <v>2214.896366051611</v>
      </c>
      <c r="BL82" s="98">
        <f t="shared" si="123"/>
        <v>0</v>
      </c>
      <c r="BM82" s="98">
        <f t="shared" si="124"/>
        <v>0</v>
      </c>
      <c r="BN82" s="98">
        <f t="shared" si="125"/>
        <v>2258.3257065624271</v>
      </c>
      <c r="BO82" s="98">
        <f t="shared" si="126"/>
        <v>0</v>
      </c>
      <c r="BP82" s="98">
        <f t="shared" si="127"/>
        <v>0</v>
      </c>
      <c r="BQ82" s="98">
        <f t="shared" si="128"/>
        <v>0</v>
      </c>
      <c r="BR82" s="98">
        <f t="shared" si="129"/>
        <v>0</v>
      </c>
    </row>
    <row r="83" spans="1:70" x14ac:dyDescent="0.25">
      <c r="A83" t="s">
        <v>54</v>
      </c>
      <c r="B83" t="s">
        <v>11</v>
      </c>
      <c r="C83">
        <v>2025</v>
      </c>
      <c r="D83" s="98">
        <f>INDEX('Reference Sheet'!$G$9:$J$100, MATCH(A83,'Reference Sheet'!$F$9:$F$100,0), MATCH(C83,'Reference Sheet'!$G$8:$J$8,0))/2080</f>
        <v>82.595701923076916</v>
      </c>
      <c r="E83" s="99">
        <f>VLOOKUP(C83,'Reference Sheet'!$A$2:$B$5,2)</f>
        <v>0.22450000000000001</v>
      </c>
      <c r="F83" s="98">
        <f t="shared" si="87"/>
        <v>101.13843700480768</v>
      </c>
      <c r="G83" s="98"/>
      <c r="H83" s="98"/>
      <c r="I83" s="21"/>
      <c r="J83" s="21"/>
      <c r="K83" s="21">
        <v>26</v>
      </c>
      <c r="L83" s="21"/>
      <c r="M83" s="21">
        <v>33</v>
      </c>
      <c r="N83" s="21">
        <v>23.75</v>
      </c>
      <c r="O83" s="21"/>
      <c r="P83" s="21">
        <v>37</v>
      </c>
      <c r="Q83" s="21">
        <v>42</v>
      </c>
      <c r="R83" s="21"/>
      <c r="S83" s="21">
        <v>13</v>
      </c>
      <c r="T83" s="21"/>
      <c r="U83" s="21"/>
      <c r="V83" s="21">
        <v>42</v>
      </c>
      <c r="W83" s="21"/>
      <c r="X83" s="21"/>
      <c r="Y83" s="21"/>
      <c r="Z83" s="21"/>
      <c r="AA83" s="98">
        <f t="shared" si="86"/>
        <v>216.75</v>
      </c>
      <c r="AB83" s="98">
        <f>IF(OR(B83="",C83=""),"",SUMIFS('Reference Sheet'!$D$9:$D$42,'Reference Sheet'!$A$9:$A$42,C83,'Reference Sheet'!$B$9:$B$42,B83))</f>
        <v>168</v>
      </c>
      <c r="AC83" s="98">
        <f t="shared" si="88"/>
        <v>-48.75</v>
      </c>
      <c r="AD83" s="100">
        <f t="shared" si="89"/>
        <v>0</v>
      </c>
      <c r="AE83" s="100">
        <f t="shared" si="90"/>
        <v>0</v>
      </c>
      <c r="AF83" s="100">
        <f t="shared" si="91"/>
        <v>0</v>
      </c>
      <c r="AG83" s="100">
        <f t="shared" si="92"/>
        <v>0</v>
      </c>
      <c r="AH83" s="100">
        <f t="shared" si="93"/>
        <v>20.152249134948097</v>
      </c>
      <c r="AI83" s="100">
        <f t="shared" si="94"/>
        <v>0</v>
      </c>
      <c r="AJ83" s="100">
        <f t="shared" si="95"/>
        <v>25.577854671280278</v>
      </c>
      <c r="AK83" s="100">
        <f t="shared" si="96"/>
        <v>18.408304498269896</v>
      </c>
      <c r="AL83" s="100">
        <f t="shared" si="97"/>
        <v>0</v>
      </c>
      <c r="AM83" s="100">
        <f t="shared" si="98"/>
        <v>28.678200692041521</v>
      </c>
      <c r="AN83" s="100">
        <f t="shared" si="99"/>
        <v>32.553633217993081</v>
      </c>
      <c r="AO83" s="100">
        <f t="shared" si="100"/>
        <v>0</v>
      </c>
      <c r="AP83" s="100">
        <f t="shared" si="101"/>
        <v>10.076124567474048</v>
      </c>
      <c r="AQ83" s="100">
        <f t="shared" si="102"/>
        <v>0</v>
      </c>
      <c r="AR83" s="100">
        <f t="shared" si="103"/>
        <v>0</v>
      </c>
      <c r="AS83" s="100">
        <f t="shared" si="104"/>
        <v>32.553633217993081</v>
      </c>
      <c r="AT83" s="100">
        <f t="shared" si="105"/>
        <v>0</v>
      </c>
      <c r="AU83" s="100">
        <f t="shared" si="106"/>
        <v>0</v>
      </c>
      <c r="AV83" s="100">
        <f t="shared" si="107"/>
        <v>0</v>
      </c>
      <c r="AW83" s="100">
        <f t="shared" si="108"/>
        <v>0</v>
      </c>
      <c r="AX83">
        <f t="shared" si="109"/>
        <v>168</v>
      </c>
      <c r="AY83" s="98">
        <f t="shared" si="110"/>
        <v>0</v>
      </c>
      <c r="AZ83" s="98">
        <f t="shared" si="111"/>
        <v>0</v>
      </c>
      <c r="BA83" s="98">
        <f t="shared" si="112"/>
        <v>0</v>
      </c>
      <c r="BB83" s="98">
        <f t="shared" si="113"/>
        <v>0</v>
      </c>
      <c r="BC83" s="98">
        <f t="shared" si="114"/>
        <v>2038.1669796401382</v>
      </c>
      <c r="BD83" s="98">
        <f t="shared" si="115"/>
        <v>0</v>
      </c>
      <c r="BE83" s="98">
        <f t="shared" si="116"/>
        <v>2586.9042433894065</v>
      </c>
      <c r="BF83" s="98">
        <f t="shared" si="117"/>
        <v>1861.7871448635879</v>
      </c>
      <c r="BG83" s="98">
        <f t="shared" si="118"/>
        <v>0</v>
      </c>
      <c r="BH83" s="98">
        <f t="shared" si="119"/>
        <v>2900.4683941032736</v>
      </c>
      <c r="BI83" s="98">
        <f t="shared" si="120"/>
        <v>3292.4235824956081</v>
      </c>
      <c r="BJ83" s="98">
        <f t="shared" si="121"/>
        <v>0</v>
      </c>
      <c r="BK83" s="98">
        <f t="shared" si="122"/>
        <v>1019.0834898200691</v>
      </c>
      <c r="BL83" s="98">
        <f t="shared" si="123"/>
        <v>0</v>
      </c>
      <c r="BM83" s="98">
        <f t="shared" si="124"/>
        <v>0</v>
      </c>
      <c r="BN83" s="98">
        <f t="shared" si="125"/>
        <v>3292.4235824956081</v>
      </c>
      <c r="BO83" s="98">
        <f t="shared" si="126"/>
        <v>0</v>
      </c>
      <c r="BP83" s="98">
        <f t="shared" si="127"/>
        <v>0</v>
      </c>
      <c r="BQ83" s="98">
        <f t="shared" si="128"/>
        <v>0</v>
      </c>
      <c r="BR83" s="98">
        <f t="shared" si="129"/>
        <v>0</v>
      </c>
    </row>
    <row r="84" spans="1:70" x14ac:dyDescent="0.25">
      <c r="A84" t="s">
        <v>54</v>
      </c>
      <c r="B84" t="s">
        <v>9</v>
      </c>
      <c r="C84">
        <v>2025</v>
      </c>
      <c r="D84" s="98">
        <f>INDEX('Reference Sheet'!$G$9:$J$100, MATCH(A84,'Reference Sheet'!$F$9:$F$100,0), MATCH(C84,'Reference Sheet'!$G$8:$J$8,0))/2080</f>
        <v>82.595701923076916</v>
      </c>
      <c r="E84" s="99">
        <f>VLOOKUP(C84,'Reference Sheet'!$A$2:$B$5,2)</f>
        <v>0.22450000000000001</v>
      </c>
      <c r="F84" s="98">
        <f t="shared" si="87"/>
        <v>101.13843700480768</v>
      </c>
      <c r="G84" s="98"/>
      <c r="H84" s="98"/>
      <c r="I84" s="21"/>
      <c r="J84" s="21"/>
      <c r="K84" s="32">
        <v>63</v>
      </c>
      <c r="L84" s="32"/>
      <c r="M84" s="32">
        <v>27</v>
      </c>
      <c r="N84" s="21">
        <v>23.75</v>
      </c>
      <c r="O84" s="32"/>
      <c r="P84" s="32">
        <v>38</v>
      </c>
      <c r="Q84" s="32">
        <v>34</v>
      </c>
      <c r="R84" s="32"/>
      <c r="S84" s="32">
        <v>8.5</v>
      </c>
      <c r="T84" s="32"/>
      <c r="U84" s="32"/>
      <c r="V84" s="32">
        <v>27.5</v>
      </c>
      <c r="W84" s="32"/>
      <c r="X84" s="21"/>
      <c r="Y84" s="21"/>
      <c r="Z84" s="21"/>
      <c r="AA84" s="98">
        <f t="shared" si="86"/>
        <v>221.75</v>
      </c>
      <c r="AB84" s="98">
        <f>IF(OR(B84="",C84=""),"",SUMIFS('Reference Sheet'!$D$9:$D$42,'Reference Sheet'!$A$9:$A$42,C84,'Reference Sheet'!$B$9:$B$42,B84))</f>
        <v>176</v>
      </c>
      <c r="AC84" s="98">
        <f t="shared" si="88"/>
        <v>-45.75</v>
      </c>
      <c r="AD84" s="100">
        <f t="shared" si="89"/>
        <v>0</v>
      </c>
      <c r="AE84" s="100">
        <f t="shared" si="90"/>
        <v>0</v>
      </c>
      <c r="AF84" s="100">
        <f t="shared" si="91"/>
        <v>0</v>
      </c>
      <c r="AG84" s="100">
        <f t="shared" si="92"/>
        <v>0</v>
      </c>
      <c r="AH84" s="100">
        <f t="shared" si="93"/>
        <v>50.002254791431795</v>
      </c>
      <c r="AI84" s="100">
        <f t="shared" si="94"/>
        <v>0</v>
      </c>
      <c r="AJ84" s="100">
        <f t="shared" si="95"/>
        <v>21.429537767756482</v>
      </c>
      <c r="AK84" s="100">
        <f t="shared" si="96"/>
        <v>18.850056369785793</v>
      </c>
      <c r="AL84" s="100">
        <f t="shared" si="97"/>
        <v>0</v>
      </c>
      <c r="AM84" s="100">
        <f t="shared" si="98"/>
        <v>30.160090191657272</v>
      </c>
      <c r="AN84" s="100">
        <f t="shared" si="99"/>
        <v>26.985343855693348</v>
      </c>
      <c r="AO84" s="100">
        <f t="shared" si="100"/>
        <v>0</v>
      </c>
      <c r="AP84" s="100">
        <f t="shared" si="101"/>
        <v>6.7463359639233369</v>
      </c>
      <c r="AQ84" s="100">
        <f t="shared" si="102"/>
        <v>0</v>
      </c>
      <c r="AR84" s="100">
        <f t="shared" si="103"/>
        <v>0</v>
      </c>
      <c r="AS84" s="100">
        <f t="shared" si="104"/>
        <v>21.826381059751974</v>
      </c>
      <c r="AT84" s="100">
        <f t="shared" si="105"/>
        <v>0</v>
      </c>
      <c r="AU84" s="100">
        <f t="shared" si="106"/>
        <v>0</v>
      </c>
      <c r="AV84" s="100">
        <f t="shared" si="107"/>
        <v>0</v>
      </c>
      <c r="AW84" s="100">
        <f t="shared" si="108"/>
        <v>0</v>
      </c>
      <c r="AX84">
        <f t="shared" si="109"/>
        <v>176.00000000000003</v>
      </c>
      <c r="AY84" s="98">
        <f t="shared" si="110"/>
        <v>0</v>
      </c>
      <c r="AZ84" s="98">
        <f t="shared" si="111"/>
        <v>0</v>
      </c>
      <c r="BA84" s="98">
        <f t="shared" si="112"/>
        <v>0</v>
      </c>
      <c r="BB84" s="98">
        <f t="shared" si="113"/>
        <v>0</v>
      </c>
      <c r="BC84" s="98">
        <f t="shared" si="114"/>
        <v>5057.1498963215681</v>
      </c>
      <c r="BD84" s="98">
        <f t="shared" si="115"/>
        <v>0</v>
      </c>
      <c r="BE84" s="98">
        <f t="shared" si="116"/>
        <v>2167.3499555663861</v>
      </c>
      <c r="BF84" s="98">
        <f t="shared" si="117"/>
        <v>1906.4652386926543</v>
      </c>
      <c r="BG84" s="98">
        <f t="shared" si="118"/>
        <v>0</v>
      </c>
      <c r="BH84" s="98">
        <f t="shared" si="119"/>
        <v>3050.3443819082472</v>
      </c>
      <c r="BI84" s="98">
        <f t="shared" si="120"/>
        <v>2729.2554996021158</v>
      </c>
      <c r="BJ84" s="98">
        <f t="shared" si="121"/>
        <v>0</v>
      </c>
      <c r="BK84" s="98">
        <f t="shared" si="122"/>
        <v>682.31387490052896</v>
      </c>
      <c r="BL84" s="98">
        <f t="shared" si="123"/>
        <v>0</v>
      </c>
      <c r="BM84" s="98">
        <f t="shared" si="124"/>
        <v>0</v>
      </c>
      <c r="BN84" s="98">
        <f t="shared" si="125"/>
        <v>2207.4860658546527</v>
      </c>
      <c r="BO84" s="98">
        <f t="shared" si="126"/>
        <v>0</v>
      </c>
      <c r="BP84" s="98">
        <f t="shared" si="127"/>
        <v>0</v>
      </c>
      <c r="BQ84" s="98">
        <f t="shared" si="128"/>
        <v>0</v>
      </c>
      <c r="BR84" s="98">
        <f t="shared" si="129"/>
        <v>0</v>
      </c>
    </row>
    <row r="85" spans="1:70" x14ac:dyDescent="0.25">
      <c r="A85" t="s">
        <v>54</v>
      </c>
      <c r="B85" t="s">
        <v>14</v>
      </c>
      <c r="C85">
        <v>2025</v>
      </c>
      <c r="D85" s="98">
        <f>INDEX('Reference Sheet'!$G$9:$J$100, MATCH(A85,'Reference Sheet'!$F$9:$F$100,0), MATCH(C85,'Reference Sheet'!$G$8:$J$8,0))/2080</f>
        <v>82.595701923076916</v>
      </c>
      <c r="E85" s="99">
        <f>VLOOKUP(C85,'Reference Sheet'!$A$2:$B$5,2)</f>
        <v>0.22450000000000001</v>
      </c>
      <c r="F85" s="98">
        <f t="shared" si="87"/>
        <v>101.13843700480768</v>
      </c>
      <c r="G85" s="98"/>
      <c r="H85" s="98"/>
      <c r="I85" s="21"/>
      <c r="J85" s="21"/>
      <c r="K85" s="21"/>
      <c r="L85" s="21"/>
      <c r="M85" s="21">
        <v>32</v>
      </c>
      <c r="N85" s="21">
        <v>23.75</v>
      </c>
      <c r="O85" s="21"/>
      <c r="P85" s="21">
        <v>75</v>
      </c>
      <c r="Q85" s="21">
        <v>50</v>
      </c>
      <c r="R85" s="21"/>
      <c r="S85" s="21">
        <v>22</v>
      </c>
      <c r="T85" s="21"/>
      <c r="U85" s="21"/>
      <c r="V85" s="21">
        <v>23</v>
      </c>
      <c r="W85" s="21"/>
      <c r="X85" s="21"/>
      <c r="Y85" s="21"/>
      <c r="Z85" s="21"/>
      <c r="AA85" s="98">
        <f t="shared" si="86"/>
        <v>225.75</v>
      </c>
      <c r="AB85" s="98">
        <f>IF(OR(B85="",C85=""),"",SUMIFS('Reference Sheet'!$D$9:$D$42,'Reference Sheet'!$A$9:$A$42,C85,'Reference Sheet'!$B$9:$B$42,B85))</f>
        <v>176</v>
      </c>
      <c r="AC85" s="98">
        <f t="shared" si="88"/>
        <v>-49.75</v>
      </c>
      <c r="AD85" s="100">
        <f t="shared" si="89"/>
        <v>0</v>
      </c>
      <c r="AE85" s="100">
        <f t="shared" si="90"/>
        <v>0</v>
      </c>
      <c r="AF85" s="100">
        <f t="shared" si="91"/>
        <v>0</v>
      </c>
      <c r="AG85" s="100">
        <f t="shared" si="92"/>
        <v>0</v>
      </c>
      <c r="AH85" s="100">
        <f t="shared" si="93"/>
        <v>0</v>
      </c>
      <c r="AI85" s="100">
        <f t="shared" si="94"/>
        <v>0</v>
      </c>
      <c r="AJ85" s="100">
        <f t="shared" si="95"/>
        <v>24.947951273532667</v>
      </c>
      <c r="AK85" s="100">
        <f t="shared" si="96"/>
        <v>18.516057585825028</v>
      </c>
      <c r="AL85" s="100">
        <f t="shared" si="97"/>
        <v>0</v>
      </c>
      <c r="AM85" s="100">
        <f t="shared" si="98"/>
        <v>58.471760797342192</v>
      </c>
      <c r="AN85" s="100">
        <f t="shared" si="99"/>
        <v>38.981173864894792</v>
      </c>
      <c r="AO85" s="100">
        <f t="shared" si="100"/>
        <v>0</v>
      </c>
      <c r="AP85" s="100">
        <f t="shared" si="101"/>
        <v>17.151716500553711</v>
      </c>
      <c r="AQ85" s="100">
        <f t="shared" si="102"/>
        <v>0</v>
      </c>
      <c r="AR85" s="100">
        <f t="shared" si="103"/>
        <v>0</v>
      </c>
      <c r="AS85" s="100">
        <f t="shared" si="104"/>
        <v>17.931339977851604</v>
      </c>
      <c r="AT85" s="100">
        <f t="shared" si="105"/>
        <v>0</v>
      </c>
      <c r="AU85" s="100">
        <f t="shared" si="106"/>
        <v>0</v>
      </c>
      <c r="AV85" s="100">
        <f t="shared" si="107"/>
        <v>0</v>
      </c>
      <c r="AW85" s="100">
        <f t="shared" si="108"/>
        <v>0</v>
      </c>
      <c r="AX85">
        <f t="shared" si="109"/>
        <v>175.99999999999997</v>
      </c>
      <c r="AY85" s="98">
        <f t="shared" si="110"/>
        <v>0</v>
      </c>
      <c r="AZ85" s="98">
        <f t="shared" si="111"/>
        <v>0</v>
      </c>
      <c r="BA85" s="98">
        <f t="shared" si="112"/>
        <v>0</v>
      </c>
      <c r="BB85" s="98">
        <f t="shared" si="113"/>
        <v>0</v>
      </c>
      <c r="BC85" s="98">
        <f t="shared" si="114"/>
        <v>0</v>
      </c>
      <c r="BD85" s="98">
        <f t="shared" si="115"/>
        <v>0</v>
      </c>
      <c r="BE85" s="98">
        <f t="shared" si="116"/>
        <v>2523.1967982771953</v>
      </c>
      <c r="BF85" s="98">
        <f t="shared" si="117"/>
        <v>1872.6851237213559</v>
      </c>
      <c r="BG85" s="98">
        <f t="shared" si="118"/>
        <v>0</v>
      </c>
      <c r="BH85" s="98">
        <f t="shared" si="119"/>
        <v>5913.7424959621767</v>
      </c>
      <c r="BI85" s="98">
        <f t="shared" si="120"/>
        <v>3942.4949973081175</v>
      </c>
      <c r="BJ85" s="98">
        <f t="shared" si="121"/>
        <v>0</v>
      </c>
      <c r="BK85" s="98">
        <f t="shared" si="122"/>
        <v>1734.697798815572</v>
      </c>
      <c r="BL85" s="98">
        <f t="shared" si="123"/>
        <v>0</v>
      </c>
      <c r="BM85" s="98">
        <f t="shared" si="124"/>
        <v>0</v>
      </c>
      <c r="BN85" s="98">
        <f t="shared" si="125"/>
        <v>1813.547698761734</v>
      </c>
      <c r="BO85" s="98">
        <f t="shared" si="126"/>
        <v>0</v>
      </c>
      <c r="BP85" s="98">
        <f t="shared" si="127"/>
        <v>0</v>
      </c>
      <c r="BQ85" s="98">
        <f t="shared" si="128"/>
        <v>0</v>
      </c>
      <c r="BR85" s="98">
        <f t="shared" si="129"/>
        <v>0</v>
      </c>
    </row>
    <row r="86" spans="1:70" x14ac:dyDescent="0.25">
      <c r="A86" t="s">
        <v>54</v>
      </c>
      <c r="B86" t="s">
        <v>10</v>
      </c>
      <c r="C86">
        <v>2025</v>
      </c>
      <c r="D86" s="98">
        <f>INDEX('Reference Sheet'!$G$9:$J$100, MATCH(A86,'Reference Sheet'!$F$9:$F$100,0), MATCH(C86,'Reference Sheet'!$G$8:$J$8,0))/2080</f>
        <v>82.595701923076916</v>
      </c>
      <c r="E86" s="99">
        <f>VLOOKUP(C86,'Reference Sheet'!$A$2:$B$5,2)</f>
        <v>0.22450000000000001</v>
      </c>
      <c r="F86" s="98">
        <f t="shared" si="87"/>
        <v>101.13843700480768</v>
      </c>
      <c r="G86" s="98"/>
      <c r="H86" s="98"/>
      <c r="I86" s="21"/>
      <c r="J86" s="21"/>
      <c r="K86" s="21">
        <v>41</v>
      </c>
      <c r="L86" s="21"/>
      <c r="M86" s="21">
        <v>40.5</v>
      </c>
      <c r="N86" s="21">
        <v>23.75</v>
      </c>
      <c r="O86" s="21"/>
      <c r="P86" s="21">
        <v>37</v>
      </c>
      <c r="Q86" s="21">
        <v>45</v>
      </c>
      <c r="R86" s="21"/>
      <c r="S86" s="21">
        <v>8.5</v>
      </c>
      <c r="T86" s="21"/>
      <c r="U86" s="21"/>
      <c r="V86" s="21">
        <v>31</v>
      </c>
      <c r="W86" s="21"/>
      <c r="X86" s="21"/>
      <c r="Y86" s="21"/>
      <c r="Z86" s="21"/>
      <c r="AA86" s="98">
        <f t="shared" si="86"/>
        <v>226.75</v>
      </c>
      <c r="AB86" s="98">
        <f>IF(OR(B86="",C86=""),"",SUMIFS('Reference Sheet'!$D$9:$D$42,'Reference Sheet'!$A$9:$A$42,C86,'Reference Sheet'!$B$9:$B$42,B86))</f>
        <v>176</v>
      </c>
      <c r="AC86" s="98">
        <f t="shared" si="88"/>
        <v>-50.75</v>
      </c>
      <c r="AD86" s="100">
        <f t="shared" si="89"/>
        <v>0</v>
      </c>
      <c r="AE86" s="100">
        <f t="shared" si="90"/>
        <v>0</v>
      </c>
      <c r="AF86" s="100">
        <f t="shared" si="91"/>
        <v>0</v>
      </c>
      <c r="AG86" s="100">
        <f t="shared" si="92"/>
        <v>0</v>
      </c>
      <c r="AH86" s="100">
        <f t="shared" si="93"/>
        <v>31.823594266813672</v>
      </c>
      <c r="AI86" s="100">
        <f t="shared" si="94"/>
        <v>0</v>
      </c>
      <c r="AJ86" s="100">
        <f t="shared" si="95"/>
        <v>31.435501653803748</v>
      </c>
      <c r="AK86" s="100">
        <f t="shared" si="96"/>
        <v>18.434399117971335</v>
      </c>
      <c r="AL86" s="100">
        <f t="shared" si="97"/>
        <v>0</v>
      </c>
      <c r="AM86" s="100">
        <f t="shared" si="98"/>
        <v>28.718853362734286</v>
      </c>
      <c r="AN86" s="100">
        <f t="shared" si="99"/>
        <v>34.928335170893057</v>
      </c>
      <c r="AO86" s="100">
        <f t="shared" si="100"/>
        <v>0</v>
      </c>
      <c r="AP86" s="100">
        <f t="shared" si="101"/>
        <v>6.5975744211686873</v>
      </c>
      <c r="AQ86" s="100">
        <f t="shared" si="102"/>
        <v>0</v>
      </c>
      <c r="AR86" s="100">
        <f t="shared" si="103"/>
        <v>0</v>
      </c>
      <c r="AS86" s="100">
        <f t="shared" si="104"/>
        <v>24.061742006615212</v>
      </c>
      <c r="AT86" s="100">
        <f t="shared" si="105"/>
        <v>0</v>
      </c>
      <c r="AU86" s="100">
        <f t="shared" si="106"/>
        <v>0</v>
      </c>
      <c r="AV86" s="100">
        <f t="shared" si="107"/>
        <v>0</v>
      </c>
      <c r="AW86" s="100">
        <f t="shared" si="108"/>
        <v>0</v>
      </c>
      <c r="AX86">
        <f t="shared" si="109"/>
        <v>176.00000000000003</v>
      </c>
      <c r="AY86" s="98">
        <f t="shared" si="110"/>
        <v>0</v>
      </c>
      <c r="AZ86" s="98">
        <f t="shared" si="111"/>
        <v>0</v>
      </c>
      <c r="BA86" s="98">
        <f t="shared" si="112"/>
        <v>0</v>
      </c>
      <c r="BB86" s="98">
        <f t="shared" si="113"/>
        <v>0</v>
      </c>
      <c r="BC86" s="98">
        <f t="shared" si="114"/>
        <v>3218.5885840206934</v>
      </c>
      <c r="BD86" s="98">
        <f t="shared" si="115"/>
        <v>0</v>
      </c>
      <c r="BE86" s="98">
        <f t="shared" si="116"/>
        <v>3179.3375037277583</v>
      </c>
      <c r="BF86" s="98">
        <f t="shared" si="117"/>
        <v>1864.4263139144261</v>
      </c>
      <c r="BG86" s="98">
        <f t="shared" si="118"/>
        <v>0</v>
      </c>
      <c r="BH86" s="98">
        <f t="shared" si="119"/>
        <v>2904.5799416772111</v>
      </c>
      <c r="BI86" s="98">
        <f t="shared" si="120"/>
        <v>3532.5972263641761</v>
      </c>
      <c r="BJ86" s="98">
        <f t="shared" si="121"/>
        <v>0</v>
      </c>
      <c r="BK86" s="98">
        <f t="shared" si="122"/>
        <v>667.26836497989984</v>
      </c>
      <c r="BL86" s="98">
        <f t="shared" si="123"/>
        <v>0</v>
      </c>
      <c r="BM86" s="98">
        <f t="shared" si="124"/>
        <v>0</v>
      </c>
      <c r="BN86" s="98">
        <f t="shared" si="125"/>
        <v>2433.5669781619877</v>
      </c>
      <c r="BO86" s="98">
        <f t="shared" si="126"/>
        <v>0</v>
      </c>
      <c r="BP86" s="98">
        <f t="shared" si="127"/>
        <v>0</v>
      </c>
      <c r="BQ86" s="98">
        <f t="shared" si="128"/>
        <v>0</v>
      </c>
      <c r="BR86" s="98">
        <f t="shared" si="129"/>
        <v>0</v>
      </c>
    </row>
    <row r="87" spans="1:70" x14ac:dyDescent="0.25">
      <c r="A87" t="s">
        <v>54</v>
      </c>
      <c r="B87" t="s">
        <v>13</v>
      </c>
      <c r="C87">
        <v>2025</v>
      </c>
      <c r="D87" s="98">
        <f>INDEX('Reference Sheet'!$G$9:$J$100, MATCH(A87,'Reference Sheet'!$F$9:$F$100,0), MATCH(C87,'Reference Sheet'!$G$8:$J$8,0))/2080</f>
        <v>82.595701923076916</v>
      </c>
      <c r="E87" s="99">
        <f>VLOOKUP(C87,'Reference Sheet'!$A$2:$B$5,2)</f>
        <v>0.22450000000000001</v>
      </c>
      <c r="F87" s="98">
        <f t="shared" si="87"/>
        <v>101.13843700480768</v>
      </c>
      <c r="G87" s="98"/>
      <c r="H87" s="98"/>
      <c r="I87" s="21"/>
      <c r="J87" s="21"/>
      <c r="K87" s="21"/>
      <c r="L87" s="21"/>
      <c r="M87" s="21">
        <v>24</v>
      </c>
      <c r="N87" s="21">
        <v>23.75</v>
      </c>
      <c r="O87" s="21"/>
      <c r="P87" s="21">
        <v>75</v>
      </c>
      <c r="Q87" s="21">
        <v>54</v>
      </c>
      <c r="R87" s="21"/>
      <c r="S87" s="21">
        <v>25.5</v>
      </c>
      <c r="T87" s="21"/>
      <c r="U87" s="21"/>
      <c r="V87" s="21">
        <v>25</v>
      </c>
      <c r="W87" s="21"/>
      <c r="X87" s="21"/>
      <c r="Y87" s="21"/>
      <c r="Z87" s="21"/>
      <c r="AA87" s="98">
        <f t="shared" si="86"/>
        <v>227.25</v>
      </c>
      <c r="AB87" s="98">
        <f>IF(OR(B87="",C87=""),"",SUMIFS('Reference Sheet'!$D$9:$D$42,'Reference Sheet'!$A$9:$A$42,C87,'Reference Sheet'!$B$9:$B$42,B87))</f>
        <v>168</v>
      </c>
      <c r="AC87" s="98">
        <f t="shared" si="88"/>
        <v>-59.25</v>
      </c>
      <c r="AD87" s="100">
        <f t="shared" si="89"/>
        <v>0</v>
      </c>
      <c r="AE87" s="100">
        <f t="shared" si="90"/>
        <v>0</v>
      </c>
      <c r="AF87" s="100">
        <f t="shared" si="91"/>
        <v>0</v>
      </c>
      <c r="AG87" s="100">
        <f t="shared" si="92"/>
        <v>0</v>
      </c>
      <c r="AH87" s="100">
        <f t="shared" si="93"/>
        <v>0</v>
      </c>
      <c r="AI87" s="100">
        <f t="shared" si="94"/>
        <v>0</v>
      </c>
      <c r="AJ87" s="100">
        <f t="shared" si="95"/>
        <v>17.742574257425744</v>
      </c>
      <c r="AK87" s="100">
        <f t="shared" si="96"/>
        <v>17.557755775577558</v>
      </c>
      <c r="AL87" s="100">
        <f t="shared" si="97"/>
        <v>0</v>
      </c>
      <c r="AM87" s="100">
        <f t="shared" si="98"/>
        <v>55.445544554455445</v>
      </c>
      <c r="AN87" s="100">
        <f t="shared" si="99"/>
        <v>39.920792079207921</v>
      </c>
      <c r="AO87" s="100">
        <f t="shared" si="100"/>
        <v>0</v>
      </c>
      <c r="AP87" s="100">
        <f t="shared" si="101"/>
        <v>18.85148514851485</v>
      </c>
      <c r="AQ87" s="100">
        <f t="shared" si="102"/>
        <v>0</v>
      </c>
      <c r="AR87" s="100">
        <f t="shared" si="103"/>
        <v>0</v>
      </c>
      <c r="AS87" s="100">
        <f t="shared" si="104"/>
        <v>18.481848184818482</v>
      </c>
      <c r="AT87" s="100">
        <f t="shared" si="105"/>
        <v>0</v>
      </c>
      <c r="AU87" s="100">
        <f t="shared" si="106"/>
        <v>0</v>
      </c>
      <c r="AV87" s="100">
        <f t="shared" si="107"/>
        <v>0</v>
      </c>
      <c r="AW87" s="100">
        <f t="shared" si="108"/>
        <v>0</v>
      </c>
      <c r="AX87">
        <f t="shared" si="109"/>
        <v>168.00000000000003</v>
      </c>
      <c r="AY87" s="98">
        <f t="shared" si="110"/>
        <v>0</v>
      </c>
      <c r="AZ87" s="98">
        <f t="shared" si="111"/>
        <v>0</v>
      </c>
      <c r="BA87" s="98">
        <f t="shared" si="112"/>
        <v>0</v>
      </c>
      <c r="BB87" s="98">
        <f t="shared" si="113"/>
        <v>0</v>
      </c>
      <c r="BC87" s="98">
        <f t="shared" si="114"/>
        <v>0</v>
      </c>
      <c r="BD87" s="98">
        <f t="shared" si="115"/>
        <v>0</v>
      </c>
      <c r="BE87" s="98">
        <f t="shared" si="116"/>
        <v>1794.4562288377761</v>
      </c>
      <c r="BF87" s="98">
        <f t="shared" si="117"/>
        <v>1775.763976454049</v>
      </c>
      <c r="BG87" s="98">
        <f t="shared" si="118"/>
        <v>0</v>
      </c>
      <c r="BH87" s="98">
        <f t="shared" si="119"/>
        <v>5607.67571511805</v>
      </c>
      <c r="BI87" s="98">
        <f t="shared" si="120"/>
        <v>4037.5265148849958</v>
      </c>
      <c r="BJ87" s="98">
        <f t="shared" si="121"/>
        <v>0</v>
      </c>
      <c r="BK87" s="98">
        <f t="shared" si="122"/>
        <v>1906.6097431401367</v>
      </c>
      <c r="BL87" s="98">
        <f t="shared" si="123"/>
        <v>0</v>
      </c>
      <c r="BM87" s="98">
        <f t="shared" si="124"/>
        <v>0</v>
      </c>
      <c r="BN87" s="98">
        <f t="shared" si="125"/>
        <v>1869.2252383726832</v>
      </c>
      <c r="BO87" s="98">
        <f t="shared" si="126"/>
        <v>0</v>
      </c>
      <c r="BP87" s="98">
        <f t="shared" si="127"/>
        <v>0</v>
      </c>
      <c r="BQ87" s="98">
        <f t="shared" si="128"/>
        <v>0</v>
      </c>
      <c r="BR87" s="98">
        <f t="shared" si="129"/>
        <v>0</v>
      </c>
    </row>
    <row r="88" spans="1:70" x14ac:dyDescent="0.25">
      <c r="A88" t="s">
        <v>54</v>
      </c>
      <c r="B88" t="s">
        <v>16</v>
      </c>
      <c r="C88">
        <v>2025</v>
      </c>
      <c r="D88" s="98">
        <f>INDEX('Reference Sheet'!$G$9:$J$100, MATCH(A88,'Reference Sheet'!$F$9:$F$100,0), MATCH(C88,'Reference Sheet'!$G$8:$J$8,0))/2080</f>
        <v>82.595701923076916</v>
      </c>
      <c r="E88" s="99">
        <f>VLOOKUP(C88,'Reference Sheet'!$A$2:$B$5,2)</f>
        <v>0.22450000000000001</v>
      </c>
      <c r="F88" s="98">
        <f t="shared" si="87"/>
        <v>101.13843700480768</v>
      </c>
      <c r="G88" s="98"/>
      <c r="H88" s="98"/>
      <c r="I88" s="21"/>
      <c r="J88" s="21"/>
      <c r="K88" s="21"/>
      <c r="L88" s="21"/>
      <c r="M88" s="21">
        <v>69</v>
      </c>
      <c r="N88" s="21">
        <v>23.75</v>
      </c>
      <c r="O88" s="21"/>
      <c r="P88" s="21">
        <v>95</v>
      </c>
      <c r="Q88" s="21">
        <v>4</v>
      </c>
      <c r="R88" s="21"/>
      <c r="S88" s="21">
        <v>12</v>
      </c>
      <c r="T88" s="21"/>
      <c r="U88" s="21"/>
      <c r="V88" s="21">
        <v>25</v>
      </c>
      <c r="W88" s="21"/>
      <c r="X88" s="21"/>
      <c r="Y88" s="21"/>
      <c r="Z88" s="21"/>
      <c r="AA88" s="98">
        <f t="shared" si="86"/>
        <v>228.75</v>
      </c>
      <c r="AB88" s="98">
        <f>IF(OR(B88="",C88=""),"",SUMIFS('Reference Sheet'!$D$9:$D$42,'Reference Sheet'!$A$9:$A$42,C88,'Reference Sheet'!$B$9:$B$42,B88))</f>
        <v>160</v>
      </c>
      <c r="AC88" s="98">
        <f t="shared" si="88"/>
        <v>-68.75</v>
      </c>
      <c r="AD88" s="100">
        <f t="shared" si="89"/>
        <v>0</v>
      </c>
      <c r="AE88" s="100">
        <f t="shared" si="90"/>
        <v>0</v>
      </c>
      <c r="AF88" s="100">
        <f t="shared" si="91"/>
        <v>0</v>
      </c>
      <c r="AG88" s="100">
        <f t="shared" si="92"/>
        <v>0</v>
      </c>
      <c r="AH88" s="100">
        <f t="shared" si="93"/>
        <v>0</v>
      </c>
      <c r="AI88" s="100">
        <f t="shared" si="94"/>
        <v>0</v>
      </c>
      <c r="AJ88" s="100">
        <f t="shared" si="95"/>
        <v>48.262295081967217</v>
      </c>
      <c r="AK88" s="100">
        <f t="shared" si="96"/>
        <v>16.612021857923498</v>
      </c>
      <c r="AL88" s="100">
        <f t="shared" si="97"/>
        <v>0</v>
      </c>
      <c r="AM88" s="100">
        <f t="shared" si="98"/>
        <v>66.448087431693992</v>
      </c>
      <c r="AN88" s="100">
        <f t="shared" si="99"/>
        <v>2.7978142076502732</v>
      </c>
      <c r="AO88" s="100">
        <f t="shared" si="100"/>
        <v>0</v>
      </c>
      <c r="AP88" s="100">
        <f t="shared" si="101"/>
        <v>8.3934426229508201</v>
      </c>
      <c r="AQ88" s="100">
        <f t="shared" si="102"/>
        <v>0</v>
      </c>
      <c r="AR88" s="100">
        <f t="shared" si="103"/>
        <v>0</v>
      </c>
      <c r="AS88" s="100">
        <f t="shared" si="104"/>
        <v>17.486338797814206</v>
      </c>
      <c r="AT88" s="100">
        <f t="shared" si="105"/>
        <v>0</v>
      </c>
      <c r="AU88" s="100">
        <f t="shared" si="106"/>
        <v>0</v>
      </c>
      <c r="AV88" s="100">
        <f t="shared" si="107"/>
        <v>0</v>
      </c>
      <c r="AW88" s="100">
        <f t="shared" si="108"/>
        <v>0</v>
      </c>
      <c r="AX88">
        <f t="shared" si="109"/>
        <v>160</v>
      </c>
      <c r="AY88" s="98">
        <f t="shared" si="110"/>
        <v>0</v>
      </c>
      <c r="AZ88" s="98">
        <f t="shared" si="111"/>
        <v>0</v>
      </c>
      <c r="BA88" s="98">
        <f t="shared" si="112"/>
        <v>0</v>
      </c>
      <c r="BB88" s="98">
        <f t="shared" si="113"/>
        <v>0</v>
      </c>
      <c r="BC88" s="98">
        <f t="shared" si="114"/>
        <v>0</v>
      </c>
      <c r="BD88" s="98">
        <f t="shared" si="115"/>
        <v>0</v>
      </c>
      <c r="BE88" s="98">
        <f t="shared" si="116"/>
        <v>4881.1730908549807</v>
      </c>
      <c r="BF88" s="98">
        <f t="shared" si="117"/>
        <v>1680.1139262000841</v>
      </c>
      <c r="BG88" s="98">
        <f t="shared" si="118"/>
        <v>0</v>
      </c>
      <c r="BH88" s="98">
        <f t="shared" si="119"/>
        <v>6720.4557048003362</v>
      </c>
      <c r="BI88" s="98">
        <f t="shared" si="120"/>
        <v>282.96655599159311</v>
      </c>
      <c r="BJ88" s="98">
        <f t="shared" si="121"/>
        <v>0</v>
      </c>
      <c r="BK88" s="98">
        <f t="shared" si="122"/>
        <v>848.89966797477928</v>
      </c>
      <c r="BL88" s="98">
        <f t="shared" si="123"/>
        <v>0</v>
      </c>
      <c r="BM88" s="98">
        <f t="shared" si="124"/>
        <v>0</v>
      </c>
      <c r="BN88" s="98">
        <f t="shared" si="125"/>
        <v>1768.5409749474566</v>
      </c>
      <c r="BO88" s="98">
        <f t="shared" si="126"/>
        <v>0</v>
      </c>
      <c r="BP88" s="98">
        <f t="shared" si="127"/>
        <v>0</v>
      </c>
      <c r="BQ88" s="98">
        <f t="shared" si="128"/>
        <v>0</v>
      </c>
      <c r="BR88" s="98">
        <f t="shared" si="129"/>
        <v>0</v>
      </c>
    </row>
    <row r="89" spans="1:70" x14ac:dyDescent="0.25">
      <c r="A89" t="s">
        <v>54</v>
      </c>
      <c r="B89" t="s">
        <v>6</v>
      </c>
      <c r="C89">
        <v>2025</v>
      </c>
      <c r="D89" s="98">
        <f>INDEX('Reference Sheet'!$G$9:$J$100, MATCH(A89,'Reference Sheet'!$F$9:$F$100,0), MATCH(C89,'Reference Sheet'!$G$8:$J$8,0))/2080</f>
        <v>82.595701923076916</v>
      </c>
      <c r="E89" s="99">
        <f>VLOOKUP(C89,'Reference Sheet'!$A$2:$B$5,2)</f>
        <v>0.22450000000000001</v>
      </c>
      <c r="F89" s="98">
        <f t="shared" si="87"/>
        <v>101.13843700480768</v>
      </c>
      <c r="G89" s="98"/>
      <c r="H89" s="98"/>
      <c r="I89" s="21"/>
      <c r="J89" s="21"/>
      <c r="K89" s="21">
        <v>56</v>
      </c>
      <c r="L89" s="21"/>
      <c r="M89" s="21">
        <v>60</v>
      </c>
      <c r="N89" s="21">
        <v>23.75</v>
      </c>
      <c r="O89" s="21"/>
      <c r="P89" s="21"/>
      <c r="Q89" s="21">
        <v>55</v>
      </c>
      <c r="R89" s="21"/>
      <c r="S89" s="21">
        <v>6</v>
      </c>
      <c r="T89" s="21"/>
      <c r="U89" s="21"/>
      <c r="V89" s="21">
        <v>32.5</v>
      </c>
      <c r="W89" s="21"/>
      <c r="X89" s="21"/>
      <c r="Y89" s="21"/>
      <c r="Z89" s="21"/>
      <c r="AA89" s="98">
        <f t="shared" si="86"/>
        <v>233.25</v>
      </c>
      <c r="AB89" s="98">
        <f>IF(OR(B89="",C89=""),"",SUMIFS('Reference Sheet'!$D$9:$D$42,'Reference Sheet'!$A$9:$A$42,C89,'Reference Sheet'!$B$9:$B$42,B89))</f>
        <v>184</v>
      </c>
      <c r="AC89" s="98">
        <f t="shared" si="88"/>
        <v>-49.25</v>
      </c>
      <c r="AD89" s="100">
        <f t="shared" si="89"/>
        <v>0</v>
      </c>
      <c r="AE89" s="100">
        <f t="shared" si="90"/>
        <v>0</v>
      </c>
      <c r="AF89" s="100">
        <f t="shared" si="91"/>
        <v>0</v>
      </c>
      <c r="AG89" s="100">
        <f t="shared" si="92"/>
        <v>0</v>
      </c>
      <c r="AH89" s="100">
        <f t="shared" si="93"/>
        <v>44.175777063236872</v>
      </c>
      <c r="AI89" s="100">
        <f t="shared" si="94"/>
        <v>0</v>
      </c>
      <c r="AJ89" s="100">
        <f t="shared" si="95"/>
        <v>47.331189710610929</v>
      </c>
      <c r="AK89" s="100">
        <f t="shared" si="96"/>
        <v>18.735262593783496</v>
      </c>
      <c r="AL89" s="100">
        <f t="shared" si="97"/>
        <v>0</v>
      </c>
      <c r="AM89" s="100">
        <f t="shared" si="98"/>
        <v>0</v>
      </c>
      <c r="AN89" s="100">
        <f t="shared" si="99"/>
        <v>43.386923901393352</v>
      </c>
      <c r="AO89" s="100">
        <f t="shared" si="100"/>
        <v>0</v>
      </c>
      <c r="AP89" s="100">
        <f t="shared" si="101"/>
        <v>4.733118971061093</v>
      </c>
      <c r="AQ89" s="100">
        <f t="shared" si="102"/>
        <v>0</v>
      </c>
      <c r="AR89" s="100">
        <f t="shared" si="103"/>
        <v>0</v>
      </c>
      <c r="AS89" s="100">
        <f t="shared" si="104"/>
        <v>25.637727759914252</v>
      </c>
      <c r="AT89" s="100">
        <f t="shared" si="105"/>
        <v>0</v>
      </c>
      <c r="AU89" s="100">
        <f t="shared" si="106"/>
        <v>0</v>
      </c>
      <c r="AV89" s="100">
        <f t="shared" si="107"/>
        <v>0</v>
      </c>
      <c r="AW89" s="100">
        <f t="shared" si="108"/>
        <v>0</v>
      </c>
      <c r="AX89">
        <f t="shared" si="109"/>
        <v>183.99999999999997</v>
      </c>
      <c r="AY89" s="98">
        <f t="shared" si="110"/>
        <v>0</v>
      </c>
      <c r="AZ89" s="98">
        <f t="shared" si="111"/>
        <v>0</v>
      </c>
      <c r="BA89" s="98">
        <f t="shared" si="112"/>
        <v>0</v>
      </c>
      <c r="BB89" s="98">
        <f t="shared" si="113"/>
        <v>0</v>
      </c>
      <c r="BC89" s="98">
        <f t="shared" si="114"/>
        <v>4467.8690456486102</v>
      </c>
      <c r="BD89" s="98">
        <f t="shared" si="115"/>
        <v>0</v>
      </c>
      <c r="BE89" s="98">
        <f t="shared" si="116"/>
        <v>4787.002548909225</v>
      </c>
      <c r="BF89" s="98">
        <f t="shared" si="117"/>
        <v>1894.8551756099018</v>
      </c>
      <c r="BG89" s="98">
        <f t="shared" si="118"/>
        <v>0</v>
      </c>
      <c r="BH89" s="98">
        <f t="shared" si="119"/>
        <v>0</v>
      </c>
      <c r="BI89" s="98">
        <f t="shared" si="120"/>
        <v>4388.0856698334564</v>
      </c>
      <c r="BJ89" s="98">
        <f t="shared" si="121"/>
        <v>0</v>
      </c>
      <c r="BK89" s="98">
        <f t="shared" si="122"/>
        <v>478.70025489092251</v>
      </c>
      <c r="BL89" s="98">
        <f t="shared" si="123"/>
        <v>0</v>
      </c>
      <c r="BM89" s="98">
        <f t="shared" si="124"/>
        <v>0</v>
      </c>
      <c r="BN89" s="98">
        <f t="shared" si="125"/>
        <v>2592.9597139924967</v>
      </c>
      <c r="BO89" s="98">
        <f t="shared" si="126"/>
        <v>0</v>
      </c>
      <c r="BP89" s="98">
        <f t="shared" si="127"/>
        <v>0</v>
      </c>
      <c r="BQ89" s="98">
        <f t="shared" si="128"/>
        <v>0</v>
      </c>
      <c r="BR89" s="98">
        <f t="shared" si="129"/>
        <v>0</v>
      </c>
    </row>
    <row r="90" spans="1:70" x14ac:dyDescent="0.25">
      <c r="A90" t="s">
        <v>54</v>
      </c>
      <c r="B90" t="s">
        <v>17</v>
      </c>
      <c r="C90">
        <v>2025</v>
      </c>
      <c r="D90" s="98">
        <f>INDEX('Reference Sheet'!$G$9:$J$100, MATCH(A90,'Reference Sheet'!$F$9:$F$100,0), MATCH(C90,'Reference Sheet'!$G$8:$J$8,0))/2080</f>
        <v>82.595701923076916</v>
      </c>
      <c r="E90" s="99">
        <f>VLOOKUP(C90,'Reference Sheet'!$A$2:$B$5,2)</f>
        <v>0.22450000000000001</v>
      </c>
      <c r="F90" s="98">
        <f t="shared" si="87"/>
        <v>101.13843700480768</v>
      </c>
      <c r="G90" s="98"/>
      <c r="H90" s="98"/>
      <c r="I90" s="21"/>
      <c r="J90" s="21"/>
      <c r="K90" s="21"/>
      <c r="L90" s="21"/>
      <c r="M90" s="21">
        <v>80</v>
      </c>
      <c r="N90" s="21">
        <v>23.75</v>
      </c>
      <c r="O90" s="21"/>
      <c r="P90" s="21">
        <v>90</v>
      </c>
      <c r="Q90" s="21">
        <v>4</v>
      </c>
      <c r="R90" s="21"/>
      <c r="S90" s="21">
        <v>12</v>
      </c>
      <c r="T90" s="21"/>
      <c r="U90" s="21"/>
      <c r="V90" s="21">
        <v>25</v>
      </c>
      <c r="W90" s="21"/>
      <c r="X90" s="21"/>
      <c r="Y90" s="21"/>
      <c r="Z90" s="21"/>
      <c r="AA90" s="98">
        <f t="shared" si="86"/>
        <v>234.75</v>
      </c>
      <c r="AB90" s="98">
        <f>IF(OR(B90="",C90=""),"",SUMIFS('Reference Sheet'!$D$9:$D$42,'Reference Sheet'!$A$9:$A$42,C90,'Reference Sheet'!$B$9:$B$42,B90))</f>
        <v>184</v>
      </c>
      <c r="AC90" s="98">
        <f t="shared" si="88"/>
        <v>-50.75</v>
      </c>
      <c r="AD90" s="100">
        <f t="shared" si="89"/>
        <v>0</v>
      </c>
      <c r="AE90" s="100">
        <f t="shared" si="90"/>
        <v>0</v>
      </c>
      <c r="AF90" s="100">
        <f t="shared" si="91"/>
        <v>0</v>
      </c>
      <c r="AG90" s="100">
        <f t="shared" si="92"/>
        <v>0</v>
      </c>
      <c r="AH90" s="100">
        <f t="shared" si="93"/>
        <v>0</v>
      </c>
      <c r="AI90" s="100">
        <f t="shared" si="94"/>
        <v>0</v>
      </c>
      <c r="AJ90" s="100">
        <f t="shared" si="95"/>
        <v>62.705005324813634</v>
      </c>
      <c r="AK90" s="100">
        <f t="shared" si="96"/>
        <v>18.615548455804046</v>
      </c>
      <c r="AL90" s="100">
        <f t="shared" si="97"/>
        <v>0</v>
      </c>
      <c r="AM90" s="100">
        <f t="shared" si="98"/>
        <v>70.543130990415335</v>
      </c>
      <c r="AN90" s="100">
        <f t="shared" si="99"/>
        <v>3.135250266240682</v>
      </c>
      <c r="AO90" s="100">
        <f t="shared" si="100"/>
        <v>0</v>
      </c>
      <c r="AP90" s="100">
        <f t="shared" si="101"/>
        <v>9.4057507987220443</v>
      </c>
      <c r="AQ90" s="100">
        <f t="shared" si="102"/>
        <v>0</v>
      </c>
      <c r="AR90" s="100">
        <f t="shared" si="103"/>
        <v>0</v>
      </c>
      <c r="AS90" s="100">
        <f t="shared" si="104"/>
        <v>19.595314164004261</v>
      </c>
      <c r="AT90" s="100">
        <f t="shared" si="105"/>
        <v>0</v>
      </c>
      <c r="AU90" s="100">
        <f t="shared" si="106"/>
        <v>0</v>
      </c>
      <c r="AV90" s="100">
        <f t="shared" si="107"/>
        <v>0</v>
      </c>
      <c r="AW90" s="100">
        <f t="shared" si="108"/>
        <v>0</v>
      </c>
      <c r="AX90">
        <f t="shared" si="109"/>
        <v>184</v>
      </c>
      <c r="AY90" s="98">
        <f t="shared" si="110"/>
        <v>0</v>
      </c>
      <c r="AZ90" s="98">
        <f t="shared" si="111"/>
        <v>0</v>
      </c>
      <c r="BA90" s="98">
        <f t="shared" si="112"/>
        <v>0</v>
      </c>
      <c r="BB90" s="98">
        <f t="shared" si="113"/>
        <v>0</v>
      </c>
      <c r="BC90" s="98">
        <f t="shared" si="114"/>
        <v>0</v>
      </c>
      <c r="BD90" s="98">
        <f t="shared" si="115"/>
        <v>0</v>
      </c>
      <c r="BE90" s="98">
        <f t="shared" si="116"/>
        <v>6341.8862309297938</v>
      </c>
      <c r="BF90" s="98">
        <f t="shared" si="117"/>
        <v>1882.7474748072825</v>
      </c>
      <c r="BG90" s="98">
        <f t="shared" si="118"/>
        <v>0</v>
      </c>
      <c r="BH90" s="98">
        <f t="shared" si="119"/>
        <v>7134.6220097960177</v>
      </c>
      <c r="BI90" s="98">
        <f t="shared" si="120"/>
        <v>317.09431154648973</v>
      </c>
      <c r="BJ90" s="98">
        <f t="shared" si="121"/>
        <v>0</v>
      </c>
      <c r="BK90" s="98">
        <f t="shared" si="122"/>
        <v>951.28293463946909</v>
      </c>
      <c r="BL90" s="98">
        <f t="shared" si="123"/>
        <v>0</v>
      </c>
      <c r="BM90" s="98">
        <f t="shared" si="124"/>
        <v>0</v>
      </c>
      <c r="BN90" s="98">
        <f t="shared" si="125"/>
        <v>1981.8394471655606</v>
      </c>
      <c r="BO90" s="98">
        <f t="shared" si="126"/>
        <v>0</v>
      </c>
      <c r="BP90" s="98">
        <f t="shared" si="127"/>
        <v>0</v>
      </c>
      <c r="BQ90" s="98">
        <f t="shared" si="128"/>
        <v>0</v>
      </c>
      <c r="BR90" s="98">
        <f t="shared" si="129"/>
        <v>0</v>
      </c>
    </row>
    <row r="91" spans="1:70" x14ac:dyDescent="0.25">
      <c r="A91" t="s">
        <v>54</v>
      </c>
      <c r="B91" t="s">
        <v>15</v>
      </c>
      <c r="C91">
        <v>2025</v>
      </c>
      <c r="D91" s="98">
        <f>INDEX('Reference Sheet'!$G$9:$J$100, MATCH(A91,'Reference Sheet'!$F$9:$F$100,0), MATCH(C91,'Reference Sheet'!$G$8:$J$8,0))/2080</f>
        <v>82.595701923076916</v>
      </c>
      <c r="E91" s="99">
        <f>VLOOKUP(C91,'Reference Sheet'!$A$2:$B$5,2)</f>
        <v>0.22450000000000001</v>
      </c>
      <c r="F91" s="98">
        <f t="shared" si="87"/>
        <v>101.13843700480768</v>
      </c>
      <c r="G91" s="98"/>
      <c r="H91" s="98"/>
      <c r="I91" s="21"/>
      <c r="J91" s="21"/>
      <c r="K91" s="21"/>
      <c r="L91" s="21"/>
      <c r="M91" s="21">
        <v>62</v>
      </c>
      <c r="N91" s="21">
        <v>23.75</v>
      </c>
      <c r="O91" s="21"/>
      <c r="P91" s="21">
        <v>95</v>
      </c>
      <c r="Q91" s="21">
        <v>4</v>
      </c>
      <c r="R91" s="21"/>
      <c r="S91" s="21">
        <v>22</v>
      </c>
      <c r="T91" s="21"/>
      <c r="U91" s="21"/>
      <c r="V91" s="21">
        <v>32</v>
      </c>
      <c r="W91" s="21"/>
      <c r="X91" s="21"/>
      <c r="Y91" s="21"/>
      <c r="Z91" s="21"/>
      <c r="AA91" s="98">
        <f t="shared" si="86"/>
        <v>238.75</v>
      </c>
      <c r="AB91" s="98">
        <f>IF(OR(B91="",C91=""),"",SUMIFS('Reference Sheet'!$D$9:$D$42,'Reference Sheet'!$A$9:$A$42,C91,'Reference Sheet'!$B$9:$B$42,B91))</f>
        <v>184</v>
      </c>
      <c r="AC91" s="98">
        <f t="shared" si="88"/>
        <v>-54.75</v>
      </c>
      <c r="AD91" s="100">
        <f t="shared" si="89"/>
        <v>0</v>
      </c>
      <c r="AE91" s="100">
        <f t="shared" si="90"/>
        <v>0</v>
      </c>
      <c r="AF91" s="100">
        <f t="shared" si="91"/>
        <v>0</v>
      </c>
      <c r="AG91" s="100">
        <f t="shared" si="92"/>
        <v>0</v>
      </c>
      <c r="AH91" s="100">
        <f t="shared" si="93"/>
        <v>0</v>
      </c>
      <c r="AI91" s="100">
        <f t="shared" si="94"/>
        <v>0</v>
      </c>
      <c r="AJ91" s="100">
        <f t="shared" si="95"/>
        <v>47.782198952879583</v>
      </c>
      <c r="AK91" s="100">
        <f t="shared" si="96"/>
        <v>18.303664921465966</v>
      </c>
      <c r="AL91" s="100">
        <f t="shared" si="97"/>
        <v>0</v>
      </c>
      <c r="AM91" s="100">
        <f t="shared" si="98"/>
        <v>73.214659685863865</v>
      </c>
      <c r="AN91" s="100">
        <f t="shared" si="99"/>
        <v>3.0827225130890055</v>
      </c>
      <c r="AO91" s="100">
        <f t="shared" si="100"/>
        <v>0</v>
      </c>
      <c r="AP91" s="100">
        <f t="shared" si="101"/>
        <v>16.95497382198953</v>
      </c>
      <c r="AQ91" s="100">
        <f t="shared" si="102"/>
        <v>0</v>
      </c>
      <c r="AR91" s="100">
        <f t="shared" si="103"/>
        <v>0</v>
      </c>
      <c r="AS91" s="100">
        <f t="shared" si="104"/>
        <v>24.661780104712044</v>
      </c>
      <c r="AT91" s="100">
        <f t="shared" si="105"/>
        <v>0</v>
      </c>
      <c r="AU91" s="100">
        <f t="shared" si="106"/>
        <v>0</v>
      </c>
      <c r="AV91" s="100">
        <f t="shared" si="107"/>
        <v>0</v>
      </c>
      <c r="AW91" s="100">
        <f t="shared" si="108"/>
        <v>0</v>
      </c>
      <c r="AX91">
        <f t="shared" si="109"/>
        <v>184</v>
      </c>
      <c r="AY91" s="98">
        <f t="shared" si="110"/>
        <v>0</v>
      </c>
      <c r="AZ91" s="98">
        <f t="shared" si="111"/>
        <v>0</v>
      </c>
      <c r="BA91" s="98">
        <f t="shared" si="112"/>
        <v>0</v>
      </c>
      <c r="BB91" s="98">
        <f t="shared" si="113"/>
        <v>0</v>
      </c>
      <c r="BC91" s="98">
        <f t="shared" si="114"/>
        <v>0</v>
      </c>
      <c r="BD91" s="98">
        <f t="shared" si="115"/>
        <v>0</v>
      </c>
      <c r="BE91" s="98">
        <f t="shared" si="116"/>
        <v>4832.6169187469995</v>
      </c>
      <c r="BF91" s="98">
        <f t="shared" si="117"/>
        <v>1851.2040616167938</v>
      </c>
      <c r="BG91" s="98">
        <f t="shared" si="118"/>
        <v>0</v>
      </c>
      <c r="BH91" s="98">
        <f t="shared" si="119"/>
        <v>7404.816246467175</v>
      </c>
      <c r="BI91" s="98">
        <f t="shared" si="120"/>
        <v>311.78173669335479</v>
      </c>
      <c r="BJ91" s="98">
        <f t="shared" si="121"/>
        <v>0</v>
      </c>
      <c r="BK91" s="98">
        <f t="shared" si="122"/>
        <v>1714.7995518134514</v>
      </c>
      <c r="BL91" s="98">
        <f t="shared" si="123"/>
        <v>0</v>
      </c>
      <c r="BM91" s="98">
        <f t="shared" si="124"/>
        <v>0</v>
      </c>
      <c r="BN91" s="98">
        <f t="shared" si="125"/>
        <v>2494.2538935468383</v>
      </c>
      <c r="BO91" s="98">
        <f t="shared" si="126"/>
        <v>0</v>
      </c>
      <c r="BP91" s="98">
        <f t="shared" si="127"/>
        <v>0</v>
      </c>
      <c r="BQ91" s="98">
        <f t="shared" si="128"/>
        <v>0</v>
      </c>
      <c r="BR91" s="98">
        <f t="shared" si="129"/>
        <v>0</v>
      </c>
    </row>
    <row r="92" spans="1:70" x14ac:dyDescent="0.25">
      <c r="A92" t="s">
        <v>54</v>
      </c>
      <c r="B92" t="s">
        <v>7</v>
      </c>
      <c r="C92">
        <v>2026</v>
      </c>
      <c r="D92" s="98">
        <f>INDEX('Reference Sheet'!$G$9:$J$100, MATCH(A92,'Reference Sheet'!$F$9:$F$100,0), MATCH(C92,'Reference Sheet'!$G$8:$J$8,0))/2080</f>
        <v>91.165865384615387</v>
      </c>
      <c r="E92" s="99">
        <f>VLOOKUP(C92,'Reference Sheet'!$A$2:$B$5,2)</f>
        <v>0.23630000000000001</v>
      </c>
      <c r="F92" s="98">
        <f t="shared" si="87"/>
        <v>112.708359375</v>
      </c>
      <c r="G92" s="98"/>
      <c r="H92" s="98"/>
      <c r="I92" s="21"/>
      <c r="J92" s="21"/>
      <c r="K92" s="21"/>
      <c r="L92" s="21"/>
      <c r="M92" s="21">
        <v>52</v>
      </c>
      <c r="N92" s="21"/>
      <c r="O92" s="21"/>
      <c r="P92" s="21">
        <v>90</v>
      </c>
      <c r="Q92" s="21"/>
      <c r="R92" s="21"/>
      <c r="S92" s="21">
        <v>19</v>
      </c>
      <c r="T92" s="21"/>
      <c r="U92" s="21"/>
      <c r="V92" s="21">
        <v>28</v>
      </c>
      <c r="W92" s="21"/>
      <c r="X92" s="21"/>
      <c r="Y92" s="21"/>
      <c r="Z92" s="21"/>
      <c r="AA92" s="98">
        <f t="shared" si="86"/>
        <v>189</v>
      </c>
      <c r="AB92" s="98">
        <f>IF(OR(B92="",C92=""),"",SUMIFS('Reference Sheet'!$D$9:$D$42,'Reference Sheet'!$A$9:$A$42,C92,'Reference Sheet'!$B$9:$B$42,B92))</f>
        <v>160</v>
      </c>
      <c r="AC92" s="98">
        <f t="shared" si="88"/>
        <v>-29</v>
      </c>
      <c r="AD92" s="100">
        <f t="shared" si="89"/>
        <v>0</v>
      </c>
      <c r="AE92" s="100">
        <f t="shared" si="90"/>
        <v>0</v>
      </c>
      <c r="AF92" s="100">
        <f t="shared" si="91"/>
        <v>0</v>
      </c>
      <c r="AG92" s="100">
        <f t="shared" si="92"/>
        <v>0</v>
      </c>
      <c r="AH92" s="100">
        <f t="shared" si="93"/>
        <v>0</v>
      </c>
      <c r="AI92" s="100">
        <f t="shared" si="94"/>
        <v>0</v>
      </c>
      <c r="AJ92" s="100">
        <f t="shared" si="95"/>
        <v>44.021164021164019</v>
      </c>
      <c r="AK92" s="100">
        <f t="shared" si="96"/>
        <v>0</v>
      </c>
      <c r="AL92" s="100">
        <f t="shared" si="97"/>
        <v>0</v>
      </c>
      <c r="AM92" s="100">
        <f t="shared" si="98"/>
        <v>76.19047619047619</v>
      </c>
      <c r="AN92" s="100">
        <f t="shared" si="99"/>
        <v>0</v>
      </c>
      <c r="AO92" s="100">
        <f t="shared" si="100"/>
        <v>0</v>
      </c>
      <c r="AP92" s="100">
        <f t="shared" si="101"/>
        <v>16.084656084656082</v>
      </c>
      <c r="AQ92" s="100">
        <f t="shared" si="102"/>
        <v>0</v>
      </c>
      <c r="AR92" s="100">
        <f t="shared" si="103"/>
        <v>0</v>
      </c>
      <c r="AS92" s="100">
        <f t="shared" si="104"/>
        <v>23.703703703703702</v>
      </c>
      <c r="AT92" s="100">
        <f t="shared" si="105"/>
        <v>0</v>
      </c>
      <c r="AU92" s="100">
        <f t="shared" si="106"/>
        <v>0</v>
      </c>
      <c r="AV92" s="100">
        <f t="shared" si="107"/>
        <v>0</v>
      </c>
      <c r="AW92" s="100">
        <f t="shared" si="108"/>
        <v>0</v>
      </c>
      <c r="AX92">
        <f t="shared" si="109"/>
        <v>159.99999999999997</v>
      </c>
      <c r="AY92" s="98">
        <f t="shared" si="110"/>
        <v>0</v>
      </c>
      <c r="AZ92" s="98">
        <f t="shared" si="111"/>
        <v>0</v>
      </c>
      <c r="BA92" s="98">
        <f t="shared" si="112"/>
        <v>0</v>
      </c>
      <c r="BB92" s="98">
        <f t="shared" si="113"/>
        <v>0</v>
      </c>
      <c r="BC92" s="98">
        <f t="shared" si="114"/>
        <v>0</v>
      </c>
      <c r="BD92" s="98">
        <f t="shared" si="115"/>
        <v>0</v>
      </c>
      <c r="BE92" s="98">
        <f t="shared" si="116"/>
        <v>4961.5531746031747</v>
      </c>
      <c r="BF92" s="98">
        <f t="shared" si="117"/>
        <v>0</v>
      </c>
      <c r="BG92" s="98">
        <f t="shared" si="118"/>
        <v>0</v>
      </c>
      <c r="BH92" s="98">
        <f t="shared" si="119"/>
        <v>8587.3035714285706</v>
      </c>
      <c r="BI92" s="98">
        <f t="shared" si="120"/>
        <v>0</v>
      </c>
      <c r="BJ92" s="98">
        <f t="shared" si="121"/>
        <v>0</v>
      </c>
      <c r="BK92" s="98">
        <f t="shared" si="122"/>
        <v>1812.8751984126982</v>
      </c>
      <c r="BL92" s="98">
        <f t="shared" si="123"/>
        <v>0</v>
      </c>
      <c r="BM92" s="98">
        <f t="shared" si="124"/>
        <v>0</v>
      </c>
      <c r="BN92" s="98">
        <f t="shared" si="125"/>
        <v>2671.6055555555554</v>
      </c>
      <c r="BO92" s="98">
        <f t="shared" si="126"/>
        <v>0</v>
      </c>
      <c r="BP92" s="98">
        <f t="shared" si="127"/>
        <v>0</v>
      </c>
      <c r="BQ92" s="98">
        <f t="shared" si="128"/>
        <v>0</v>
      </c>
      <c r="BR92" s="98">
        <f t="shared" si="129"/>
        <v>0</v>
      </c>
    </row>
    <row r="93" spans="1:70" x14ac:dyDescent="0.25">
      <c r="A93" t="s">
        <v>54</v>
      </c>
      <c r="B93" t="s">
        <v>8</v>
      </c>
      <c r="C93">
        <v>2026</v>
      </c>
      <c r="D93" s="98">
        <f>INDEX('Reference Sheet'!$G$9:$J$100, MATCH(A93,'Reference Sheet'!$F$9:$F$100,0), MATCH(C93,'Reference Sheet'!$G$8:$J$8,0))/2080</f>
        <v>91.165865384615387</v>
      </c>
      <c r="E93" s="99">
        <f>VLOOKUP(C93,'Reference Sheet'!$A$2:$B$5,2)</f>
        <v>0.23630000000000001</v>
      </c>
      <c r="F93" s="98">
        <f t="shared" si="87"/>
        <v>112.708359375</v>
      </c>
      <c r="G93" s="98"/>
      <c r="H93" s="98"/>
      <c r="I93" s="21"/>
      <c r="J93" s="21"/>
      <c r="K93" s="21"/>
      <c r="L93" s="21"/>
      <c r="M93" s="21">
        <v>54</v>
      </c>
      <c r="N93" s="21"/>
      <c r="O93" s="21"/>
      <c r="P93" s="21">
        <v>90</v>
      </c>
      <c r="Q93" s="21"/>
      <c r="R93" s="21"/>
      <c r="S93" s="21">
        <v>12</v>
      </c>
      <c r="T93" s="21"/>
      <c r="U93" s="21"/>
      <c r="V93" s="21">
        <v>33</v>
      </c>
      <c r="W93" s="21"/>
      <c r="X93" s="21"/>
      <c r="Y93" s="21"/>
      <c r="Z93" s="21"/>
      <c r="AA93" s="98">
        <f t="shared" si="86"/>
        <v>189</v>
      </c>
      <c r="AB93" s="98">
        <f>IF(OR(B93="",C93=""),"",SUMIFS('Reference Sheet'!$D$9:$D$42,'Reference Sheet'!$A$9:$A$42,C93,'Reference Sheet'!$B$9:$B$42,B93))</f>
        <v>176</v>
      </c>
      <c r="AC93" s="98">
        <f t="shared" si="88"/>
        <v>-13</v>
      </c>
      <c r="AD93" s="100">
        <f t="shared" si="89"/>
        <v>0</v>
      </c>
      <c r="AE93" s="100">
        <f t="shared" si="90"/>
        <v>0</v>
      </c>
      <c r="AF93" s="100">
        <f t="shared" si="91"/>
        <v>0</v>
      </c>
      <c r="AG93" s="100">
        <f t="shared" si="92"/>
        <v>0</v>
      </c>
      <c r="AH93" s="100">
        <f t="shared" si="93"/>
        <v>0</v>
      </c>
      <c r="AI93" s="100">
        <f t="shared" si="94"/>
        <v>0</v>
      </c>
      <c r="AJ93" s="100">
        <f t="shared" si="95"/>
        <v>50.285714285714285</v>
      </c>
      <c r="AK93" s="100">
        <f t="shared" si="96"/>
        <v>0</v>
      </c>
      <c r="AL93" s="100">
        <f t="shared" si="97"/>
        <v>0</v>
      </c>
      <c r="AM93" s="100">
        <f t="shared" si="98"/>
        <v>83.80952380952381</v>
      </c>
      <c r="AN93" s="100">
        <f t="shared" si="99"/>
        <v>0</v>
      </c>
      <c r="AO93" s="100">
        <f t="shared" si="100"/>
        <v>0</v>
      </c>
      <c r="AP93" s="100">
        <f t="shared" si="101"/>
        <v>11.174603174603174</v>
      </c>
      <c r="AQ93" s="100">
        <f t="shared" si="102"/>
        <v>0</v>
      </c>
      <c r="AR93" s="100">
        <f t="shared" si="103"/>
        <v>0</v>
      </c>
      <c r="AS93" s="100">
        <f t="shared" si="104"/>
        <v>30.730158730158728</v>
      </c>
      <c r="AT93" s="100">
        <f t="shared" si="105"/>
        <v>0</v>
      </c>
      <c r="AU93" s="100">
        <f t="shared" si="106"/>
        <v>0</v>
      </c>
      <c r="AV93" s="100">
        <f t="shared" si="107"/>
        <v>0</v>
      </c>
      <c r="AW93" s="100">
        <f t="shared" si="108"/>
        <v>0</v>
      </c>
      <c r="AX93">
        <f t="shared" si="109"/>
        <v>176</v>
      </c>
      <c r="AY93" s="98">
        <f t="shared" si="110"/>
        <v>0</v>
      </c>
      <c r="AZ93" s="98">
        <f t="shared" si="111"/>
        <v>0</v>
      </c>
      <c r="BA93" s="98">
        <f t="shared" si="112"/>
        <v>0</v>
      </c>
      <c r="BB93" s="98">
        <f t="shared" si="113"/>
        <v>0</v>
      </c>
      <c r="BC93" s="98">
        <f t="shared" si="114"/>
        <v>0</v>
      </c>
      <c r="BD93" s="98">
        <f t="shared" si="115"/>
        <v>0</v>
      </c>
      <c r="BE93" s="98">
        <f t="shared" si="116"/>
        <v>5667.6203571428568</v>
      </c>
      <c r="BF93" s="98">
        <f t="shared" si="117"/>
        <v>0</v>
      </c>
      <c r="BG93" s="98">
        <f t="shared" si="118"/>
        <v>0</v>
      </c>
      <c r="BH93" s="98">
        <f t="shared" si="119"/>
        <v>9446.033928571429</v>
      </c>
      <c r="BI93" s="98">
        <f t="shared" si="120"/>
        <v>0</v>
      </c>
      <c r="BJ93" s="98">
        <f t="shared" si="121"/>
        <v>0</v>
      </c>
      <c r="BK93" s="98">
        <f t="shared" si="122"/>
        <v>1259.4711904761905</v>
      </c>
      <c r="BL93" s="98">
        <f t="shared" si="123"/>
        <v>0</v>
      </c>
      <c r="BM93" s="98">
        <f t="shared" si="124"/>
        <v>0</v>
      </c>
      <c r="BN93" s="98">
        <f t="shared" si="125"/>
        <v>3463.5457738095233</v>
      </c>
      <c r="BO93" s="98">
        <f t="shared" si="126"/>
        <v>0</v>
      </c>
      <c r="BP93" s="98">
        <f t="shared" si="127"/>
        <v>0</v>
      </c>
      <c r="BQ93" s="98">
        <f t="shared" si="128"/>
        <v>0</v>
      </c>
      <c r="BR93" s="98">
        <f t="shared" si="129"/>
        <v>0</v>
      </c>
    </row>
    <row r="94" spans="1:70" x14ac:dyDescent="0.25">
      <c r="A94" t="s">
        <v>54</v>
      </c>
      <c r="B94" t="s">
        <v>11</v>
      </c>
      <c r="C94">
        <v>2026</v>
      </c>
      <c r="D94" s="98">
        <f>INDEX('Reference Sheet'!$G$9:$J$100, MATCH(A94,'Reference Sheet'!$F$9:$F$100,0), MATCH(C94,'Reference Sheet'!$G$8:$J$8,0))/2080</f>
        <v>91.165865384615387</v>
      </c>
      <c r="E94" s="99">
        <f>VLOOKUP(C94,'Reference Sheet'!$A$2:$B$5,2)</f>
        <v>0.23630000000000001</v>
      </c>
      <c r="F94" s="98">
        <f t="shared" si="87"/>
        <v>112.708359375</v>
      </c>
      <c r="G94" s="98"/>
      <c r="H94" s="98"/>
      <c r="I94" s="21"/>
      <c r="J94" s="21"/>
      <c r="K94" s="21"/>
      <c r="L94" s="21"/>
      <c r="M94" s="21">
        <v>35</v>
      </c>
      <c r="N94" s="21"/>
      <c r="O94" s="21"/>
      <c r="P94" s="21">
        <v>120</v>
      </c>
      <c r="Q94" s="21"/>
      <c r="R94" s="21"/>
      <c r="S94" s="21">
        <v>10</v>
      </c>
      <c r="T94" s="21"/>
      <c r="U94" s="21"/>
      <c r="V94" s="21">
        <v>24</v>
      </c>
      <c r="W94" s="21"/>
      <c r="X94" s="21"/>
      <c r="Y94" s="21"/>
      <c r="Z94" s="21"/>
      <c r="AA94" s="98">
        <f t="shared" si="86"/>
        <v>189</v>
      </c>
      <c r="AB94" s="98">
        <f>IF(OR(B94="",C94=""),"",SUMIFS('Reference Sheet'!$D$9:$D$42,'Reference Sheet'!$A$9:$A$42,C94,'Reference Sheet'!$B$9:$B$42,B94))</f>
        <v>176</v>
      </c>
      <c r="AC94" s="98">
        <f t="shared" si="88"/>
        <v>-13</v>
      </c>
      <c r="AD94" s="100">
        <f t="shared" si="89"/>
        <v>0</v>
      </c>
      <c r="AE94" s="100">
        <f t="shared" si="90"/>
        <v>0</v>
      </c>
      <c r="AF94" s="100">
        <f t="shared" si="91"/>
        <v>0</v>
      </c>
      <c r="AG94" s="100">
        <f t="shared" si="92"/>
        <v>0</v>
      </c>
      <c r="AH94" s="100">
        <f t="shared" si="93"/>
        <v>0</v>
      </c>
      <c r="AI94" s="100">
        <f t="shared" si="94"/>
        <v>0</v>
      </c>
      <c r="AJ94" s="100">
        <f t="shared" si="95"/>
        <v>32.592592592592588</v>
      </c>
      <c r="AK94" s="100">
        <f t="shared" si="96"/>
        <v>0</v>
      </c>
      <c r="AL94" s="100">
        <f t="shared" si="97"/>
        <v>0</v>
      </c>
      <c r="AM94" s="100">
        <f t="shared" si="98"/>
        <v>111.74603174603175</v>
      </c>
      <c r="AN94" s="100">
        <f t="shared" si="99"/>
        <v>0</v>
      </c>
      <c r="AO94" s="100">
        <f t="shared" si="100"/>
        <v>0</v>
      </c>
      <c r="AP94" s="100">
        <f t="shared" si="101"/>
        <v>9.3121693121693117</v>
      </c>
      <c r="AQ94" s="100">
        <f t="shared" si="102"/>
        <v>0</v>
      </c>
      <c r="AR94" s="100">
        <f t="shared" si="103"/>
        <v>0</v>
      </c>
      <c r="AS94" s="100">
        <f t="shared" si="104"/>
        <v>22.349206349206348</v>
      </c>
      <c r="AT94" s="100">
        <f t="shared" si="105"/>
        <v>0</v>
      </c>
      <c r="AU94" s="100">
        <f t="shared" si="106"/>
        <v>0</v>
      </c>
      <c r="AV94" s="100">
        <f t="shared" si="107"/>
        <v>0</v>
      </c>
      <c r="AW94" s="100">
        <f t="shared" si="108"/>
        <v>0</v>
      </c>
      <c r="AX94">
        <f t="shared" si="109"/>
        <v>176</v>
      </c>
      <c r="AY94" s="98">
        <f t="shared" si="110"/>
        <v>0</v>
      </c>
      <c r="AZ94" s="98">
        <f t="shared" si="111"/>
        <v>0</v>
      </c>
      <c r="BA94" s="98">
        <f t="shared" si="112"/>
        <v>0</v>
      </c>
      <c r="BB94" s="98">
        <f t="shared" si="113"/>
        <v>0</v>
      </c>
      <c r="BC94" s="98">
        <f t="shared" si="114"/>
        <v>0</v>
      </c>
      <c r="BD94" s="98">
        <f t="shared" si="115"/>
        <v>0</v>
      </c>
      <c r="BE94" s="98">
        <f t="shared" si="116"/>
        <v>3673.4576388888886</v>
      </c>
      <c r="BF94" s="98">
        <f t="shared" si="117"/>
        <v>0</v>
      </c>
      <c r="BG94" s="98">
        <f t="shared" si="118"/>
        <v>0</v>
      </c>
      <c r="BH94" s="98">
        <f t="shared" si="119"/>
        <v>12594.711904761905</v>
      </c>
      <c r="BI94" s="98">
        <f t="shared" si="120"/>
        <v>0</v>
      </c>
      <c r="BJ94" s="98">
        <f t="shared" si="121"/>
        <v>0</v>
      </c>
      <c r="BK94" s="98">
        <f t="shared" si="122"/>
        <v>1049.5593253968254</v>
      </c>
      <c r="BL94" s="98">
        <f t="shared" si="123"/>
        <v>0</v>
      </c>
      <c r="BM94" s="98">
        <f t="shared" si="124"/>
        <v>0</v>
      </c>
      <c r="BN94" s="98">
        <f t="shared" si="125"/>
        <v>2518.942380952381</v>
      </c>
      <c r="BO94" s="98">
        <f t="shared" si="126"/>
        <v>0</v>
      </c>
      <c r="BP94" s="98">
        <f t="shared" si="127"/>
        <v>0</v>
      </c>
      <c r="BQ94" s="98">
        <f t="shared" si="128"/>
        <v>0</v>
      </c>
      <c r="BR94" s="98">
        <f t="shared" si="129"/>
        <v>0</v>
      </c>
    </row>
    <row r="95" spans="1:70" x14ac:dyDescent="0.25">
      <c r="A95" t="s">
        <v>54</v>
      </c>
      <c r="B95" t="s">
        <v>10</v>
      </c>
      <c r="C95">
        <v>2026</v>
      </c>
      <c r="D95" s="98">
        <f>INDEX('Reference Sheet'!$G$9:$J$100, MATCH(A95,'Reference Sheet'!$F$9:$F$100,0), MATCH(C95,'Reference Sheet'!$G$8:$J$8,0))/2080</f>
        <v>91.165865384615387</v>
      </c>
      <c r="E95" s="99">
        <f>VLOOKUP(C95,'Reference Sheet'!$A$2:$B$5,2)</f>
        <v>0.23630000000000001</v>
      </c>
      <c r="F95" s="98">
        <f t="shared" si="87"/>
        <v>112.708359375</v>
      </c>
      <c r="G95" s="98"/>
      <c r="H95" s="98"/>
      <c r="I95" s="21"/>
      <c r="J95" s="21"/>
      <c r="K95" s="21"/>
      <c r="L95" s="21"/>
      <c r="M95" s="21">
        <v>41</v>
      </c>
      <c r="N95" s="21"/>
      <c r="O95" s="21"/>
      <c r="P95" s="21">
        <v>120</v>
      </c>
      <c r="Q95" s="21"/>
      <c r="R95" s="21"/>
      <c r="S95" s="21">
        <v>9</v>
      </c>
      <c r="T95" s="21"/>
      <c r="U95" s="21"/>
      <c r="V95" s="21">
        <v>22</v>
      </c>
      <c r="W95" s="21"/>
      <c r="X95" s="21"/>
      <c r="Y95" s="21"/>
      <c r="Z95" s="21"/>
      <c r="AA95" s="98">
        <f t="shared" si="86"/>
        <v>192</v>
      </c>
      <c r="AB95" s="98">
        <f>IF(OR(B95="",C95=""),"",SUMIFS('Reference Sheet'!$D$9:$D$42,'Reference Sheet'!$A$9:$A$42,C95,'Reference Sheet'!$B$9:$B$42,B95))</f>
        <v>168</v>
      </c>
      <c r="AC95" s="98">
        <f t="shared" si="88"/>
        <v>-24</v>
      </c>
      <c r="AD95" s="100">
        <f t="shared" si="89"/>
        <v>0</v>
      </c>
      <c r="AE95" s="100">
        <f t="shared" si="90"/>
        <v>0</v>
      </c>
      <c r="AF95" s="100">
        <f t="shared" si="91"/>
        <v>0</v>
      </c>
      <c r="AG95" s="100">
        <f t="shared" si="92"/>
        <v>0</v>
      </c>
      <c r="AH95" s="100">
        <f t="shared" si="93"/>
        <v>0</v>
      </c>
      <c r="AI95" s="100">
        <f t="shared" si="94"/>
        <v>0</v>
      </c>
      <c r="AJ95" s="100">
        <f t="shared" si="95"/>
        <v>35.875</v>
      </c>
      <c r="AK95" s="100">
        <f t="shared" si="96"/>
        <v>0</v>
      </c>
      <c r="AL95" s="100">
        <f t="shared" si="97"/>
        <v>0</v>
      </c>
      <c r="AM95" s="100">
        <f t="shared" si="98"/>
        <v>105</v>
      </c>
      <c r="AN95" s="100">
        <f t="shared" si="99"/>
        <v>0</v>
      </c>
      <c r="AO95" s="100">
        <f t="shared" si="100"/>
        <v>0</v>
      </c>
      <c r="AP95" s="100">
        <f t="shared" si="101"/>
        <v>7.875</v>
      </c>
      <c r="AQ95" s="100">
        <f t="shared" si="102"/>
        <v>0</v>
      </c>
      <c r="AR95" s="100">
        <f t="shared" si="103"/>
        <v>0</v>
      </c>
      <c r="AS95" s="100">
        <f t="shared" si="104"/>
        <v>19.25</v>
      </c>
      <c r="AT95" s="100">
        <f t="shared" si="105"/>
        <v>0</v>
      </c>
      <c r="AU95" s="100">
        <f t="shared" si="106"/>
        <v>0</v>
      </c>
      <c r="AV95" s="100">
        <f t="shared" si="107"/>
        <v>0</v>
      </c>
      <c r="AW95" s="100">
        <f t="shared" si="108"/>
        <v>0</v>
      </c>
      <c r="AX95">
        <f t="shared" si="109"/>
        <v>168</v>
      </c>
      <c r="AY95" s="98">
        <f t="shared" si="110"/>
        <v>0</v>
      </c>
      <c r="AZ95" s="98">
        <f t="shared" si="111"/>
        <v>0</v>
      </c>
      <c r="BA95" s="98">
        <f t="shared" si="112"/>
        <v>0</v>
      </c>
      <c r="BB95" s="98">
        <f t="shared" si="113"/>
        <v>0</v>
      </c>
      <c r="BC95" s="98">
        <f t="shared" si="114"/>
        <v>0</v>
      </c>
      <c r="BD95" s="98">
        <f t="shared" si="115"/>
        <v>0</v>
      </c>
      <c r="BE95" s="98">
        <f t="shared" si="116"/>
        <v>4043.412392578125</v>
      </c>
      <c r="BF95" s="98">
        <f t="shared" si="117"/>
        <v>0</v>
      </c>
      <c r="BG95" s="98">
        <f t="shared" si="118"/>
        <v>0</v>
      </c>
      <c r="BH95" s="98">
        <f t="shared" si="119"/>
        <v>11834.377734375001</v>
      </c>
      <c r="BI95" s="98">
        <f t="shared" si="120"/>
        <v>0</v>
      </c>
      <c r="BJ95" s="98">
        <f t="shared" si="121"/>
        <v>0</v>
      </c>
      <c r="BK95" s="98">
        <f t="shared" si="122"/>
        <v>887.57833007812496</v>
      </c>
      <c r="BL95" s="98">
        <f t="shared" si="123"/>
        <v>0</v>
      </c>
      <c r="BM95" s="98">
        <f t="shared" si="124"/>
        <v>0</v>
      </c>
      <c r="BN95" s="98">
        <f t="shared" si="125"/>
        <v>2169.6359179687502</v>
      </c>
      <c r="BO95" s="98">
        <f t="shared" si="126"/>
        <v>0</v>
      </c>
      <c r="BP95" s="98">
        <f t="shared" si="127"/>
        <v>0</v>
      </c>
      <c r="BQ95" s="98">
        <f t="shared" si="128"/>
        <v>0</v>
      </c>
      <c r="BR95" s="98">
        <f t="shared" si="129"/>
        <v>0</v>
      </c>
    </row>
    <row r="96" spans="1:70" x14ac:dyDescent="0.25">
      <c r="A96" t="s">
        <v>54</v>
      </c>
      <c r="B96" t="s">
        <v>12</v>
      </c>
      <c r="C96">
        <v>2026</v>
      </c>
      <c r="D96" s="98">
        <f>INDEX('Reference Sheet'!$G$9:$J$100, MATCH(A96,'Reference Sheet'!$F$9:$F$100,0), MATCH(C96,'Reference Sheet'!$G$8:$J$8,0))/2080</f>
        <v>91.165865384615387</v>
      </c>
      <c r="E96" s="99">
        <f>VLOOKUP(C96,'Reference Sheet'!$A$2:$B$5,2)</f>
        <v>0.23630000000000001</v>
      </c>
      <c r="F96" s="98">
        <f t="shared" si="87"/>
        <v>112.708359375</v>
      </c>
      <c r="G96" s="98"/>
      <c r="H96" s="98"/>
      <c r="I96" s="21"/>
      <c r="J96" s="21"/>
      <c r="K96" s="21"/>
      <c r="L96" s="21"/>
      <c r="M96" s="21">
        <v>43</v>
      </c>
      <c r="N96" s="21"/>
      <c r="O96" s="21"/>
      <c r="P96" s="21">
        <v>120</v>
      </c>
      <c r="Q96" s="21"/>
      <c r="R96" s="21"/>
      <c r="S96" s="21">
        <v>11</v>
      </c>
      <c r="T96" s="21"/>
      <c r="U96" s="21"/>
      <c r="V96" s="21">
        <v>21</v>
      </c>
      <c r="W96" s="21"/>
      <c r="X96" s="21"/>
      <c r="Y96" s="21"/>
      <c r="Z96" s="21"/>
      <c r="AA96" s="98">
        <f t="shared" si="86"/>
        <v>195</v>
      </c>
      <c r="AB96" s="98">
        <f>IF(OR(B96="",C96=""),"",SUMIFS('Reference Sheet'!$D$9:$D$42,'Reference Sheet'!$A$9:$A$42,C96,'Reference Sheet'!$B$9:$B$42,B96))</f>
        <v>184</v>
      </c>
      <c r="AC96" s="98">
        <f t="shared" si="88"/>
        <v>-11</v>
      </c>
      <c r="AD96" s="100">
        <f t="shared" si="89"/>
        <v>0</v>
      </c>
      <c r="AE96" s="100">
        <f t="shared" si="90"/>
        <v>0</v>
      </c>
      <c r="AF96" s="100">
        <f t="shared" si="91"/>
        <v>0</v>
      </c>
      <c r="AG96" s="100">
        <f t="shared" si="92"/>
        <v>0</v>
      </c>
      <c r="AH96" s="100">
        <f t="shared" si="93"/>
        <v>0</v>
      </c>
      <c r="AI96" s="100">
        <f t="shared" si="94"/>
        <v>0</v>
      </c>
      <c r="AJ96" s="100">
        <f t="shared" si="95"/>
        <v>40.574358974358972</v>
      </c>
      <c r="AK96" s="100">
        <f t="shared" si="96"/>
        <v>0</v>
      </c>
      <c r="AL96" s="100">
        <f t="shared" si="97"/>
        <v>0</v>
      </c>
      <c r="AM96" s="100">
        <f t="shared" si="98"/>
        <v>113.23076923076924</v>
      </c>
      <c r="AN96" s="100">
        <f t="shared" si="99"/>
        <v>0</v>
      </c>
      <c r="AO96" s="100">
        <f t="shared" si="100"/>
        <v>0</v>
      </c>
      <c r="AP96" s="100">
        <f t="shared" si="101"/>
        <v>10.37948717948718</v>
      </c>
      <c r="AQ96" s="100">
        <f t="shared" si="102"/>
        <v>0</v>
      </c>
      <c r="AR96" s="100">
        <f t="shared" si="103"/>
        <v>0</v>
      </c>
      <c r="AS96" s="100">
        <f t="shared" si="104"/>
        <v>19.815384615384616</v>
      </c>
      <c r="AT96" s="100">
        <f t="shared" si="105"/>
        <v>0</v>
      </c>
      <c r="AU96" s="100">
        <f t="shared" si="106"/>
        <v>0</v>
      </c>
      <c r="AV96" s="100">
        <f t="shared" si="107"/>
        <v>0</v>
      </c>
      <c r="AW96" s="100">
        <f t="shared" si="108"/>
        <v>0</v>
      </c>
      <c r="AX96">
        <f t="shared" si="109"/>
        <v>184</v>
      </c>
      <c r="AY96" s="98">
        <f t="shared" si="110"/>
        <v>0</v>
      </c>
      <c r="AZ96" s="98">
        <f t="shared" si="111"/>
        <v>0</v>
      </c>
      <c r="BA96" s="98">
        <f t="shared" si="112"/>
        <v>0</v>
      </c>
      <c r="BB96" s="98">
        <f t="shared" si="113"/>
        <v>0</v>
      </c>
      <c r="BC96" s="98">
        <f t="shared" si="114"/>
        <v>0</v>
      </c>
      <c r="BD96" s="98">
        <f t="shared" si="115"/>
        <v>0</v>
      </c>
      <c r="BE96" s="98">
        <f t="shared" si="116"/>
        <v>4573.0694326923076</v>
      </c>
      <c r="BF96" s="98">
        <f t="shared" si="117"/>
        <v>0</v>
      </c>
      <c r="BG96" s="98">
        <f t="shared" si="118"/>
        <v>0</v>
      </c>
      <c r="BH96" s="98">
        <f t="shared" si="119"/>
        <v>12762.054230769232</v>
      </c>
      <c r="BI96" s="98">
        <f t="shared" si="120"/>
        <v>0</v>
      </c>
      <c r="BJ96" s="98">
        <f t="shared" si="121"/>
        <v>0</v>
      </c>
      <c r="BK96" s="98">
        <f t="shared" si="122"/>
        <v>1169.8549711538462</v>
      </c>
      <c r="BL96" s="98">
        <f t="shared" si="123"/>
        <v>0</v>
      </c>
      <c r="BM96" s="98">
        <f t="shared" si="124"/>
        <v>0</v>
      </c>
      <c r="BN96" s="98">
        <f t="shared" si="125"/>
        <v>2233.3594903846156</v>
      </c>
      <c r="BO96" s="98">
        <f t="shared" si="126"/>
        <v>0</v>
      </c>
      <c r="BP96" s="98">
        <f t="shared" si="127"/>
        <v>0</v>
      </c>
      <c r="BQ96" s="98">
        <f t="shared" si="128"/>
        <v>0</v>
      </c>
      <c r="BR96" s="98">
        <f t="shared" si="129"/>
        <v>0</v>
      </c>
    </row>
    <row r="97" spans="1:70" x14ac:dyDescent="0.25">
      <c r="A97" t="s">
        <v>54</v>
      </c>
      <c r="B97" t="s">
        <v>6</v>
      </c>
      <c r="C97">
        <v>2026</v>
      </c>
      <c r="D97" s="98">
        <f>INDEX('Reference Sheet'!$G$9:$J$100, MATCH(A97,'Reference Sheet'!$F$9:$F$100,0), MATCH(C97,'Reference Sheet'!$G$8:$J$8,0))/2080</f>
        <v>91.165865384615387</v>
      </c>
      <c r="E97" s="99">
        <f>VLOOKUP(C97,'Reference Sheet'!$A$2:$B$5,2)</f>
        <v>0.23630000000000001</v>
      </c>
      <c r="F97" s="98">
        <f t="shared" si="87"/>
        <v>112.708359375</v>
      </c>
      <c r="G97" s="98"/>
      <c r="H97" s="98"/>
      <c r="I97" s="21"/>
      <c r="J97" s="21"/>
      <c r="K97" s="21"/>
      <c r="L97" s="21"/>
      <c r="M97" s="21">
        <v>67</v>
      </c>
      <c r="N97" s="21"/>
      <c r="O97" s="21"/>
      <c r="P97" s="21">
        <v>92</v>
      </c>
      <c r="Q97" s="21"/>
      <c r="R97" s="21"/>
      <c r="S97" s="21">
        <v>14</v>
      </c>
      <c r="T97" s="21"/>
      <c r="U97" s="21"/>
      <c r="V97" s="21">
        <v>31</v>
      </c>
      <c r="W97" s="21"/>
      <c r="X97" s="21"/>
      <c r="Y97" s="21"/>
      <c r="Z97" s="21"/>
      <c r="AA97" s="98">
        <f t="shared" si="86"/>
        <v>204</v>
      </c>
      <c r="AB97" s="98">
        <f>IF(OR(B97="",C97=""),"",SUMIFS('Reference Sheet'!$D$9:$D$42,'Reference Sheet'!$A$9:$A$42,C97,'Reference Sheet'!$B$9:$B$42,B97))</f>
        <v>176</v>
      </c>
      <c r="AC97" s="98">
        <f t="shared" si="88"/>
        <v>-28</v>
      </c>
      <c r="AD97" s="100">
        <f t="shared" si="89"/>
        <v>0</v>
      </c>
      <c r="AE97" s="100">
        <f t="shared" si="90"/>
        <v>0</v>
      </c>
      <c r="AF97" s="100">
        <f t="shared" si="91"/>
        <v>0</v>
      </c>
      <c r="AG97" s="100">
        <f t="shared" si="92"/>
        <v>0</v>
      </c>
      <c r="AH97" s="100">
        <f t="shared" si="93"/>
        <v>0</v>
      </c>
      <c r="AI97" s="100">
        <f t="shared" si="94"/>
        <v>0</v>
      </c>
      <c r="AJ97" s="100">
        <f t="shared" si="95"/>
        <v>57.803921568627452</v>
      </c>
      <c r="AK97" s="100">
        <f t="shared" si="96"/>
        <v>0</v>
      </c>
      <c r="AL97" s="100">
        <f t="shared" si="97"/>
        <v>0</v>
      </c>
      <c r="AM97" s="100">
        <f t="shared" si="98"/>
        <v>79.372549019607845</v>
      </c>
      <c r="AN97" s="100">
        <f t="shared" si="99"/>
        <v>0</v>
      </c>
      <c r="AO97" s="100">
        <f t="shared" si="100"/>
        <v>0</v>
      </c>
      <c r="AP97" s="100">
        <f t="shared" si="101"/>
        <v>12.078431372549021</v>
      </c>
      <c r="AQ97" s="100">
        <f t="shared" si="102"/>
        <v>0</v>
      </c>
      <c r="AR97" s="100">
        <f t="shared" si="103"/>
        <v>0</v>
      </c>
      <c r="AS97" s="100">
        <f t="shared" si="104"/>
        <v>26.745098039215684</v>
      </c>
      <c r="AT97" s="100">
        <f t="shared" si="105"/>
        <v>0</v>
      </c>
      <c r="AU97" s="100">
        <f t="shared" si="106"/>
        <v>0</v>
      </c>
      <c r="AV97" s="100">
        <f t="shared" si="107"/>
        <v>0</v>
      </c>
      <c r="AW97" s="100">
        <f t="shared" si="108"/>
        <v>0</v>
      </c>
      <c r="AX97">
        <f t="shared" si="109"/>
        <v>176.00000000000003</v>
      </c>
      <c r="AY97" s="98">
        <f t="shared" si="110"/>
        <v>0</v>
      </c>
      <c r="AZ97" s="98">
        <f t="shared" si="111"/>
        <v>0</v>
      </c>
      <c r="BA97" s="98">
        <f t="shared" si="112"/>
        <v>0</v>
      </c>
      <c r="BB97" s="98">
        <f t="shared" si="113"/>
        <v>0</v>
      </c>
      <c r="BC97" s="98">
        <f t="shared" si="114"/>
        <v>0</v>
      </c>
      <c r="BD97" s="98">
        <f t="shared" si="115"/>
        <v>0</v>
      </c>
      <c r="BE97" s="98">
        <f t="shared" si="116"/>
        <v>6514.9851654411768</v>
      </c>
      <c r="BF97" s="98">
        <f t="shared" si="117"/>
        <v>0</v>
      </c>
      <c r="BG97" s="98">
        <f t="shared" si="118"/>
        <v>0</v>
      </c>
      <c r="BH97" s="98">
        <f t="shared" si="119"/>
        <v>8945.9497794117651</v>
      </c>
      <c r="BI97" s="98">
        <f t="shared" si="120"/>
        <v>0</v>
      </c>
      <c r="BJ97" s="98">
        <f t="shared" si="121"/>
        <v>0</v>
      </c>
      <c r="BK97" s="98">
        <f t="shared" si="122"/>
        <v>1361.3401838235295</v>
      </c>
      <c r="BL97" s="98">
        <f t="shared" si="123"/>
        <v>0</v>
      </c>
      <c r="BM97" s="98">
        <f t="shared" si="124"/>
        <v>0</v>
      </c>
      <c r="BN97" s="98">
        <f t="shared" si="125"/>
        <v>3014.3961213235293</v>
      </c>
      <c r="BO97" s="98">
        <f t="shared" si="126"/>
        <v>0</v>
      </c>
      <c r="BP97" s="98">
        <f t="shared" si="127"/>
        <v>0</v>
      </c>
      <c r="BQ97" s="98">
        <f t="shared" si="128"/>
        <v>0</v>
      </c>
      <c r="BR97" s="98">
        <f t="shared" si="129"/>
        <v>0</v>
      </c>
    </row>
    <row r="98" spans="1:70" x14ac:dyDescent="0.25">
      <c r="A98" t="s">
        <v>54</v>
      </c>
      <c r="B98" t="s">
        <v>9</v>
      </c>
      <c r="C98">
        <v>2026</v>
      </c>
      <c r="D98" s="98">
        <f>INDEX('Reference Sheet'!$G$9:$J$100, MATCH(A98,'Reference Sheet'!$F$9:$F$100,0), MATCH(C98,'Reference Sheet'!$G$8:$J$8,0))/2080</f>
        <v>91.165865384615387</v>
      </c>
      <c r="E98" s="99">
        <f>VLOOKUP(C98,'Reference Sheet'!$A$2:$B$5,2)</f>
        <v>0.23630000000000001</v>
      </c>
      <c r="F98" s="98">
        <f t="shared" si="87"/>
        <v>112.708359375</v>
      </c>
      <c r="G98" s="98"/>
      <c r="H98" s="98"/>
      <c r="I98" s="21"/>
      <c r="J98" s="21"/>
      <c r="K98" s="21"/>
      <c r="L98" s="21"/>
      <c r="M98" s="21">
        <v>34</v>
      </c>
      <c r="N98" s="21"/>
      <c r="O98" s="21"/>
      <c r="P98" s="21">
        <v>120</v>
      </c>
      <c r="Q98" s="21"/>
      <c r="R98" s="21"/>
      <c r="S98" s="21">
        <v>38</v>
      </c>
      <c r="T98" s="21"/>
      <c r="U98" s="21"/>
      <c r="V98" s="21">
        <v>25</v>
      </c>
      <c r="W98" s="21"/>
      <c r="X98" s="21"/>
      <c r="Y98" s="21"/>
      <c r="Z98" s="21"/>
      <c r="AA98" s="98">
        <f t="shared" si="86"/>
        <v>217</v>
      </c>
      <c r="AB98" s="98">
        <f>IF(OR(B98="",C98=""),"",SUMIFS('Reference Sheet'!$D$9:$D$42,'Reference Sheet'!$A$9:$A$42,C98,'Reference Sheet'!$B$9:$B$42,B98))</f>
        <v>176</v>
      </c>
      <c r="AC98" s="98">
        <f t="shared" si="88"/>
        <v>-41</v>
      </c>
      <c r="AD98" s="100">
        <f t="shared" si="89"/>
        <v>0</v>
      </c>
      <c r="AE98" s="100">
        <f t="shared" si="90"/>
        <v>0</v>
      </c>
      <c r="AF98" s="100">
        <f t="shared" si="91"/>
        <v>0</v>
      </c>
      <c r="AG98" s="100">
        <f t="shared" si="92"/>
        <v>0</v>
      </c>
      <c r="AH98" s="100">
        <f t="shared" si="93"/>
        <v>0</v>
      </c>
      <c r="AI98" s="100">
        <f t="shared" si="94"/>
        <v>0</v>
      </c>
      <c r="AJ98" s="100">
        <f t="shared" si="95"/>
        <v>27.576036866359445</v>
      </c>
      <c r="AK98" s="100">
        <f t="shared" si="96"/>
        <v>0</v>
      </c>
      <c r="AL98" s="100">
        <f t="shared" si="97"/>
        <v>0</v>
      </c>
      <c r="AM98" s="100">
        <f t="shared" si="98"/>
        <v>97.327188940092171</v>
      </c>
      <c r="AN98" s="100">
        <f t="shared" si="99"/>
        <v>0</v>
      </c>
      <c r="AO98" s="100">
        <f t="shared" si="100"/>
        <v>0</v>
      </c>
      <c r="AP98" s="100">
        <f t="shared" si="101"/>
        <v>30.820276497695851</v>
      </c>
      <c r="AQ98" s="100">
        <f t="shared" si="102"/>
        <v>0</v>
      </c>
      <c r="AR98" s="100">
        <f t="shared" si="103"/>
        <v>0</v>
      </c>
      <c r="AS98" s="100">
        <f t="shared" si="104"/>
        <v>20.276497695852534</v>
      </c>
      <c r="AT98" s="100">
        <f t="shared" si="105"/>
        <v>0</v>
      </c>
      <c r="AU98" s="100">
        <f t="shared" si="106"/>
        <v>0</v>
      </c>
      <c r="AV98" s="100">
        <f t="shared" si="107"/>
        <v>0</v>
      </c>
      <c r="AW98" s="100">
        <f t="shared" si="108"/>
        <v>0</v>
      </c>
      <c r="AX98">
        <f t="shared" si="109"/>
        <v>176</v>
      </c>
      <c r="AY98" s="98">
        <f t="shared" si="110"/>
        <v>0</v>
      </c>
      <c r="AZ98" s="98">
        <f t="shared" si="111"/>
        <v>0</v>
      </c>
      <c r="BA98" s="98">
        <f t="shared" si="112"/>
        <v>0</v>
      </c>
      <c r="BB98" s="98">
        <f t="shared" si="113"/>
        <v>0</v>
      </c>
      <c r="BC98" s="98">
        <f t="shared" si="114"/>
        <v>0</v>
      </c>
      <c r="BD98" s="98">
        <f t="shared" si="115"/>
        <v>0</v>
      </c>
      <c r="BE98" s="98">
        <f t="shared" si="116"/>
        <v>3108.0498732718893</v>
      </c>
      <c r="BF98" s="98">
        <f t="shared" si="117"/>
        <v>0</v>
      </c>
      <c r="BG98" s="98">
        <f t="shared" si="118"/>
        <v>0</v>
      </c>
      <c r="BH98" s="98">
        <f t="shared" si="119"/>
        <v>10969.587788018434</v>
      </c>
      <c r="BI98" s="98">
        <f t="shared" si="120"/>
        <v>0</v>
      </c>
      <c r="BJ98" s="98">
        <f t="shared" si="121"/>
        <v>0</v>
      </c>
      <c r="BK98" s="98">
        <f t="shared" si="122"/>
        <v>3473.7027995391704</v>
      </c>
      <c r="BL98" s="98">
        <f t="shared" si="123"/>
        <v>0</v>
      </c>
      <c r="BM98" s="98">
        <f t="shared" si="124"/>
        <v>0</v>
      </c>
      <c r="BN98" s="98">
        <f t="shared" si="125"/>
        <v>2285.3307891705067</v>
      </c>
      <c r="BO98" s="98">
        <f t="shared" si="126"/>
        <v>0</v>
      </c>
      <c r="BP98" s="98">
        <f t="shared" si="127"/>
        <v>0</v>
      </c>
      <c r="BQ98" s="98">
        <f t="shared" si="128"/>
        <v>0</v>
      </c>
      <c r="BR98" s="98">
        <f t="shared" si="129"/>
        <v>0</v>
      </c>
    </row>
    <row r="99" spans="1:70" x14ac:dyDescent="0.25">
      <c r="A99" t="s">
        <v>55</v>
      </c>
      <c r="B99" t="s">
        <v>15</v>
      </c>
      <c r="C99">
        <v>2023</v>
      </c>
      <c r="D99" s="98">
        <f>INDEX('Reference Sheet'!$G$9:$J$100, MATCH(A99,'Reference Sheet'!$F$9:$F$100,0), MATCH(C99,'Reference Sheet'!$G$8:$J$8,0))/2080</f>
        <v>32.516567307692313</v>
      </c>
      <c r="E99" s="99">
        <f>VLOOKUP(C99,'Reference Sheet'!$A$2:$B$5,2)</f>
        <v>0.21360000000000001</v>
      </c>
      <c r="F99" s="98">
        <f t="shared" si="87"/>
        <v>39.462106084615392</v>
      </c>
      <c r="G99" s="98"/>
      <c r="H99" s="98"/>
      <c r="I99" s="32"/>
      <c r="J99" s="32"/>
      <c r="K99" s="32"/>
      <c r="L99" s="32">
        <v>9</v>
      </c>
      <c r="M99" s="32"/>
      <c r="N99" s="32"/>
      <c r="O99" s="32"/>
      <c r="P99" s="32"/>
      <c r="Q99" s="32">
        <v>32.5</v>
      </c>
      <c r="R99" s="32"/>
      <c r="S99" s="32"/>
      <c r="T99" s="32"/>
      <c r="U99" s="32"/>
      <c r="V99" s="32"/>
      <c r="W99" s="32"/>
      <c r="X99" s="32"/>
      <c r="Y99" s="32"/>
      <c r="Z99" s="32">
        <v>103</v>
      </c>
      <c r="AA99" s="98">
        <f t="shared" si="86"/>
        <v>144.5</v>
      </c>
      <c r="AB99" s="98">
        <f>IF(OR(B99="",C99=""),"",SUMIFS('Reference Sheet'!$D$9:$D$42,'Reference Sheet'!$A$9:$A$42,C99,'Reference Sheet'!$B$9:$B$42,B99))</f>
        <v>176</v>
      </c>
      <c r="AC99" s="98">
        <f t="shared" si="88"/>
        <v>31.5</v>
      </c>
      <c r="AD99" s="100">
        <f t="shared" ref="AD99:AD130" si="130">(G99/$AA99)*$AB99</f>
        <v>0</v>
      </c>
      <c r="AE99" s="100">
        <f t="shared" ref="AE99:AE130" si="131">(H99/$AA99)*$AB99</f>
        <v>0</v>
      </c>
      <c r="AF99" s="100">
        <f t="shared" ref="AF99:AF130" si="132">(I99/$AA99)*$AB99</f>
        <v>0</v>
      </c>
      <c r="AG99" s="100">
        <f t="shared" ref="AG99:AG130" si="133">(J99/$AA99)*$AB99</f>
        <v>0</v>
      </c>
      <c r="AH99" s="100">
        <f t="shared" ref="AH99:AH130" si="134">(K99/$AA99)*$AB99</f>
        <v>0</v>
      </c>
      <c r="AI99" s="100">
        <f t="shared" ref="AI99:AI130" si="135">(L99/$AA99)*$AB99</f>
        <v>10.961937716262975</v>
      </c>
      <c r="AJ99" s="100">
        <f t="shared" ref="AJ99:AJ130" si="136">(M99/$AA99)*$AB99</f>
        <v>0</v>
      </c>
      <c r="AK99" s="100">
        <f t="shared" ref="AK99:AK130" si="137">(N99/$AA99)*$AB99</f>
        <v>0</v>
      </c>
      <c r="AL99" s="100">
        <f t="shared" si="97"/>
        <v>0</v>
      </c>
      <c r="AM99" s="100">
        <f t="shared" ref="AM99:AM130" si="138">(P99/$AA99)*$AB99</f>
        <v>0</v>
      </c>
      <c r="AN99" s="100">
        <f t="shared" ref="AN99:AN130" si="139">(Q99/$AA99)*$AB99</f>
        <v>39.584775086505189</v>
      </c>
      <c r="AO99" s="100">
        <f t="shared" ref="AO99:AO130" si="140">(R99/$AA99)*$AB99</f>
        <v>0</v>
      </c>
      <c r="AP99" s="100">
        <f t="shared" ref="AP99:AP130" si="141">(S99/$AA99)*$AB99</f>
        <v>0</v>
      </c>
      <c r="AQ99" s="100">
        <f t="shared" ref="AQ99:AQ130" si="142">(T99/$AA99)*$AB99</f>
        <v>0</v>
      </c>
      <c r="AR99" s="100">
        <f t="shared" ref="AR99:AR130" si="143">(U99/$AA99)*$AB99</f>
        <v>0</v>
      </c>
      <c r="AS99" s="100">
        <f t="shared" ref="AS99:AS130" si="144">(V99/$AA99)*$AB99</f>
        <v>0</v>
      </c>
      <c r="AT99" s="100">
        <f t="shared" si="105"/>
        <v>0</v>
      </c>
      <c r="AU99" s="100">
        <f t="shared" si="106"/>
        <v>0</v>
      </c>
      <c r="AV99" s="100">
        <f t="shared" si="107"/>
        <v>0</v>
      </c>
      <c r="AW99" s="100">
        <f t="shared" si="108"/>
        <v>125.45328719723184</v>
      </c>
      <c r="AX99">
        <f t="shared" si="109"/>
        <v>176</v>
      </c>
      <c r="AY99" s="98">
        <f t="shared" si="110"/>
        <v>0</v>
      </c>
      <c r="AZ99" s="98">
        <f t="shared" si="111"/>
        <v>0</v>
      </c>
      <c r="BA99" s="98">
        <f t="shared" si="112"/>
        <v>0</v>
      </c>
      <c r="BB99" s="98">
        <f t="shared" si="113"/>
        <v>0</v>
      </c>
      <c r="BC99" s="98">
        <f t="shared" si="114"/>
        <v>0</v>
      </c>
      <c r="BD99" s="98">
        <f t="shared" si="115"/>
        <v>432.58114905211607</v>
      </c>
      <c r="BE99" s="98">
        <f t="shared" si="116"/>
        <v>0</v>
      </c>
      <c r="BF99" s="98">
        <f t="shared" si="117"/>
        <v>0</v>
      </c>
      <c r="BG99" s="98">
        <f t="shared" si="118"/>
        <v>0</v>
      </c>
      <c r="BH99" s="98">
        <f t="shared" si="119"/>
        <v>0</v>
      </c>
      <c r="BI99" s="98">
        <f t="shared" si="120"/>
        <v>1562.0985937993082</v>
      </c>
      <c r="BJ99" s="98">
        <f t="shared" si="121"/>
        <v>0</v>
      </c>
      <c r="BK99" s="98">
        <f t="shared" si="122"/>
        <v>0</v>
      </c>
      <c r="BL99" s="98">
        <f t="shared" si="123"/>
        <v>0</v>
      </c>
      <c r="BM99" s="98">
        <f t="shared" si="124"/>
        <v>0</v>
      </c>
      <c r="BN99" s="98">
        <f t="shared" si="125"/>
        <v>0</v>
      </c>
      <c r="BO99" s="98">
        <f t="shared" si="126"/>
        <v>0</v>
      </c>
      <c r="BP99" s="98">
        <f t="shared" si="127"/>
        <v>0</v>
      </c>
      <c r="BQ99" s="98">
        <f t="shared" si="128"/>
        <v>0</v>
      </c>
      <c r="BR99" s="98">
        <f t="shared" si="129"/>
        <v>4950.6509280408854</v>
      </c>
    </row>
    <row r="100" spans="1:70" x14ac:dyDescent="0.25">
      <c r="A100" t="s">
        <v>55</v>
      </c>
      <c r="B100" t="s">
        <v>16</v>
      </c>
      <c r="C100">
        <v>2023</v>
      </c>
      <c r="D100" s="98">
        <f>INDEX('Reference Sheet'!$G$9:$J$100, MATCH(A100,'Reference Sheet'!$F$9:$F$100,0), MATCH(C100,'Reference Sheet'!$G$8:$J$8,0))/2080</f>
        <v>32.516567307692313</v>
      </c>
      <c r="E100" s="99">
        <f>VLOOKUP(C100,'Reference Sheet'!$A$2:$B$5,2)</f>
        <v>0.21360000000000001</v>
      </c>
      <c r="F100" s="98">
        <f t="shared" si="87"/>
        <v>39.462106084615392</v>
      </c>
      <c r="G100" s="98"/>
      <c r="H100" s="98"/>
      <c r="I100" s="32"/>
      <c r="J100" s="32"/>
      <c r="K100" s="32"/>
      <c r="L100" s="32">
        <v>9.5</v>
      </c>
      <c r="M100" s="32"/>
      <c r="N100" s="32"/>
      <c r="O100" s="32"/>
      <c r="P100" s="32"/>
      <c r="Q100" s="32">
        <v>36</v>
      </c>
      <c r="R100" s="32"/>
      <c r="S100" s="32"/>
      <c r="T100" s="32"/>
      <c r="U100" s="32"/>
      <c r="V100" s="32"/>
      <c r="W100" s="32"/>
      <c r="X100" s="32"/>
      <c r="Y100" s="32"/>
      <c r="Z100" s="32">
        <v>100.5</v>
      </c>
      <c r="AA100" s="98">
        <f t="shared" si="86"/>
        <v>146</v>
      </c>
      <c r="AB100" s="98">
        <f>IF(OR(B100="",C100=""),"",SUMIFS('Reference Sheet'!$D$9:$D$42,'Reference Sheet'!$A$9:$A$42,C100,'Reference Sheet'!$B$9:$B$42,B100))</f>
        <v>176</v>
      </c>
      <c r="AC100" s="98">
        <f t="shared" si="88"/>
        <v>30</v>
      </c>
      <c r="AD100" s="100">
        <f t="shared" si="130"/>
        <v>0</v>
      </c>
      <c r="AE100" s="100">
        <f t="shared" si="131"/>
        <v>0</v>
      </c>
      <c r="AF100" s="100">
        <f t="shared" si="132"/>
        <v>0</v>
      </c>
      <c r="AG100" s="100">
        <f t="shared" si="133"/>
        <v>0</v>
      </c>
      <c r="AH100" s="100">
        <f t="shared" si="134"/>
        <v>0</v>
      </c>
      <c r="AI100" s="100">
        <f t="shared" si="135"/>
        <v>11.452054794520548</v>
      </c>
      <c r="AJ100" s="100">
        <f t="shared" si="136"/>
        <v>0</v>
      </c>
      <c r="AK100" s="100">
        <f t="shared" si="137"/>
        <v>0</v>
      </c>
      <c r="AL100" s="100">
        <f t="shared" si="97"/>
        <v>0</v>
      </c>
      <c r="AM100" s="100">
        <f t="shared" si="138"/>
        <v>0</v>
      </c>
      <c r="AN100" s="100">
        <f t="shared" si="139"/>
        <v>43.397260273972599</v>
      </c>
      <c r="AO100" s="100">
        <f t="shared" si="140"/>
        <v>0</v>
      </c>
      <c r="AP100" s="100">
        <f t="shared" si="141"/>
        <v>0</v>
      </c>
      <c r="AQ100" s="100">
        <f t="shared" si="142"/>
        <v>0</v>
      </c>
      <c r="AR100" s="100">
        <f t="shared" si="143"/>
        <v>0</v>
      </c>
      <c r="AS100" s="100">
        <f t="shared" si="144"/>
        <v>0</v>
      </c>
      <c r="AT100" s="100">
        <f t="shared" si="105"/>
        <v>0</v>
      </c>
      <c r="AU100" s="100">
        <f t="shared" si="106"/>
        <v>0</v>
      </c>
      <c r="AV100" s="100">
        <f t="shared" si="107"/>
        <v>0</v>
      </c>
      <c r="AW100" s="100">
        <f t="shared" si="108"/>
        <v>121.15068493150685</v>
      </c>
      <c r="AX100">
        <f t="shared" si="109"/>
        <v>176</v>
      </c>
      <c r="AY100" s="98">
        <f t="shared" si="110"/>
        <v>0</v>
      </c>
      <c r="AZ100" s="98">
        <f t="shared" si="111"/>
        <v>0</v>
      </c>
      <c r="BA100" s="98">
        <f t="shared" si="112"/>
        <v>0</v>
      </c>
      <c r="BB100" s="98">
        <f t="shared" si="113"/>
        <v>0</v>
      </c>
      <c r="BC100" s="98">
        <f t="shared" si="114"/>
        <v>0</v>
      </c>
      <c r="BD100" s="98">
        <f t="shared" si="115"/>
        <v>451.92220118819819</v>
      </c>
      <c r="BE100" s="98">
        <f t="shared" si="116"/>
        <v>0</v>
      </c>
      <c r="BF100" s="98">
        <f t="shared" si="117"/>
        <v>0</v>
      </c>
      <c r="BG100" s="98">
        <f t="shared" si="118"/>
        <v>0</v>
      </c>
      <c r="BH100" s="98">
        <f t="shared" si="119"/>
        <v>0</v>
      </c>
      <c r="BI100" s="98">
        <f t="shared" si="120"/>
        <v>1712.5472887131718</v>
      </c>
      <c r="BJ100" s="98">
        <f t="shared" si="121"/>
        <v>0</v>
      </c>
      <c r="BK100" s="98">
        <f t="shared" si="122"/>
        <v>0</v>
      </c>
      <c r="BL100" s="98">
        <f t="shared" si="123"/>
        <v>0</v>
      </c>
      <c r="BM100" s="98">
        <f t="shared" si="124"/>
        <v>0</v>
      </c>
      <c r="BN100" s="98">
        <f t="shared" si="125"/>
        <v>0</v>
      </c>
      <c r="BO100" s="98">
        <f t="shared" si="126"/>
        <v>0</v>
      </c>
      <c r="BP100" s="98">
        <f t="shared" si="127"/>
        <v>0</v>
      </c>
      <c r="BQ100" s="98">
        <f t="shared" si="128"/>
        <v>0</v>
      </c>
      <c r="BR100" s="98">
        <f t="shared" si="129"/>
        <v>4780.8611809909389</v>
      </c>
    </row>
    <row r="101" spans="1:70" x14ac:dyDescent="0.25">
      <c r="A101" t="s">
        <v>55</v>
      </c>
      <c r="B101" t="s">
        <v>17</v>
      </c>
      <c r="C101">
        <v>2023</v>
      </c>
      <c r="D101" s="98">
        <f>INDEX('Reference Sheet'!$G$9:$J$100, MATCH(A101,'Reference Sheet'!$F$9:$F$100,0), MATCH(C101,'Reference Sheet'!$G$8:$J$8,0))/2080</f>
        <v>32.516567307692313</v>
      </c>
      <c r="E101" s="99">
        <f>VLOOKUP(C101,'Reference Sheet'!$A$2:$B$5,2)</f>
        <v>0.21360000000000001</v>
      </c>
      <c r="F101" s="98">
        <f t="shared" si="87"/>
        <v>39.462106084615392</v>
      </c>
      <c r="G101" s="98"/>
      <c r="H101" s="98"/>
      <c r="I101" s="32"/>
      <c r="J101" s="32"/>
      <c r="K101" s="32"/>
      <c r="L101" s="32">
        <v>3</v>
      </c>
      <c r="M101" s="32"/>
      <c r="N101" s="32"/>
      <c r="O101" s="32"/>
      <c r="P101" s="32"/>
      <c r="Q101" s="32">
        <v>13.5</v>
      </c>
      <c r="R101" s="32"/>
      <c r="S101" s="32"/>
      <c r="T101" s="32"/>
      <c r="U101" s="32"/>
      <c r="V101" s="32"/>
      <c r="W101" s="32"/>
      <c r="X101" s="32"/>
      <c r="Y101" s="32"/>
      <c r="Z101" s="32">
        <v>137</v>
      </c>
      <c r="AA101" s="98">
        <f t="shared" si="86"/>
        <v>153.5</v>
      </c>
      <c r="AB101" s="98">
        <f>IF(OR(B101="",C101=""),"",SUMIFS('Reference Sheet'!$D$9:$D$42,'Reference Sheet'!$A$9:$A$42,C101,'Reference Sheet'!$B$9:$B$42,B101))</f>
        <v>168</v>
      </c>
      <c r="AC101" s="98">
        <f t="shared" si="88"/>
        <v>14.5</v>
      </c>
      <c r="AD101" s="100">
        <f t="shared" si="130"/>
        <v>0</v>
      </c>
      <c r="AE101" s="100">
        <f t="shared" si="131"/>
        <v>0</v>
      </c>
      <c r="AF101" s="100">
        <f t="shared" si="132"/>
        <v>0</v>
      </c>
      <c r="AG101" s="100">
        <f t="shared" si="133"/>
        <v>0</v>
      </c>
      <c r="AH101" s="100">
        <f t="shared" si="134"/>
        <v>0</v>
      </c>
      <c r="AI101" s="100">
        <f t="shared" si="135"/>
        <v>3.2833876221498368</v>
      </c>
      <c r="AJ101" s="100">
        <f t="shared" si="136"/>
        <v>0</v>
      </c>
      <c r="AK101" s="100">
        <f t="shared" si="137"/>
        <v>0</v>
      </c>
      <c r="AL101" s="100">
        <f t="shared" si="97"/>
        <v>0</v>
      </c>
      <c r="AM101" s="100">
        <f t="shared" si="138"/>
        <v>0</v>
      </c>
      <c r="AN101" s="100">
        <f t="shared" si="139"/>
        <v>14.775244299674267</v>
      </c>
      <c r="AO101" s="100">
        <f t="shared" si="140"/>
        <v>0</v>
      </c>
      <c r="AP101" s="100">
        <f t="shared" si="141"/>
        <v>0</v>
      </c>
      <c r="AQ101" s="100">
        <f t="shared" si="142"/>
        <v>0</v>
      </c>
      <c r="AR101" s="100">
        <f t="shared" si="143"/>
        <v>0</v>
      </c>
      <c r="AS101" s="100">
        <f t="shared" si="144"/>
        <v>0</v>
      </c>
      <c r="AT101" s="100">
        <f t="shared" si="105"/>
        <v>0</v>
      </c>
      <c r="AU101" s="100">
        <f t="shared" si="106"/>
        <v>0</v>
      </c>
      <c r="AV101" s="100">
        <f t="shared" si="107"/>
        <v>0</v>
      </c>
      <c r="AW101" s="100">
        <f t="shared" si="108"/>
        <v>149.94136807817588</v>
      </c>
      <c r="AX101">
        <f t="shared" si="109"/>
        <v>168</v>
      </c>
      <c r="AY101" s="98">
        <f t="shared" si="110"/>
        <v>0</v>
      </c>
      <c r="AZ101" s="98">
        <f t="shared" si="111"/>
        <v>0</v>
      </c>
      <c r="BA101" s="98">
        <f t="shared" si="112"/>
        <v>0</v>
      </c>
      <c r="BB101" s="98">
        <f t="shared" si="113"/>
        <v>0</v>
      </c>
      <c r="BC101" s="98">
        <f t="shared" si="114"/>
        <v>0</v>
      </c>
      <c r="BD101" s="98">
        <f t="shared" si="115"/>
        <v>129.56939066218993</v>
      </c>
      <c r="BE101" s="98">
        <f t="shared" si="116"/>
        <v>0</v>
      </c>
      <c r="BF101" s="98">
        <f t="shared" si="117"/>
        <v>0</v>
      </c>
      <c r="BG101" s="98">
        <f t="shared" si="118"/>
        <v>0</v>
      </c>
      <c r="BH101" s="98">
        <f t="shared" si="119"/>
        <v>0</v>
      </c>
      <c r="BI101" s="98">
        <f t="shared" si="120"/>
        <v>583.06225797985473</v>
      </c>
      <c r="BJ101" s="98">
        <f t="shared" si="121"/>
        <v>0</v>
      </c>
      <c r="BK101" s="98">
        <f t="shared" si="122"/>
        <v>0</v>
      </c>
      <c r="BL101" s="98">
        <f t="shared" si="123"/>
        <v>0</v>
      </c>
      <c r="BM101" s="98">
        <f t="shared" si="124"/>
        <v>0</v>
      </c>
      <c r="BN101" s="98">
        <f t="shared" si="125"/>
        <v>0</v>
      </c>
      <c r="BO101" s="98">
        <f t="shared" si="126"/>
        <v>0</v>
      </c>
      <c r="BP101" s="98">
        <f t="shared" si="127"/>
        <v>0</v>
      </c>
      <c r="BQ101" s="98">
        <f t="shared" si="128"/>
        <v>0</v>
      </c>
      <c r="BR101" s="98">
        <f t="shared" si="129"/>
        <v>5917.0021735733408</v>
      </c>
    </row>
    <row r="102" spans="1:70" x14ac:dyDescent="0.25">
      <c r="A102" t="s">
        <v>55</v>
      </c>
      <c r="B102" t="s">
        <v>11</v>
      </c>
      <c r="C102">
        <v>2024</v>
      </c>
      <c r="D102" s="98">
        <f>INDEX('Reference Sheet'!$G$9:$J$100, MATCH(A102,'Reference Sheet'!$F$9:$F$100,0), MATCH(C102,'Reference Sheet'!$G$8:$J$8,0))/2080</f>
        <v>37.870995192307689</v>
      </c>
      <c r="E102" s="99">
        <f>VLOOKUP(C102,'Reference Sheet'!$A$2:$B$5,2)</f>
        <v>0.1913</v>
      </c>
      <c r="F102" s="98">
        <f t="shared" si="87"/>
        <v>45.115716572596149</v>
      </c>
      <c r="G102" s="98"/>
      <c r="H102" s="98"/>
      <c r="I102" s="21"/>
      <c r="J102" s="21"/>
      <c r="K102" s="21"/>
      <c r="L102" s="21">
        <v>16</v>
      </c>
      <c r="M102" s="21">
        <v>80</v>
      </c>
      <c r="N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>
        <v>64</v>
      </c>
      <c r="AA102" s="98">
        <f t="shared" si="86"/>
        <v>160</v>
      </c>
      <c r="AB102" s="98">
        <f>IF(OR(B102="",C102=""),"",SUMIFS('Reference Sheet'!$D$9:$D$42,'Reference Sheet'!$A$9:$A$42,C102,'Reference Sheet'!$B$9:$B$42,B102))</f>
        <v>160</v>
      </c>
      <c r="AC102" s="98">
        <f t="shared" si="88"/>
        <v>0</v>
      </c>
      <c r="AD102" s="100">
        <f t="shared" si="130"/>
        <v>0</v>
      </c>
      <c r="AE102" s="100">
        <f t="shared" si="131"/>
        <v>0</v>
      </c>
      <c r="AF102" s="100">
        <f t="shared" si="132"/>
        <v>0</v>
      </c>
      <c r="AG102" s="100">
        <f t="shared" si="133"/>
        <v>0</v>
      </c>
      <c r="AH102" s="100">
        <f t="shared" si="134"/>
        <v>0</v>
      </c>
      <c r="AI102" s="100">
        <f t="shared" si="135"/>
        <v>16</v>
      </c>
      <c r="AJ102" s="100">
        <f t="shared" si="136"/>
        <v>80</v>
      </c>
      <c r="AK102" s="100">
        <f t="shared" si="137"/>
        <v>0</v>
      </c>
      <c r="AL102" s="100">
        <f t="shared" si="97"/>
        <v>0</v>
      </c>
      <c r="AM102" s="100">
        <f t="shared" si="138"/>
        <v>0</v>
      </c>
      <c r="AN102" s="100">
        <f t="shared" si="139"/>
        <v>0</v>
      </c>
      <c r="AO102" s="100">
        <f t="shared" si="140"/>
        <v>0</v>
      </c>
      <c r="AP102" s="100">
        <f t="shared" si="141"/>
        <v>0</v>
      </c>
      <c r="AQ102" s="100">
        <f t="shared" si="142"/>
        <v>0</v>
      </c>
      <c r="AR102" s="100">
        <f t="shared" si="143"/>
        <v>0</v>
      </c>
      <c r="AS102" s="100">
        <f t="shared" si="144"/>
        <v>0</v>
      </c>
      <c r="AT102" s="100">
        <f t="shared" si="105"/>
        <v>0</v>
      </c>
      <c r="AU102" s="100">
        <f t="shared" si="106"/>
        <v>0</v>
      </c>
      <c r="AV102" s="100">
        <f t="shared" si="107"/>
        <v>0</v>
      </c>
      <c r="AW102" s="100">
        <f t="shared" si="108"/>
        <v>64</v>
      </c>
      <c r="AX102">
        <f t="shared" si="109"/>
        <v>160</v>
      </c>
      <c r="AY102" s="98">
        <f t="shared" si="110"/>
        <v>0</v>
      </c>
      <c r="AZ102" s="98">
        <f t="shared" si="111"/>
        <v>0</v>
      </c>
      <c r="BA102" s="98">
        <f t="shared" si="112"/>
        <v>0</v>
      </c>
      <c r="BB102" s="98">
        <f t="shared" si="113"/>
        <v>0</v>
      </c>
      <c r="BC102" s="98">
        <f t="shared" si="114"/>
        <v>0</v>
      </c>
      <c r="BD102" s="98">
        <f t="shared" si="115"/>
        <v>721.85146516153839</v>
      </c>
      <c r="BE102" s="98">
        <f t="shared" si="116"/>
        <v>3609.2573258076918</v>
      </c>
      <c r="BF102" s="98">
        <f t="shared" si="117"/>
        <v>0</v>
      </c>
      <c r="BG102" s="98">
        <f t="shared" si="118"/>
        <v>0</v>
      </c>
      <c r="BH102" s="98">
        <f t="shared" si="119"/>
        <v>0</v>
      </c>
      <c r="BI102" s="98">
        <f t="shared" si="120"/>
        <v>0</v>
      </c>
      <c r="BJ102" s="98">
        <f t="shared" si="121"/>
        <v>0</v>
      </c>
      <c r="BK102" s="98">
        <f t="shared" si="122"/>
        <v>0</v>
      </c>
      <c r="BL102" s="98">
        <f t="shared" si="123"/>
        <v>0</v>
      </c>
      <c r="BM102" s="98">
        <f t="shared" si="124"/>
        <v>0</v>
      </c>
      <c r="BN102" s="98">
        <f t="shared" si="125"/>
        <v>0</v>
      </c>
      <c r="BO102" s="98">
        <f t="shared" si="126"/>
        <v>0</v>
      </c>
      <c r="BP102" s="98">
        <f t="shared" si="127"/>
        <v>0</v>
      </c>
      <c r="BQ102" s="98">
        <f t="shared" si="128"/>
        <v>0</v>
      </c>
      <c r="BR102" s="98">
        <f t="shared" si="129"/>
        <v>2887.4058606461535</v>
      </c>
    </row>
    <row r="103" spans="1:70" x14ac:dyDescent="0.25">
      <c r="A103" t="s">
        <v>55</v>
      </c>
      <c r="B103" t="s">
        <v>7</v>
      </c>
      <c r="C103">
        <v>2024</v>
      </c>
      <c r="D103" s="98">
        <f>INDEX('Reference Sheet'!$G$9:$J$100, MATCH(A103,'Reference Sheet'!$F$9:$F$100,0), MATCH(C103,'Reference Sheet'!$G$8:$J$8,0))/2080</f>
        <v>37.870995192307689</v>
      </c>
      <c r="E103" s="99">
        <f>VLOOKUP(C103,'Reference Sheet'!$A$2:$B$5,2)</f>
        <v>0.1913</v>
      </c>
      <c r="F103" s="98">
        <f t="shared" si="87"/>
        <v>45.115716572596149</v>
      </c>
      <c r="G103" s="98"/>
      <c r="H103" s="98"/>
      <c r="I103" s="21"/>
      <c r="J103" s="21"/>
      <c r="K103" s="21"/>
      <c r="L103" s="21">
        <v>16.8</v>
      </c>
      <c r="M103" s="21">
        <v>84</v>
      </c>
      <c r="N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>
        <v>67.199999999999989</v>
      </c>
      <c r="AA103" s="98">
        <f t="shared" si="86"/>
        <v>168</v>
      </c>
      <c r="AB103" s="98">
        <f>IF(OR(B103="",C103=""),"",SUMIFS('Reference Sheet'!$D$9:$D$42,'Reference Sheet'!$A$9:$A$42,C103,'Reference Sheet'!$B$9:$B$42,B103))</f>
        <v>168</v>
      </c>
      <c r="AC103" s="98">
        <f t="shared" si="88"/>
        <v>0</v>
      </c>
      <c r="AD103" s="100">
        <f t="shared" si="130"/>
        <v>0</v>
      </c>
      <c r="AE103" s="100">
        <f t="shared" si="131"/>
        <v>0</v>
      </c>
      <c r="AF103" s="100">
        <f t="shared" si="132"/>
        <v>0</v>
      </c>
      <c r="AG103" s="100">
        <f t="shared" si="133"/>
        <v>0</v>
      </c>
      <c r="AH103" s="100">
        <f t="shared" si="134"/>
        <v>0</v>
      </c>
      <c r="AI103" s="100">
        <f t="shared" si="135"/>
        <v>16.8</v>
      </c>
      <c r="AJ103" s="100">
        <f t="shared" si="136"/>
        <v>84</v>
      </c>
      <c r="AK103" s="100">
        <f t="shared" si="137"/>
        <v>0</v>
      </c>
      <c r="AL103" s="100">
        <f t="shared" si="97"/>
        <v>0</v>
      </c>
      <c r="AM103" s="100">
        <f t="shared" si="138"/>
        <v>0</v>
      </c>
      <c r="AN103" s="100">
        <f t="shared" si="139"/>
        <v>0</v>
      </c>
      <c r="AO103" s="100">
        <f t="shared" si="140"/>
        <v>0</v>
      </c>
      <c r="AP103" s="100">
        <f t="shared" si="141"/>
        <v>0</v>
      </c>
      <c r="AQ103" s="100">
        <f t="shared" si="142"/>
        <v>0</v>
      </c>
      <c r="AR103" s="100">
        <f t="shared" si="143"/>
        <v>0</v>
      </c>
      <c r="AS103" s="100">
        <f t="shared" si="144"/>
        <v>0</v>
      </c>
      <c r="AT103" s="100">
        <f t="shared" si="105"/>
        <v>0</v>
      </c>
      <c r="AU103" s="100">
        <f t="shared" si="106"/>
        <v>0</v>
      </c>
      <c r="AV103" s="100">
        <f t="shared" si="107"/>
        <v>0</v>
      </c>
      <c r="AW103" s="100">
        <f t="shared" si="108"/>
        <v>67.199999999999989</v>
      </c>
      <c r="AX103">
        <f t="shared" si="109"/>
        <v>168</v>
      </c>
      <c r="AY103" s="98">
        <f t="shared" si="110"/>
        <v>0</v>
      </c>
      <c r="AZ103" s="98">
        <f t="shared" si="111"/>
        <v>0</v>
      </c>
      <c r="BA103" s="98">
        <f t="shared" si="112"/>
        <v>0</v>
      </c>
      <c r="BB103" s="98">
        <f t="shared" si="113"/>
        <v>0</v>
      </c>
      <c r="BC103" s="98">
        <f t="shared" si="114"/>
        <v>0</v>
      </c>
      <c r="BD103" s="98">
        <f t="shared" si="115"/>
        <v>757.94403841961537</v>
      </c>
      <c r="BE103" s="98">
        <f t="shared" si="116"/>
        <v>3789.7201920980765</v>
      </c>
      <c r="BF103" s="98">
        <f t="shared" si="117"/>
        <v>0</v>
      </c>
      <c r="BG103" s="98">
        <f t="shared" si="118"/>
        <v>0</v>
      </c>
      <c r="BH103" s="98">
        <f t="shared" si="119"/>
        <v>0</v>
      </c>
      <c r="BI103" s="98">
        <f t="shared" si="120"/>
        <v>0</v>
      </c>
      <c r="BJ103" s="98">
        <f t="shared" si="121"/>
        <v>0</v>
      </c>
      <c r="BK103" s="98">
        <f t="shared" si="122"/>
        <v>0</v>
      </c>
      <c r="BL103" s="98">
        <f t="shared" si="123"/>
        <v>0</v>
      </c>
      <c r="BM103" s="98">
        <f t="shared" si="124"/>
        <v>0</v>
      </c>
      <c r="BN103" s="98">
        <f t="shared" si="125"/>
        <v>0</v>
      </c>
      <c r="BO103" s="98">
        <f t="shared" si="126"/>
        <v>0</v>
      </c>
      <c r="BP103" s="98">
        <f t="shared" si="127"/>
        <v>0</v>
      </c>
      <c r="BQ103" s="98">
        <f t="shared" si="128"/>
        <v>0</v>
      </c>
      <c r="BR103" s="98">
        <f t="shared" si="129"/>
        <v>3031.7761536784606</v>
      </c>
    </row>
    <row r="104" spans="1:70" x14ac:dyDescent="0.25">
      <c r="A104" t="s">
        <v>55</v>
      </c>
      <c r="B104" t="s">
        <v>8</v>
      </c>
      <c r="C104">
        <v>2024</v>
      </c>
      <c r="D104" s="98">
        <f>INDEX('Reference Sheet'!$G$9:$J$100, MATCH(A104,'Reference Sheet'!$F$9:$F$100,0), MATCH(C104,'Reference Sheet'!$G$8:$J$8,0))/2080</f>
        <v>37.870995192307689</v>
      </c>
      <c r="E104" s="99">
        <f>VLOOKUP(C104,'Reference Sheet'!$A$2:$B$5,2)</f>
        <v>0.1913</v>
      </c>
      <c r="F104" s="98">
        <f t="shared" si="87"/>
        <v>45.115716572596149</v>
      </c>
      <c r="G104" s="98"/>
      <c r="H104" s="98"/>
      <c r="I104" s="21"/>
      <c r="J104" s="21"/>
      <c r="K104" s="21"/>
      <c r="L104" s="21">
        <v>16.8</v>
      </c>
      <c r="M104" s="21">
        <v>84</v>
      </c>
      <c r="N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>
        <v>67.199999999999989</v>
      </c>
      <c r="AA104" s="98">
        <f t="shared" si="86"/>
        <v>168</v>
      </c>
      <c r="AB104" s="98">
        <f>IF(OR(B104="",C104=""),"",SUMIFS('Reference Sheet'!$D$9:$D$42,'Reference Sheet'!$A$9:$A$42,C104,'Reference Sheet'!$B$9:$B$42,B104))</f>
        <v>168</v>
      </c>
      <c r="AC104" s="98">
        <f t="shared" si="88"/>
        <v>0</v>
      </c>
      <c r="AD104" s="100">
        <f t="shared" si="130"/>
        <v>0</v>
      </c>
      <c r="AE104" s="100">
        <f t="shared" si="131"/>
        <v>0</v>
      </c>
      <c r="AF104" s="100">
        <f t="shared" si="132"/>
        <v>0</v>
      </c>
      <c r="AG104" s="100">
        <f t="shared" si="133"/>
        <v>0</v>
      </c>
      <c r="AH104" s="100">
        <f t="shared" si="134"/>
        <v>0</v>
      </c>
      <c r="AI104" s="100">
        <f t="shared" si="135"/>
        <v>16.8</v>
      </c>
      <c r="AJ104" s="100">
        <f t="shared" si="136"/>
        <v>84</v>
      </c>
      <c r="AK104" s="100">
        <f t="shared" si="137"/>
        <v>0</v>
      </c>
      <c r="AL104" s="100">
        <f t="shared" si="97"/>
        <v>0</v>
      </c>
      <c r="AM104" s="100">
        <f t="shared" si="138"/>
        <v>0</v>
      </c>
      <c r="AN104" s="100">
        <f t="shared" si="139"/>
        <v>0</v>
      </c>
      <c r="AO104" s="100">
        <f t="shared" si="140"/>
        <v>0</v>
      </c>
      <c r="AP104" s="100">
        <f t="shared" si="141"/>
        <v>0</v>
      </c>
      <c r="AQ104" s="100">
        <f t="shared" si="142"/>
        <v>0</v>
      </c>
      <c r="AR104" s="100">
        <f t="shared" si="143"/>
        <v>0</v>
      </c>
      <c r="AS104" s="100">
        <f t="shared" si="144"/>
        <v>0</v>
      </c>
      <c r="AT104" s="100">
        <f t="shared" si="105"/>
        <v>0</v>
      </c>
      <c r="AU104" s="100">
        <f t="shared" si="106"/>
        <v>0</v>
      </c>
      <c r="AV104" s="100">
        <f t="shared" si="107"/>
        <v>0</v>
      </c>
      <c r="AW104" s="100">
        <f t="shared" si="108"/>
        <v>67.199999999999989</v>
      </c>
      <c r="AX104">
        <f t="shared" si="109"/>
        <v>168</v>
      </c>
      <c r="AY104" s="98">
        <f t="shared" si="110"/>
        <v>0</v>
      </c>
      <c r="AZ104" s="98">
        <f t="shared" si="111"/>
        <v>0</v>
      </c>
      <c r="BA104" s="98">
        <f t="shared" si="112"/>
        <v>0</v>
      </c>
      <c r="BB104" s="98">
        <f t="shared" si="113"/>
        <v>0</v>
      </c>
      <c r="BC104" s="98">
        <f t="shared" si="114"/>
        <v>0</v>
      </c>
      <c r="BD104" s="98">
        <f t="shared" si="115"/>
        <v>757.94403841961537</v>
      </c>
      <c r="BE104" s="98">
        <f t="shared" si="116"/>
        <v>3789.7201920980765</v>
      </c>
      <c r="BF104" s="98">
        <f t="shared" si="117"/>
        <v>0</v>
      </c>
      <c r="BG104" s="98">
        <f t="shared" si="118"/>
        <v>0</v>
      </c>
      <c r="BH104" s="98">
        <f t="shared" si="119"/>
        <v>0</v>
      </c>
      <c r="BI104" s="98">
        <f t="shared" si="120"/>
        <v>0</v>
      </c>
      <c r="BJ104" s="98">
        <f t="shared" si="121"/>
        <v>0</v>
      </c>
      <c r="BK104" s="98">
        <f t="shared" si="122"/>
        <v>0</v>
      </c>
      <c r="BL104" s="98">
        <f t="shared" si="123"/>
        <v>0</v>
      </c>
      <c r="BM104" s="98">
        <f t="shared" si="124"/>
        <v>0</v>
      </c>
      <c r="BN104" s="98">
        <f t="shared" si="125"/>
        <v>0</v>
      </c>
      <c r="BO104" s="98">
        <f t="shared" si="126"/>
        <v>0</v>
      </c>
      <c r="BP104" s="98">
        <f t="shared" si="127"/>
        <v>0</v>
      </c>
      <c r="BQ104" s="98">
        <f t="shared" si="128"/>
        <v>0</v>
      </c>
      <c r="BR104" s="98">
        <f t="shared" si="129"/>
        <v>3031.7761536784606</v>
      </c>
    </row>
    <row r="105" spans="1:70" x14ac:dyDescent="0.25">
      <c r="A105" t="s">
        <v>55</v>
      </c>
      <c r="B105" t="s">
        <v>14</v>
      </c>
      <c r="C105">
        <v>2024</v>
      </c>
      <c r="D105" s="98">
        <f>INDEX('Reference Sheet'!$G$9:$J$100, MATCH(A105,'Reference Sheet'!$F$9:$F$100,0), MATCH(C105,'Reference Sheet'!$G$8:$J$8,0))/2080</f>
        <v>37.870995192307689</v>
      </c>
      <c r="E105" s="99">
        <f>VLOOKUP(C105,'Reference Sheet'!$A$2:$B$5,2)</f>
        <v>0.1913</v>
      </c>
      <c r="F105" s="98">
        <f t="shared" si="87"/>
        <v>45.115716572596149</v>
      </c>
      <c r="G105" s="98"/>
      <c r="H105" s="98"/>
      <c r="I105" s="21"/>
      <c r="J105" s="21"/>
      <c r="K105" s="21"/>
      <c r="L105" s="21">
        <v>16.8</v>
      </c>
      <c r="M105" s="21">
        <v>84</v>
      </c>
      <c r="N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>
        <v>67.199999999999989</v>
      </c>
      <c r="AA105" s="98">
        <f t="shared" si="86"/>
        <v>168</v>
      </c>
      <c r="AB105" s="98">
        <f>IF(OR(B105="",C105=""),"",SUMIFS('Reference Sheet'!$D$9:$D$42,'Reference Sheet'!$A$9:$A$42,C105,'Reference Sheet'!$B$9:$B$42,B105))</f>
        <v>168</v>
      </c>
      <c r="AC105" s="98">
        <f t="shared" si="88"/>
        <v>0</v>
      </c>
      <c r="AD105" s="100">
        <f t="shared" si="130"/>
        <v>0</v>
      </c>
      <c r="AE105" s="100">
        <f t="shared" si="131"/>
        <v>0</v>
      </c>
      <c r="AF105" s="100">
        <f t="shared" si="132"/>
        <v>0</v>
      </c>
      <c r="AG105" s="100">
        <f t="shared" si="133"/>
        <v>0</v>
      </c>
      <c r="AH105" s="100">
        <f t="shared" si="134"/>
        <v>0</v>
      </c>
      <c r="AI105" s="100">
        <f t="shared" si="135"/>
        <v>16.8</v>
      </c>
      <c r="AJ105" s="100">
        <f t="shared" si="136"/>
        <v>84</v>
      </c>
      <c r="AK105" s="100">
        <f t="shared" si="137"/>
        <v>0</v>
      </c>
      <c r="AL105" s="100">
        <f t="shared" si="97"/>
        <v>0</v>
      </c>
      <c r="AM105" s="100">
        <f t="shared" si="138"/>
        <v>0</v>
      </c>
      <c r="AN105" s="100">
        <f t="shared" si="139"/>
        <v>0</v>
      </c>
      <c r="AO105" s="100">
        <f t="shared" si="140"/>
        <v>0</v>
      </c>
      <c r="AP105" s="100">
        <f t="shared" si="141"/>
        <v>0</v>
      </c>
      <c r="AQ105" s="100">
        <f t="shared" si="142"/>
        <v>0</v>
      </c>
      <c r="AR105" s="100">
        <f t="shared" si="143"/>
        <v>0</v>
      </c>
      <c r="AS105" s="100">
        <f t="shared" si="144"/>
        <v>0</v>
      </c>
      <c r="AT105" s="100">
        <f t="shared" si="105"/>
        <v>0</v>
      </c>
      <c r="AU105" s="100">
        <f t="shared" si="106"/>
        <v>0</v>
      </c>
      <c r="AV105" s="100">
        <f t="shared" si="107"/>
        <v>0</v>
      </c>
      <c r="AW105" s="100">
        <f t="shared" si="108"/>
        <v>67.199999999999989</v>
      </c>
      <c r="AX105">
        <f t="shared" si="109"/>
        <v>168</v>
      </c>
      <c r="AY105" s="98">
        <f t="shared" si="110"/>
        <v>0</v>
      </c>
      <c r="AZ105" s="98">
        <f t="shared" si="111"/>
        <v>0</v>
      </c>
      <c r="BA105" s="98">
        <f t="shared" si="112"/>
        <v>0</v>
      </c>
      <c r="BB105" s="98">
        <f t="shared" si="113"/>
        <v>0</v>
      </c>
      <c r="BC105" s="98">
        <f t="shared" si="114"/>
        <v>0</v>
      </c>
      <c r="BD105" s="98">
        <f t="shared" si="115"/>
        <v>757.94403841961537</v>
      </c>
      <c r="BE105" s="98">
        <f t="shared" si="116"/>
        <v>3789.7201920980765</v>
      </c>
      <c r="BF105" s="98">
        <f t="shared" si="117"/>
        <v>0</v>
      </c>
      <c r="BG105" s="98">
        <f t="shared" si="118"/>
        <v>0</v>
      </c>
      <c r="BH105" s="98">
        <f t="shared" si="119"/>
        <v>0</v>
      </c>
      <c r="BI105" s="98">
        <f t="shared" si="120"/>
        <v>0</v>
      </c>
      <c r="BJ105" s="98">
        <f t="shared" si="121"/>
        <v>0</v>
      </c>
      <c r="BK105" s="98">
        <f t="shared" si="122"/>
        <v>0</v>
      </c>
      <c r="BL105" s="98">
        <f t="shared" si="123"/>
        <v>0</v>
      </c>
      <c r="BM105" s="98">
        <f t="shared" si="124"/>
        <v>0</v>
      </c>
      <c r="BN105" s="98">
        <f t="shared" si="125"/>
        <v>0</v>
      </c>
      <c r="BO105" s="98">
        <f t="shared" si="126"/>
        <v>0</v>
      </c>
      <c r="BP105" s="98">
        <f t="shared" si="127"/>
        <v>0</v>
      </c>
      <c r="BQ105" s="98">
        <f t="shared" si="128"/>
        <v>0</v>
      </c>
      <c r="BR105" s="98">
        <f t="shared" si="129"/>
        <v>3031.7761536784606</v>
      </c>
    </row>
    <row r="106" spans="1:70" x14ac:dyDescent="0.25">
      <c r="A106" t="s">
        <v>55</v>
      </c>
      <c r="B106" t="s">
        <v>16</v>
      </c>
      <c r="C106">
        <v>2024</v>
      </c>
      <c r="D106" s="98">
        <f>INDEX('Reference Sheet'!$G$9:$J$100, MATCH(A106,'Reference Sheet'!$F$9:$F$100,0), MATCH(C106,'Reference Sheet'!$G$8:$J$8,0))/2080</f>
        <v>37.870995192307689</v>
      </c>
      <c r="E106" s="99">
        <f>VLOOKUP(C106,'Reference Sheet'!$A$2:$B$5,2)</f>
        <v>0.1913</v>
      </c>
      <c r="F106" s="98">
        <f t="shared" si="87"/>
        <v>45.115716572596149</v>
      </c>
      <c r="G106" s="98"/>
      <c r="H106" s="98"/>
      <c r="I106" s="21"/>
      <c r="J106" s="21"/>
      <c r="K106" s="21"/>
      <c r="L106" s="21">
        <v>16.8</v>
      </c>
      <c r="M106" s="21">
        <v>84</v>
      </c>
      <c r="N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>
        <v>67.199999999999989</v>
      </c>
      <c r="AA106" s="98">
        <f t="shared" si="86"/>
        <v>168</v>
      </c>
      <c r="AB106" s="98">
        <f>IF(OR(B106="",C106=""),"",SUMIFS('Reference Sheet'!$D$9:$D$42,'Reference Sheet'!$A$9:$A$42,C106,'Reference Sheet'!$B$9:$B$42,B106))</f>
        <v>168</v>
      </c>
      <c r="AC106" s="98">
        <f t="shared" si="88"/>
        <v>0</v>
      </c>
      <c r="AD106" s="100">
        <f t="shared" si="130"/>
        <v>0</v>
      </c>
      <c r="AE106" s="100">
        <f t="shared" si="131"/>
        <v>0</v>
      </c>
      <c r="AF106" s="100">
        <f t="shared" si="132"/>
        <v>0</v>
      </c>
      <c r="AG106" s="100">
        <f t="shared" si="133"/>
        <v>0</v>
      </c>
      <c r="AH106" s="100">
        <f t="shared" si="134"/>
        <v>0</v>
      </c>
      <c r="AI106" s="100">
        <f t="shared" si="135"/>
        <v>16.8</v>
      </c>
      <c r="AJ106" s="100">
        <f t="shared" si="136"/>
        <v>84</v>
      </c>
      <c r="AK106" s="100">
        <f t="shared" si="137"/>
        <v>0</v>
      </c>
      <c r="AL106" s="100">
        <f t="shared" si="97"/>
        <v>0</v>
      </c>
      <c r="AM106" s="100">
        <f t="shared" si="138"/>
        <v>0</v>
      </c>
      <c r="AN106" s="100">
        <f t="shared" si="139"/>
        <v>0</v>
      </c>
      <c r="AO106" s="100">
        <f t="shared" si="140"/>
        <v>0</v>
      </c>
      <c r="AP106" s="100">
        <f t="shared" si="141"/>
        <v>0</v>
      </c>
      <c r="AQ106" s="100">
        <f t="shared" si="142"/>
        <v>0</v>
      </c>
      <c r="AR106" s="100">
        <f t="shared" si="143"/>
        <v>0</v>
      </c>
      <c r="AS106" s="100">
        <f t="shared" si="144"/>
        <v>0</v>
      </c>
      <c r="AT106" s="100">
        <f t="shared" si="105"/>
        <v>0</v>
      </c>
      <c r="AU106" s="100">
        <f t="shared" si="106"/>
        <v>0</v>
      </c>
      <c r="AV106" s="100">
        <f t="shared" si="107"/>
        <v>0</v>
      </c>
      <c r="AW106" s="100">
        <f t="shared" si="108"/>
        <v>67.199999999999989</v>
      </c>
      <c r="AX106">
        <f t="shared" si="109"/>
        <v>168</v>
      </c>
      <c r="AY106" s="98">
        <f t="shared" si="110"/>
        <v>0</v>
      </c>
      <c r="AZ106" s="98">
        <f t="shared" si="111"/>
        <v>0</v>
      </c>
      <c r="BA106" s="98">
        <f t="shared" si="112"/>
        <v>0</v>
      </c>
      <c r="BB106" s="98">
        <f t="shared" si="113"/>
        <v>0</v>
      </c>
      <c r="BC106" s="98">
        <f t="shared" si="114"/>
        <v>0</v>
      </c>
      <c r="BD106" s="98">
        <f t="shared" si="115"/>
        <v>757.94403841961537</v>
      </c>
      <c r="BE106" s="98">
        <f t="shared" si="116"/>
        <v>3789.7201920980765</v>
      </c>
      <c r="BF106" s="98">
        <f t="shared" si="117"/>
        <v>0</v>
      </c>
      <c r="BG106" s="98">
        <f t="shared" si="118"/>
        <v>0</v>
      </c>
      <c r="BH106" s="98">
        <f t="shared" si="119"/>
        <v>0</v>
      </c>
      <c r="BI106" s="98">
        <f t="shared" si="120"/>
        <v>0</v>
      </c>
      <c r="BJ106" s="98">
        <f t="shared" si="121"/>
        <v>0</v>
      </c>
      <c r="BK106" s="98">
        <f t="shared" si="122"/>
        <v>0</v>
      </c>
      <c r="BL106" s="98">
        <f t="shared" si="123"/>
        <v>0</v>
      </c>
      <c r="BM106" s="98">
        <f t="shared" si="124"/>
        <v>0</v>
      </c>
      <c r="BN106" s="98">
        <f t="shared" si="125"/>
        <v>0</v>
      </c>
      <c r="BO106" s="98">
        <f t="shared" si="126"/>
        <v>0</v>
      </c>
      <c r="BP106" s="98">
        <f t="shared" si="127"/>
        <v>0</v>
      </c>
      <c r="BQ106" s="98">
        <f t="shared" si="128"/>
        <v>0</v>
      </c>
      <c r="BR106" s="98">
        <f t="shared" si="129"/>
        <v>3031.7761536784606</v>
      </c>
    </row>
    <row r="107" spans="1:70" x14ac:dyDescent="0.25">
      <c r="A107" t="s">
        <v>55</v>
      </c>
      <c r="B107" t="s">
        <v>9</v>
      </c>
      <c r="C107">
        <v>2024</v>
      </c>
      <c r="D107" s="98">
        <f>INDEX('Reference Sheet'!$G$9:$J$100, MATCH(A107,'Reference Sheet'!$F$9:$F$100,0), MATCH(C107,'Reference Sheet'!$G$8:$J$8,0))/2080</f>
        <v>37.870995192307689</v>
      </c>
      <c r="E107" s="99">
        <f>VLOOKUP(C107,'Reference Sheet'!$A$2:$B$5,2)</f>
        <v>0.1913</v>
      </c>
      <c r="F107" s="98">
        <f t="shared" si="87"/>
        <v>45.115716572596149</v>
      </c>
      <c r="G107" s="98"/>
      <c r="H107" s="98"/>
      <c r="I107" s="21"/>
      <c r="J107" s="21"/>
      <c r="K107" s="21"/>
      <c r="L107" s="21">
        <v>17.600000000000001</v>
      </c>
      <c r="M107" s="21">
        <v>88</v>
      </c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>
        <v>70.400000000000006</v>
      </c>
      <c r="AA107" s="98">
        <f t="shared" si="86"/>
        <v>176</v>
      </c>
      <c r="AB107" s="98">
        <f>IF(OR(B107="",C107=""),"",SUMIFS('Reference Sheet'!$D$9:$D$42,'Reference Sheet'!$A$9:$A$42,C107,'Reference Sheet'!$B$9:$B$42,B107))</f>
        <v>176</v>
      </c>
      <c r="AC107" s="98">
        <f t="shared" si="88"/>
        <v>0</v>
      </c>
      <c r="AD107" s="100">
        <f t="shared" si="130"/>
        <v>0</v>
      </c>
      <c r="AE107" s="100">
        <f t="shared" si="131"/>
        <v>0</v>
      </c>
      <c r="AF107" s="100">
        <f t="shared" si="132"/>
        <v>0</v>
      </c>
      <c r="AG107" s="100">
        <f t="shared" si="133"/>
        <v>0</v>
      </c>
      <c r="AH107" s="100">
        <f t="shared" si="134"/>
        <v>0</v>
      </c>
      <c r="AI107" s="100">
        <f t="shared" si="135"/>
        <v>17.600000000000001</v>
      </c>
      <c r="AJ107" s="100">
        <f t="shared" si="136"/>
        <v>88</v>
      </c>
      <c r="AK107" s="100">
        <f t="shared" si="137"/>
        <v>0</v>
      </c>
      <c r="AL107" s="100">
        <f t="shared" si="97"/>
        <v>0</v>
      </c>
      <c r="AM107" s="100">
        <f t="shared" si="138"/>
        <v>0</v>
      </c>
      <c r="AN107" s="100">
        <f t="shared" si="139"/>
        <v>0</v>
      </c>
      <c r="AO107" s="100">
        <f t="shared" si="140"/>
        <v>0</v>
      </c>
      <c r="AP107" s="100">
        <f t="shared" si="141"/>
        <v>0</v>
      </c>
      <c r="AQ107" s="100">
        <f t="shared" si="142"/>
        <v>0</v>
      </c>
      <c r="AR107" s="100">
        <f t="shared" si="143"/>
        <v>0</v>
      </c>
      <c r="AS107" s="100">
        <f t="shared" si="144"/>
        <v>0</v>
      </c>
      <c r="AT107" s="100">
        <f t="shared" si="105"/>
        <v>0</v>
      </c>
      <c r="AU107" s="100">
        <f t="shared" si="106"/>
        <v>0</v>
      </c>
      <c r="AV107" s="100">
        <f t="shared" si="107"/>
        <v>0</v>
      </c>
      <c r="AW107" s="100">
        <f t="shared" si="108"/>
        <v>70.400000000000006</v>
      </c>
      <c r="AX107">
        <f t="shared" si="109"/>
        <v>176</v>
      </c>
      <c r="AY107" s="98">
        <f t="shared" si="110"/>
        <v>0</v>
      </c>
      <c r="AZ107" s="98">
        <f t="shared" si="111"/>
        <v>0</v>
      </c>
      <c r="BA107" s="98">
        <f t="shared" si="112"/>
        <v>0</v>
      </c>
      <c r="BB107" s="98">
        <f t="shared" si="113"/>
        <v>0</v>
      </c>
      <c r="BC107" s="98">
        <f t="shared" si="114"/>
        <v>0</v>
      </c>
      <c r="BD107" s="98">
        <f t="shared" si="115"/>
        <v>794.03661167769224</v>
      </c>
      <c r="BE107" s="98">
        <f t="shared" si="116"/>
        <v>3970.1830583884612</v>
      </c>
      <c r="BF107" s="98">
        <f t="shared" si="117"/>
        <v>0</v>
      </c>
      <c r="BG107" s="98">
        <f t="shared" si="118"/>
        <v>0</v>
      </c>
      <c r="BH107" s="98">
        <f t="shared" si="119"/>
        <v>0</v>
      </c>
      <c r="BI107" s="98">
        <f t="shared" si="120"/>
        <v>0</v>
      </c>
      <c r="BJ107" s="98">
        <f t="shared" si="121"/>
        <v>0</v>
      </c>
      <c r="BK107" s="98">
        <f t="shared" si="122"/>
        <v>0</v>
      </c>
      <c r="BL107" s="98">
        <f t="shared" si="123"/>
        <v>0</v>
      </c>
      <c r="BM107" s="98">
        <f t="shared" si="124"/>
        <v>0</v>
      </c>
      <c r="BN107" s="98">
        <f t="shared" si="125"/>
        <v>0</v>
      </c>
      <c r="BO107" s="98">
        <f t="shared" si="126"/>
        <v>0</v>
      </c>
      <c r="BP107" s="98">
        <f t="shared" si="127"/>
        <v>0</v>
      </c>
      <c r="BQ107" s="98">
        <f t="shared" si="128"/>
        <v>0</v>
      </c>
      <c r="BR107" s="98">
        <f t="shared" si="129"/>
        <v>3176.1464467107689</v>
      </c>
    </row>
    <row r="108" spans="1:70" x14ac:dyDescent="0.25">
      <c r="A108" t="s">
        <v>55</v>
      </c>
      <c r="B108" t="s">
        <v>13</v>
      </c>
      <c r="C108">
        <v>2024</v>
      </c>
      <c r="D108" s="98">
        <f>INDEX('Reference Sheet'!$G$9:$J$100, MATCH(A108,'Reference Sheet'!$F$9:$F$100,0), MATCH(C108,'Reference Sheet'!$G$8:$J$8,0))/2080</f>
        <v>37.870995192307689</v>
      </c>
      <c r="E108" s="99">
        <f>VLOOKUP(C108,'Reference Sheet'!$A$2:$B$5,2)</f>
        <v>0.1913</v>
      </c>
      <c r="F108" s="98">
        <f t="shared" si="87"/>
        <v>45.115716572596149</v>
      </c>
      <c r="G108" s="98"/>
      <c r="H108" s="98"/>
      <c r="I108" s="21"/>
      <c r="J108" s="21"/>
      <c r="K108" s="21"/>
      <c r="L108" s="21">
        <v>17.600000000000001</v>
      </c>
      <c r="M108" s="21">
        <v>88</v>
      </c>
      <c r="N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>
        <v>70.400000000000006</v>
      </c>
      <c r="AA108" s="98">
        <f t="shared" si="86"/>
        <v>176</v>
      </c>
      <c r="AB108" s="98">
        <f>IF(OR(B108="",C108=""),"",SUMIFS('Reference Sheet'!$D$9:$D$42,'Reference Sheet'!$A$9:$A$42,C108,'Reference Sheet'!$B$9:$B$42,B108))</f>
        <v>176</v>
      </c>
      <c r="AC108" s="98">
        <f t="shared" si="88"/>
        <v>0</v>
      </c>
      <c r="AD108" s="100">
        <f t="shared" si="130"/>
        <v>0</v>
      </c>
      <c r="AE108" s="100">
        <f t="shared" si="131"/>
        <v>0</v>
      </c>
      <c r="AF108" s="100">
        <f t="shared" si="132"/>
        <v>0</v>
      </c>
      <c r="AG108" s="100">
        <f t="shared" si="133"/>
        <v>0</v>
      </c>
      <c r="AH108" s="100">
        <f t="shared" si="134"/>
        <v>0</v>
      </c>
      <c r="AI108" s="100">
        <f t="shared" si="135"/>
        <v>17.600000000000001</v>
      </c>
      <c r="AJ108" s="100">
        <f t="shared" si="136"/>
        <v>88</v>
      </c>
      <c r="AK108" s="100">
        <f t="shared" si="137"/>
        <v>0</v>
      </c>
      <c r="AL108" s="100">
        <f t="shared" si="97"/>
        <v>0</v>
      </c>
      <c r="AM108" s="100">
        <f t="shared" si="138"/>
        <v>0</v>
      </c>
      <c r="AN108" s="100">
        <f t="shared" si="139"/>
        <v>0</v>
      </c>
      <c r="AO108" s="100">
        <f t="shared" si="140"/>
        <v>0</v>
      </c>
      <c r="AP108" s="100">
        <f t="shared" si="141"/>
        <v>0</v>
      </c>
      <c r="AQ108" s="100">
        <f t="shared" si="142"/>
        <v>0</v>
      </c>
      <c r="AR108" s="100">
        <f t="shared" si="143"/>
        <v>0</v>
      </c>
      <c r="AS108" s="100">
        <f t="shared" si="144"/>
        <v>0</v>
      </c>
      <c r="AT108" s="100">
        <f t="shared" si="105"/>
        <v>0</v>
      </c>
      <c r="AU108" s="100">
        <f t="shared" si="106"/>
        <v>0</v>
      </c>
      <c r="AV108" s="100">
        <f t="shared" si="107"/>
        <v>0</v>
      </c>
      <c r="AW108" s="100">
        <f t="shared" si="108"/>
        <v>70.400000000000006</v>
      </c>
      <c r="AX108">
        <f t="shared" si="109"/>
        <v>176</v>
      </c>
      <c r="AY108" s="98">
        <f t="shared" si="110"/>
        <v>0</v>
      </c>
      <c r="AZ108" s="98">
        <f t="shared" si="111"/>
        <v>0</v>
      </c>
      <c r="BA108" s="98">
        <f t="shared" si="112"/>
        <v>0</v>
      </c>
      <c r="BB108" s="98">
        <f t="shared" si="113"/>
        <v>0</v>
      </c>
      <c r="BC108" s="98">
        <f t="shared" si="114"/>
        <v>0</v>
      </c>
      <c r="BD108" s="98">
        <f t="shared" si="115"/>
        <v>794.03661167769224</v>
      </c>
      <c r="BE108" s="98">
        <f t="shared" si="116"/>
        <v>3970.1830583884612</v>
      </c>
      <c r="BF108" s="98">
        <f t="shared" si="117"/>
        <v>0</v>
      </c>
      <c r="BG108" s="98">
        <f t="shared" si="118"/>
        <v>0</v>
      </c>
      <c r="BH108" s="98">
        <f t="shared" si="119"/>
        <v>0</v>
      </c>
      <c r="BI108" s="98">
        <f t="shared" si="120"/>
        <v>0</v>
      </c>
      <c r="BJ108" s="98">
        <f t="shared" si="121"/>
        <v>0</v>
      </c>
      <c r="BK108" s="98">
        <f t="shared" si="122"/>
        <v>0</v>
      </c>
      <c r="BL108" s="98">
        <f t="shared" si="123"/>
        <v>0</v>
      </c>
      <c r="BM108" s="98">
        <f t="shared" si="124"/>
        <v>0</v>
      </c>
      <c r="BN108" s="98">
        <f t="shared" si="125"/>
        <v>0</v>
      </c>
      <c r="BO108" s="98">
        <f t="shared" si="126"/>
        <v>0</v>
      </c>
      <c r="BP108" s="98">
        <f t="shared" si="127"/>
        <v>0</v>
      </c>
      <c r="BQ108" s="98">
        <f t="shared" si="128"/>
        <v>0</v>
      </c>
      <c r="BR108" s="98">
        <f t="shared" si="129"/>
        <v>3176.1464467107689</v>
      </c>
    </row>
    <row r="109" spans="1:70" x14ac:dyDescent="0.25">
      <c r="A109" t="s">
        <v>55</v>
      </c>
      <c r="B109" t="s">
        <v>17</v>
      </c>
      <c r="C109">
        <v>2024</v>
      </c>
      <c r="D109" s="98">
        <f>INDEX('Reference Sheet'!$G$9:$J$100, MATCH(A109,'Reference Sheet'!$F$9:$F$100,0), MATCH(C109,'Reference Sheet'!$G$8:$J$8,0))/2080</f>
        <v>37.870995192307689</v>
      </c>
      <c r="E109" s="99">
        <f>VLOOKUP(C109,'Reference Sheet'!$A$2:$B$5,2)</f>
        <v>0.1913</v>
      </c>
      <c r="F109" s="98">
        <f t="shared" si="87"/>
        <v>45.115716572596149</v>
      </c>
      <c r="G109" s="98"/>
      <c r="H109" s="98"/>
      <c r="I109" s="21"/>
      <c r="J109" s="21"/>
      <c r="K109" s="21"/>
      <c r="L109" s="21">
        <v>17.600000000000001</v>
      </c>
      <c r="M109" s="21">
        <v>88</v>
      </c>
      <c r="N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>
        <v>70.400000000000006</v>
      </c>
      <c r="AA109" s="98">
        <f t="shared" si="86"/>
        <v>176</v>
      </c>
      <c r="AB109" s="98">
        <f>IF(OR(B109="",C109=""),"",SUMIFS('Reference Sheet'!$D$9:$D$42,'Reference Sheet'!$A$9:$A$42,C109,'Reference Sheet'!$B$9:$B$42,B109))</f>
        <v>176</v>
      </c>
      <c r="AC109" s="98">
        <f t="shared" si="88"/>
        <v>0</v>
      </c>
      <c r="AD109" s="100">
        <f t="shared" si="130"/>
        <v>0</v>
      </c>
      <c r="AE109" s="100">
        <f t="shared" si="131"/>
        <v>0</v>
      </c>
      <c r="AF109" s="100">
        <f t="shared" si="132"/>
        <v>0</v>
      </c>
      <c r="AG109" s="100">
        <f t="shared" si="133"/>
        <v>0</v>
      </c>
      <c r="AH109" s="100">
        <f t="shared" si="134"/>
        <v>0</v>
      </c>
      <c r="AI109" s="100">
        <f t="shared" si="135"/>
        <v>17.600000000000001</v>
      </c>
      <c r="AJ109" s="100">
        <f t="shared" si="136"/>
        <v>88</v>
      </c>
      <c r="AK109" s="100">
        <f t="shared" si="137"/>
        <v>0</v>
      </c>
      <c r="AL109" s="100">
        <f t="shared" si="97"/>
        <v>0</v>
      </c>
      <c r="AM109" s="100">
        <f t="shared" si="138"/>
        <v>0</v>
      </c>
      <c r="AN109" s="100">
        <f t="shared" si="139"/>
        <v>0</v>
      </c>
      <c r="AO109" s="100">
        <f t="shared" si="140"/>
        <v>0</v>
      </c>
      <c r="AP109" s="100">
        <f t="shared" si="141"/>
        <v>0</v>
      </c>
      <c r="AQ109" s="100">
        <f t="shared" si="142"/>
        <v>0</v>
      </c>
      <c r="AR109" s="100">
        <f t="shared" si="143"/>
        <v>0</v>
      </c>
      <c r="AS109" s="100">
        <f t="shared" si="144"/>
        <v>0</v>
      </c>
      <c r="AT109" s="100">
        <f t="shared" si="105"/>
        <v>0</v>
      </c>
      <c r="AU109" s="100">
        <f t="shared" si="106"/>
        <v>0</v>
      </c>
      <c r="AV109" s="100">
        <f t="shared" si="107"/>
        <v>0</v>
      </c>
      <c r="AW109" s="100">
        <f t="shared" si="108"/>
        <v>70.400000000000006</v>
      </c>
      <c r="AX109">
        <f t="shared" si="109"/>
        <v>176</v>
      </c>
      <c r="AY109" s="98">
        <f t="shared" si="110"/>
        <v>0</v>
      </c>
      <c r="AZ109" s="98">
        <f t="shared" si="111"/>
        <v>0</v>
      </c>
      <c r="BA109" s="98">
        <f t="shared" si="112"/>
        <v>0</v>
      </c>
      <c r="BB109" s="98">
        <f t="shared" si="113"/>
        <v>0</v>
      </c>
      <c r="BC109" s="98">
        <f t="shared" si="114"/>
        <v>0</v>
      </c>
      <c r="BD109" s="98">
        <f t="shared" si="115"/>
        <v>794.03661167769224</v>
      </c>
      <c r="BE109" s="98">
        <f t="shared" si="116"/>
        <v>3970.1830583884612</v>
      </c>
      <c r="BF109" s="98">
        <f t="shared" si="117"/>
        <v>0</v>
      </c>
      <c r="BG109" s="98">
        <f t="shared" si="118"/>
        <v>0</v>
      </c>
      <c r="BH109" s="98">
        <f t="shared" si="119"/>
        <v>0</v>
      </c>
      <c r="BI109" s="98">
        <f t="shared" si="120"/>
        <v>0</v>
      </c>
      <c r="BJ109" s="98">
        <f t="shared" si="121"/>
        <v>0</v>
      </c>
      <c r="BK109" s="98">
        <f t="shared" si="122"/>
        <v>0</v>
      </c>
      <c r="BL109" s="98">
        <f t="shared" si="123"/>
        <v>0</v>
      </c>
      <c r="BM109" s="98">
        <f t="shared" si="124"/>
        <v>0</v>
      </c>
      <c r="BN109" s="98">
        <f t="shared" si="125"/>
        <v>0</v>
      </c>
      <c r="BO109" s="98">
        <f t="shared" si="126"/>
        <v>0</v>
      </c>
      <c r="BP109" s="98">
        <f t="shared" si="127"/>
        <v>0</v>
      </c>
      <c r="BQ109" s="98">
        <f t="shared" si="128"/>
        <v>0</v>
      </c>
      <c r="BR109" s="98">
        <f t="shared" si="129"/>
        <v>3176.1464467107689</v>
      </c>
    </row>
    <row r="110" spans="1:70" x14ac:dyDescent="0.25">
      <c r="A110" t="s">
        <v>55</v>
      </c>
      <c r="B110" t="s">
        <v>6</v>
      </c>
      <c r="C110">
        <v>2024</v>
      </c>
      <c r="D110" s="98">
        <f>INDEX('Reference Sheet'!$G$9:$J$100, MATCH(A110,'Reference Sheet'!$F$9:$F$100,0), MATCH(C110,'Reference Sheet'!$G$8:$J$8,0))/2080</f>
        <v>37.870995192307689</v>
      </c>
      <c r="E110" s="99">
        <f>VLOOKUP(C110,'Reference Sheet'!$A$2:$B$5,2)</f>
        <v>0.1913</v>
      </c>
      <c r="F110" s="98">
        <f t="shared" si="87"/>
        <v>45.115716572596149</v>
      </c>
      <c r="G110" s="98"/>
      <c r="H110" s="98"/>
      <c r="I110" s="21"/>
      <c r="J110" s="21"/>
      <c r="K110" s="21"/>
      <c r="L110" s="21">
        <v>18.400000000000002</v>
      </c>
      <c r="M110" s="21">
        <v>92</v>
      </c>
      <c r="N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>
        <v>73.599999999999994</v>
      </c>
      <c r="AA110" s="98">
        <f t="shared" si="86"/>
        <v>184</v>
      </c>
      <c r="AB110" s="98">
        <f>IF(OR(B110="",C110=""),"",SUMIFS('Reference Sheet'!$D$9:$D$42,'Reference Sheet'!$A$9:$A$42,C110,'Reference Sheet'!$B$9:$B$42,B110))</f>
        <v>184</v>
      </c>
      <c r="AC110" s="98">
        <f t="shared" si="88"/>
        <v>0</v>
      </c>
      <c r="AD110" s="100">
        <f t="shared" si="130"/>
        <v>0</v>
      </c>
      <c r="AE110" s="100">
        <f t="shared" si="131"/>
        <v>0</v>
      </c>
      <c r="AF110" s="100">
        <f t="shared" si="132"/>
        <v>0</v>
      </c>
      <c r="AG110" s="100">
        <f t="shared" si="133"/>
        <v>0</v>
      </c>
      <c r="AH110" s="100">
        <f t="shared" si="134"/>
        <v>0</v>
      </c>
      <c r="AI110" s="100">
        <f t="shared" si="135"/>
        <v>18.400000000000002</v>
      </c>
      <c r="AJ110" s="100">
        <f t="shared" si="136"/>
        <v>92</v>
      </c>
      <c r="AK110" s="100">
        <f t="shared" si="137"/>
        <v>0</v>
      </c>
      <c r="AL110" s="100">
        <f t="shared" si="97"/>
        <v>0</v>
      </c>
      <c r="AM110" s="100">
        <f t="shared" si="138"/>
        <v>0</v>
      </c>
      <c r="AN110" s="100">
        <f t="shared" si="139"/>
        <v>0</v>
      </c>
      <c r="AO110" s="100">
        <f t="shared" si="140"/>
        <v>0</v>
      </c>
      <c r="AP110" s="100">
        <f t="shared" si="141"/>
        <v>0</v>
      </c>
      <c r="AQ110" s="100">
        <f t="shared" si="142"/>
        <v>0</v>
      </c>
      <c r="AR110" s="100">
        <f t="shared" si="143"/>
        <v>0</v>
      </c>
      <c r="AS110" s="100">
        <f t="shared" si="144"/>
        <v>0</v>
      </c>
      <c r="AT110" s="100">
        <f t="shared" si="105"/>
        <v>0</v>
      </c>
      <c r="AU110" s="100">
        <f t="shared" si="106"/>
        <v>0</v>
      </c>
      <c r="AV110" s="100">
        <f t="shared" si="107"/>
        <v>0</v>
      </c>
      <c r="AW110" s="100">
        <f t="shared" si="108"/>
        <v>73.599999999999994</v>
      </c>
      <c r="AX110">
        <f t="shared" si="109"/>
        <v>184</v>
      </c>
      <c r="AY110" s="98">
        <f t="shared" si="110"/>
        <v>0</v>
      </c>
      <c r="AZ110" s="98">
        <f t="shared" si="111"/>
        <v>0</v>
      </c>
      <c r="BA110" s="98">
        <f t="shared" si="112"/>
        <v>0</v>
      </c>
      <c r="BB110" s="98">
        <f t="shared" si="113"/>
        <v>0</v>
      </c>
      <c r="BC110" s="98">
        <f t="shared" si="114"/>
        <v>0</v>
      </c>
      <c r="BD110" s="98">
        <f t="shared" si="115"/>
        <v>830.12918493576922</v>
      </c>
      <c r="BE110" s="98">
        <f t="shared" si="116"/>
        <v>4150.6459246788454</v>
      </c>
      <c r="BF110" s="98">
        <f t="shared" si="117"/>
        <v>0</v>
      </c>
      <c r="BG110" s="98">
        <f t="shared" si="118"/>
        <v>0</v>
      </c>
      <c r="BH110" s="98">
        <f t="shared" si="119"/>
        <v>0</v>
      </c>
      <c r="BI110" s="98">
        <f t="shared" si="120"/>
        <v>0</v>
      </c>
      <c r="BJ110" s="98">
        <f t="shared" si="121"/>
        <v>0</v>
      </c>
      <c r="BK110" s="98">
        <f t="shared" si="122"/>
        <v>0</v>
      </c>
      <c r="BL110" s="98">
        <f t="shared" si="123"/>
        <v>0</v>
      </c>
      <c r="BM110" s="98">
        <f t="shared" si="124"/>
        <v>0</v>
      </c>
      <c r="BN110" s="98">
        <f t="shared" si="125"/>
        <v>0</v>
      </c>
      <c r="BO110" s="98">
        <f t="shared" si="126"/>
        <v>0</v>
      </c>
      <c r="BP110" s="98">
        <f t="shared" si="127"/>
        <v>0</v>
      </c>
      <c r="BQ110" s="98">
        <f t="shared" si="128"/>
        <v>0</v>
      </c>
      <c r="BR110" s="98">
        <f t="shared" si="129"/>
        <v>3320.5167397430764</v>
      </c>
    </row>
    <row r="111" spans="1:70" x14ac:dyDescent="0.25">
      <c r="A111" t="s">
        <v>55</v>
      </c>
      <c r="B111" t="s">
        <v>10</v>
      </c>
      <c r="C111">
        <v>2024</v>
      </c>
      <c r="D111" s="98">
        <f>INDEX('Reference Sheet'!$G$9:$J$100, MATCH(A111,'Reference Sheet'!$F$9:$F$100,0), MATCH(C111,'Reference Sheet'!$G$8:$J$8,0))/2080</f>
        <v>37.870995192307689</v>
      </c>
      <c r="E111" s="99">
        <f>VLOOKUP(C111,'Reference Sheet'!$A$2:$B$5,2)</f>
        <v>0.1913</v>
      </c>
      <c r="F111" s="98">
        <f t="shared" si="87"/>
        <v>45.115716572596149</v>
      </c>
      <c r="G111" s="98"/>
      <c r="H111" s="98"/>
      <c r="I111" s="21"/>
      <c r="J111" s="21"/>
      <c r="K111" s="21"/>
      <c r="L111" s="21">
        <v>18.400000000000002</v>
      </c>
      <c r="M111" s="21">
        <v>92</v>
      </c>
      <c r="N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>
        <v>73.599999999999994</v>
      </c>
      <c r="AA111" s="98">
        <f t="shared" si="86"/>
        <v>184</v>
      </c>
      <c r="AB111" s="98">
        <f>IF(OR(B111="",C111=""),"",SUMIFS('Reference Sheet'!$D$9:$D$42,'Reference Sheet'!$A$9:$A$42,C111,'Reference Sheet'!$B$9:$B$42,B111))</f>
        <v>184</v>
      </c>
      <c r="AC111" s="98">
        <f t="shared" si="88"/>
        <v>0</v>
      </c>
      <c r="AD111" s="100">
        <f t="shared" si="130"/>
        <v>0</v>
      </c>
      <c r="AE111" s="100">
        <f t="shared" si="131"/>
        <v>0</v>
      </c>
      <c r="AF111" s="100">
        <f t="shared" si="132"/>
        <v>0</v>
      </c>
      <c r="AG111" s="100">
        <f t="shared" si="133"/>
        <v>0</v>
      </c>
      <c r="AH111" s="100">
        <f t="shared" si="134"/>
        <v>0</v>
      </c>
      <c r="AI111" s="100">
        <f t="shared" si="135"/>
        <v>18.400000000000002</v>
      </c>
      <c r="AJ111" s="100">
        <f t="shared" si="136"/>
        <v>92</v>
      </c>
      <c r="AK111" s="100">
        <f t="shared" si="137"/>
        <v>0</v>
      </c>
      <c r="AL111" s="100">
        <f t="shared" si="97"/>
        <v>0</v>
      </c>
      <c r="AM111" s="100">
        <f t="shared" si="138"/>
        <v>0</v>
      </c>
      <c r="AN111" s="100">
        <f t="shared" si="139"/>
        <v>0</v>
      </c>
      <c r="AO111" s="100">
        <f t="shared" si="140"/>
        <v>0</v>
      </c>
      <c r="AP111" s="100">
        <f t="shared" si="141"/>
        <v>0</v>
      </c>
      <c r="AQ111" s="100">
        <f t="shared" si="142"/>
        <v>0</v>
      </c>
      <c r="AR111" s="100">
        <f t="shared" si="143"/>
        <v>0</v>
      </c>
      <c r="AS111" s="100">
        <f t="shared" si="144"/>
        <v>0</v>
      </c>
      <c r="AT111" s="100">
        <f t="shared" si="105"/>
        <v>0</v>
      </c>
      <c r="AU111" s="100">
        <f t="shared" si="106"/>
        <v>0</v>
      </c>
      <c r="AV111" s="100">
        <f t="shared" si="107"/>
        <v>0</v>
      </c>
      <c r="AW111" s="100">
        <f t="shared" si="108"/>
        <v>73.599999999999994</v>
      </c>
      <c r="AX111">
        <f t="shared" si="109"/>
        <v>184</v>
      </c>
      <c r="AY111" s="98">
        <f t="shared" si="110"/>
        <v>0</v>
      </c>
      <c r="AZ111" s="98">
        <f t="shared" si="111"/>
        <v>0</v>
      </c>
      <c r="BA111" s="98">
        <f t="shared" si="112"/>
        <v>0</v>
      </c>
      <c r="BB111" s="98">
        <f t="shared" si="113"/>
        <v>0</v>
      </c>
      <c r="BC111" s="98">
        <f t="shared" si="114"/>
        <v>0</v>
      </c>
      <c r="BD111" s="98">
        <f t="shared" si="115"/>
        <v>830.12918493576922</v>
      </c>
      <c r="BE111" s="98">
        <f t="shared" si="116"/>
        <v>4150.6459246788454</v>
      </c>
      <c r="BF111" s="98">
        <f t="shared" si="117"/>
        <v>0</v>
      </c>
      <c r="BG111" s="98">
        <f t="shared" si="118"/>
        <v>0</v>
      </c>
      <c r="BH111" s="98">
        <f t="shared" si="119"/>
        <v>0</v>
      </c>
      <c r="BI111" s="98">
        <f t="shared" si="120"/>
        <v>0</v>
      </c>
      <c r="BJ111" s="98">
        <f t="shared" si="121"/>
        <v>0</v>
      </c>
      <c r="BK111" s="98">
        <f t="shared" si="122"/>
        <v>0</v>
      </c>
      <c r="BL111" s="98">
        <f t="shared" si="123"/>
        <v>0</v>
      </c>
      <c r="BM111" s="98">
        <f t="shared" si="124"/>
        <v>0</v>
      </c>
      <c r="BN111" s="98">
        <f t="shared" si="125"/>
        <v>0</v>
      </c>
      <c r="BO111" s="98">
        <f t="shared" si="126"/>
        <v>0</v>
      </c>
      <c r="BP111" s="98">
        <f t="shared" si="127"/>
        <v>0</v>
      </c>
      <c r="BQ111" s="98">
        <f t="shared" si="128"/>
        <v>0</v>
      </c>
      <c r="BR111" s="98">
        <f t="shared" si="129"/>
        <v>3320.5167397430764</v>
      </c>
    </row>
    <row r="112" spans="1:70" x14ac:dyDescent="0.25">
      <c r="A112" t="s">
        <v>55</v>
      </c>
      <c r="B112" t="s">
        <v>12</v>
      </c>
      <c r="C112">
        <v>2024</v>
      </c>
      <c r="D112" s="98">
        <f>INDEX('Reference Sheet'!$G$9:$J$100, MATCH(A112,'Reference Sheet'!$F$9:$F$100,0), MATCH(C112,'Reference Sheet'!$G$8:$J$8,0))/2080</f>
        <v>37.870995192307689</v>
      </c>
      <c r="E112" s="99">
        <f>VLOOKUP(C112,'Reference Sheet'!$A$2:$B$5,2)</f>
        <v>0.1913</v>
      </c>
      <c r="F112" s="98">
        <f t="shared" si="87"/>
        <v>45.115716572596149</v>
      </c>
      <c r="G112" s="98"/>
      <c r="H112" s="98"/>
      <c r="I112" s="21"/>
      <c r="J112" s="21"/>
      <c r="K112" s="21"/>
      <c r="L112" s="21">
        <v>18.400000000000002</v>
      </c>
      <c r="M112" s="21">
        <v>92</v>
      </c>
      <c r="N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>
        <v>73.599999999999994</v>
      </c>
      <c r="AA112" s="98">
        <f t="shared" si="86"/>
        <v>184</v>
      </c>
      <c r="AB112" s="98">
        <f>IF(OR(B112="",C112=""),"",SUMIFS('Reference Sheet'!$D$9:$D$42,'Reference Sheet'!$A$9:$A$42,C112,'Reference Sheet'!$B$9:$B$42,B112))</f>
        <v>184</v>
      </c>
      <c r="AC112" s="98">
        <f t="shared" si="88"/>
        <v>0</v>
      </c>
      <c r="AD112" s="100">
        <f t="shared" si="130"/>
        <v>0</v>
      </c>
      <c r="AE112" s="100">
        <f t="shared" si="131"/>
        <v>0</v>
      </c>
      <c r="AF112" s="100">
        <f t="shared" si="132"/>
        <v>0</v>
      </c>
      <c r="AG112" s="100">
        <f t="shared" si="133"/>
        <v>0</v>
      </c>
      <c r="AH112" s="100">
        <f t="shared" si="134"/>
        <v>0</v>
      </c>
      <c r="AI112" s="100">
        <f t="shared" si="135"/>
        <v>18.400000000000002</v>
      </c>
      <c r="AJ112" s="100">
        <f t="shared" si="136"/>
        <v>92</v>
      </c>
      <c r="AK112" s="100">
        <f t="shared" si="137"/>
        <v>0</v>
      </c>
      <c r="AL112" s="100">
        <f t="shared" si="97"/>
        <v>0</v>
      </c>
      <c r="AM112" s="100">
        <f t="shared" si="138"/>
        <v>0</v>
      </c>
      <c r="AN112" s="100">
        <f t="shared" si="139"/>
        <v>0</v>
      </c>
      <c r="AO112" s="100">
        <f t="shared" si="140"/>
        <v>0</v>
      </c>
      <c r="AP112" s="100">
        <f t="shared" si="141"/>
        <v>0</v>
      </c>
      <c r="AQ112" s="100">
        <f t="shared" si="142"/>
        <v>0</v>
      </c>
      <c r="AR112" s="100">
        <f t="shared" si="143"/>
        <v>0</v>
      </c>
      <c r="AS112" s="100">
        <f t="shared" si="144"/>
        <v>0</v>
      </c>
      <c r="AT112" s="100">
        <f t="shared" si="105"/>
        <v>0</v>
      </c>
      <c r="AU112" s="100">
        <f t="shared" si="106"/>
        <v>0</v>
      </c>
      <c r="AV112" s="100">
        <f t="shared" si="107"/>
        <v>0</v>
      </c>
      <c r="AW112" s="100">
        <f t="shared" si="108"/>
        <v>73.599999999999994</v>
      </c>
      <c r="AX112">
        <f t="shared" si="109"/>
        <v>184</v>
      </c>
      <c r="AY112" s="98">
        <f t="shared" si="110"/>
        <v>0</v>
      </c>
      <c r="AZ112" s="98">
        <f t="shared" si="111"/>
        <v>0</v>
      </c>
      <c r="BA112" s="98">
        <f t="shared" si="112"/>
        <v>0</v>
      </c>
      <c r="BB112" s="98">
        <f t="shared" si="113"/>
        <v>0</v>
      </c>
      <c r="BC112" s="98">
        <f t="shared" si="114"/>
        <v>0</v>
      </c>
      <c r="BD112" s="98">
        <f t="shared" si="115"/>
        <v>830.12918493576922</v>
      </c>
      <c r="BE112" s="98">
        <f t="shared" si="116"/>
        <v>4150.6459246788454</v>
      </c>
      <c r="BF112" s="98">
        <f t="shared" si="117"/>
        <v>0</v>
      </c>
      <c r="BG112" s="98">
        <f t="shared" si="118"/>
        <v>0</v>
      </c>
      <c r="BH112" s="98">
        <f t="shared" si="119"/>
        <v>0</v>
      </c>
      <c r="BI112" s="98">
        <f t="shared" si="120"/>
        <v>0</v>
      </c>
      <c r="BJ112" s="98">
        <f t="shared" si="121"/>
        <v>0</v>
      </c>
      <c r="BK112" s="98">
        <f t="shared" si="122"/>
        <v>0</v>
      </c>
      <c r="BL112" s="98">
        <f t="shared" si="123"/>
        <v>0</v>
      </c>
      <c r="BM112" s="98">
        <f t="shared" si="124"/>
        <v>0</v>
      </c>
      <c r="BN112" s="98">
        <f t="shared" si="125"/>
        <v>0</v>
      </c>
      <c r="BO112" s="98">
        <f t="shared" si="126"/>
        <v>0</v>
      </c>
      <c r="BP112" s="98">
        <f t="shared" si="127"/>
        <v>0</v>
      </c>
      <c r="BQ112" s="98">
        <f t="shared" si="128"/>
        <v>0</v>
      </c>
      <c r="BR112" s="98">
        <f t="shared" si="129"/>
        <v>3320.5167397430764</v>
      </c>
    </row>
    <row r="113" spans="1:70" x14ac:dyDescent="0.25">
      <c r="A113" t="s">
        <v>55</v>
      </c>
      <c r="B113" t="s">
        <v>15</v>
      </c>
      <c r="C113">
        <v>2024</v>
      </c>
      <c r="D113" s="98">
        <f>INDEX('Reference Sheet'!$G$9:$J$100, MATCH(A113,'Reference Sheet'!$F$9:$F$100,0), MATCH(C113,'Reference Sheet'!$G$8:$J$8,0))/2080</f>
        <v>37.870995192307689</v>
      </c>
      <c r="E113" s="99">
        <f>VLOOKUP(C113,'Reference Sheet'!$A$2:$B$5,2)</f>
        <v>0.1913</v>
      </c>
      <c r="F113" s="98">
        <f t="shared" si="87"/>
        <v>45.115716572596149</v>
      </c>
      <c r="G113" s="98"/>
      <c r="H113" s="98"/>
      <c r="I113" s="21"/>
      <c r="J113" s="21"/>
      <c r="K113" s="21"/>
      <c r="L113" s="21">
        <v>18.400000000000002</v>
      </c>
      <c r="M113" s="21">
        <v>92</v>
      </c>
      <c r="N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>
        <v>73.599999999999994</v>
      </c>
      <c r="AA113" s="98">
        <f t="shared" si="86"/>
        <v>184</v>
      </c>
      <c r="AB113" s="98">
        <f>IF(OR(B113="",C113=""),"",SUMIFS('Reference Sheet'!$D$9:$D$42,'Reference Sheet'!$A$9:$A$42,C113,'Reference Sheet'!$B$9:$B$42,B113))</f>
        <v>184</v>
      </c>
      <c r="AC113" s="98">
        <f t="shared" si="88"/>
        <v>0</v>
      </c>
      <c r="AD113" s="100">
        <f t="shared" si="130"/>
        <v>0</v>
      </c>
      <c r="AE113" s="100">
        <f t="shared" si="131"/>
        <v>0</v>
      </c>
      <c r="AF113" s="100">
        <f t="shared" si="132"/>
        <v>0</v>
      </c>
      <c r="AG113" s="100">
        <f t="shared" si="133"/>
        <v>0</v>
      </c>
      <c r="AH113" s="100">
        <f t="shared" si="134"/>
        <v>0</v>
      </c>
      <c r="AI113" s="100">
        <f t="shared" si="135"/>
        <v>18.400000000000002</v>
      </c>
      <c r="AJ113" s="100">
        <f t="shared" si="136"/>
        <v>92</v>
      </c>
      <c r="AK113" s="100">
        <f t="shared" si="137"/>
        <v>0</v>
      </c>
      <c r="AL113" s="100">
        <f t="shared" si="97"/>
        <v>0</v>
      </c>
      <c r="AM113" s="100">
        <f t="shared" si="138"/>
        <v>0</v>
      </c>
      <c r="AN113" s="100">
        <f t="shared" si="139"/>
        <v>0</v>
      </c>
      <c r="AO113" s="100">
        <f t="shared" si="140"/>
        <v>0</v>
      </c>
      <c r="AP113" s="100">
        <f t="shared" si="141"/>
        <v>0</v>
      </c>
      <c r="AQ113" s="100">
        <f t="shared" si="142"/>
        <v>0</v>
      </c>
      <c r="AR113" s="100">
        <f t="shared" si="143"/>
        <v>0</v>
      </c>
      <c r="AS113" s="100">
        <f t="shared" si="144"/>
        <v>0</v>
      </c>
      <c r="AT113" s="100">
        <f t="shared" si="105"/>
        <v>0</v>
      </c>
      <c r="AU113" s="100">
        <f t="shared" si="106"/>
        <v>0</v>
      </c>
      <c r="AV113" s="100">
        <f t="shared" si="107"/>
        <v>0</v>
      </c>
      <c r="AW113" s="100">
        <f t="shared" si="108"/>
        <v>73.599999999999994</v>
      </c>
      <c r="AX113">
        <f t="shared" si="109"/>
        <v>184</v>
      </c>
      <c r="AY113" s="98">
        <f t="shared" si="110"/>
        <v>0</v>
      </c>
      <c r="AZ113" s="98">
        <f t="shared" si="111"/>
        <v>0</v>
      </c>
      <c r="BA113" s="98">
        <f t="shared" si="112"/>
        <v>0</v>
      </c>
      <c r="BB113" s="98">
        <f t="shared" si="113"/>
        <v>0</v>
      </c>
      <c r="BC113" s="98">
        <f t="shared" si="114"/>
        <v>0</v>
      </c>
      <c r="BD113" s="98">
        <f t="shared" si="115"/>
        <v>830.12918493576922</v>
      </c>
      <c r="BE113" s="98">
        <f t="shared" si="116"/>
        <v>4150.6459246788454</v>
      </c>
      <c r="BF113" s="98">
        <f t="shared" si="117"/>
        <v>0</v>
      </c>
      <c r="BG113" s="98">
        <f t="shared" si="118"/>
        <v>0</v>
      </c>
      <c r="BH113" s="98">
        <f t="shared" si="119"/>
        <v>0</v>
      </c>
      <c r="BI113" s="98">
        <f t="shared" si="120"/>
        <v>0</v>
      </c>
      <c r="BJ113" s="98">
        <f t="shared" si="121"/>
        <v>0</v>
      </c>
      <c r="BK113" s="98">
        <f t="shared" si="122"/>
        <v>0</v>
      </c>
      <c r="BL113" s="98">
        <f t="shared" si="123"/>
        <v>0</v>
      </c>
      <c r="BM113" s="98">
        <f t="shared" si="124"/>
        <v>0</v>
      </c>
      <c r="BN113" s="98">
        <f t="shared" si="125"/>
        <v>0</v>
      </c>
      <c r="BO113" s="98">
        <f t="shared" si="126"/>
        <v>0</v>
      </c>
      <c r="BP113" s="98">
        <f t="shared" si="127"/>
        <v>0</v>
      </c>
      <c r="BQ113" s="98">
        <f t="shared" si="128"/>
        <v>0</v>
      </c>
      <c r="BR113" s="98">
        <f t="shared" si="129"/>
        <v>3320.5167397430764</v>
      </c>
    </row>
    <row r="114" spans="1:70" x14ac:dyDescent="0.25">
      <c r="A114" t="s">
        <v>55</v>
      </c>
      <c r="B114" t="s">
        <v>13</v>
      </c>
      <c r="C114">
        <v>2025</v>
      </c>
      <c r="D114" s="98">
        <f>INDEX('Reference Sheet'!$G$9:$J$100, MATCH(A114,'Reference Sheet'!$F$9:$F$100,0), MATCH(C114,'Reference Sheet'!$G$8:$J$8,0))/2080</f>
        <v>37.736903846153844</v>
      </c>
      <c r="E114" s="99">
        <f>VLOOKUP(C114,'Reference Sheet'!$A$2:$B$5,2)</f>
        <v>0.22450000000000001</v>
      </c>
      <c r="F114" s="98">
        <f t="shared" si="87"/>
        <v>46.208838759615382</v>
      </c>
      <c r="G114" s="98"/>
      <c r="H114" s="98"/>
      <c r="I114" s="21"/>
      <c r="J114" s="21"/>
      <c r="K114" s="21"/>
      <c r="L114" s="21"/>
      <c r="M114" s="21">
        <v>75</v>
      </c>
      <c r="N114" s="21"/>
      <c r="O114" s="21"/>
      <c r="P114" s="21"/>
      <c r="Q114" s="21"/>
      <c r="R114" s="21"/>
      <c r="S114" s="21">
        <v>12</v>
      </c>
      <c r="T114" s="21"/>
      <c r="U114" s="21"/>
      <c r="V114" s="21">
        <v>13</v>
      </c>
      <c r="W114" s="21"/>
      <c r="X114" s="21"/>
      <c r="Y114" s="21"/>
      <c r="Z114" s="21">
        <v>59</v>
      </c>
      <c r="AA114" s="98">
        <f t="shared" si="86"/>
        <v>159</v>
      </c>
      <c r="AB114" s="98">
        <f>IF(OR(B114="",C114=""),"",SUMIFS('Reference Sheet'!$D$9:$D$42,'Reference Sheet'!$A$9:$A$42,C114,'Reference Sheet'!$B$9:$B$42,B114))</f>
        <v>168</v>
      </c>
      <c r="AC114" s="98">
        <f t="shared" si="88"/>
        <v>9</v>
      </c>
      <c r="AD114" s="100">
        <f t="shared" si="130"/>
        <v>0</v>
      </c>
      <c r="AE114" s="100">
        <f t="shared" si="131"/>
        <v>0</v>
      </c>
      <c r="AF114" s="100">
        <f t="shared" si="132"/>
        <v>0</v>
      </c>
      <c r="AG114" s="100">
        <f t="shared" si="133"/>
        <v>0</v>
      </c>
      <c r="AH114" s="100">
        <f t="shared" si="134"/>
        <v>0</v>
      </c>
      <c r="AI114" s="100">
        <f t="shared" si="135"/>
        <v>0</v>
      </c>
      <c r="AJ114" s="100">
        <f t="shared" si="136"/>
        <v>79.245283018867923</v>
      </c>
      <c r="AK114" s="100">
        <f t="shared" si="137"/>
        <v>0</v>
      </c>
      <c r="AL114" s="100">
        <f t="shared" si="97"/>
        <v>0</v>
      </c>
      <c r="AM114" s="100">
        <f t="shared" si="138"/>
        <v>0</v>
      </c>
      <c r="AN114" s="100">
        <f t="shared" si="139"/>
        <v>0</v>
      </c>
      <c r="AO114" s="100">
        <f t="shared" si="140"/>
        <v>0</v>
      </c>
      <c r="AP114" s="100">
        <f t="shared" si="141"/>
        <v>12.679245283018867</v>
      </c>
      <c r="AQ114" s="100">
        <f t="shared" si="142"/>
        <v>0</v>
      </c>
      <c r="AR114" s="100">
        <f t="shared" si="143"/>
        <v>0</v>
      </c>
      <c r="AS114" s="100">
        <f t="shared" si="144"/>
        <v>13.735849056603772</v>
      </c>
      <c r="AT114" s="100">
        <f t="shared" si="105"/>
        <v>0</v>
      </c>
      <c r="AU114" s="100">
        <f t="shared" si="106"/>
        <v>0</v>
      </c>
      <c r="AV114" s="100">
        <f t="shared" si="107"/>
        <v>0</v>
      </c>
      <c r="AW114" s="100">
        <f t="shared" si="108"/>
        <v>62.339622641509429</v>
      </c>
      <c r="AX114">
        <f t="shared" si="109"/>
        <v>168</v>
      </c>
      <c r="AY114" s="98">
        <f t="shared" si="110"/>
        <v>0</v>
      </c>
      <c r="AZ114" s="98">
        <f t="shared" si="111"/>
        <v>0</v>
      </c>
      <c r="BA114" s="98">
        <f>$F114*AF114</f>
        <v>0</v>
      </c>
      <c r="BB114" s="98">
        <f t="shared" si="113"/>
        <v>0</v>
      </c>
      <c r="BC114" s="98">
        <f>$F114*AH114</f>
        <v>0</v>
      </c>
      <c r="BD114" s="98">
        <f>$F114*AI114</f>
        <v>0</v>
      </c>
      <c r="BE114" s="98">
        <f>$F114*AJ114</f>
        <v>3661.8325054789548</v>
      </c>
      <c r="BF114" s="98">
        <f t="shared" si="117"/>
        <v>0</v>
      </c>
      <c r="BG114" s="98">
        <f t="shared" si="118"/>
        <v>0</v>
      </c>
      <c r="BH114" s="98">
        <f>$F114*AM114</f>
        <v>0</v>
      </c>
      <c r="BI114" s="98">
        <f>$F114*AN114</f>
        <v>0</v>
      </c>
      <c r="BJ114" s="98">
        <f>$F114*AO114</f>
        <v>0</v>
      </c>
      <c r="BK114" s="98">
        <f>$F114*AP114</f>
        <v>585.8932008766327</v>
      </c>
      <c r="BL114" s="98">
        <f t="shared" si="123"/>
        <v>0</v>
      </c>
      <c r="BM114" s="98">
        <f>$F114*AR114</f>
        <v>0</v>
      </c>
      <c r="BN114" s="98">
        <f>$F114*AS114</f>
        <v>634.71763428301881</v>
      </c>
      <c r="BO114" s="98">
        <f t="shared" si="126"/>
        <v>0</v>
      </c>
      <c r="BP114" s="98">
        <f>$F114*AU114</f>
        <v>0</v>
      </c>
      <c r="BQ114" s="98">
        <f t="shared" si="128"/>
        <v>0</v>
      </c>
      <c r="BR114" s="98">
        <f t="shared" ref="BR114" si="145">$F114*AW114</f>
        <v>2880.6415709767775</v>
      </c>
    </row>
    <row r="115" spans="1:70" x14ac:dyDescent="0.25">
      <c r="A115" t="s">
        <v>55</v>
      </c>
      <c r="B115" t="s">
        <v>7</v>
      </c>
      <c r="C115">
        <v>2025</v>
      </c>
      <c r="D115" s="98">
        <f>INDEX('Reference Sheet'!$G$9:$J$100, MATCH(A115,'Reference Sheet'!$F$9:$F$100,0), MATCH(C115,'Reference Sheet'!$G$8:$J$8,0))/2080</f>
        <v>37.736903846153844</v>
      </c>
      <c r="E115" s="99">
        <f>VLOOKUP(C115,'Reference Sheet'!$A$2:$B$5,2)</f>
        <v>0.22450000000000001</v>
      </c>
      <c r="F115" s="98">
        <f t="shared" si="87"/>
        <v>46.208838759615382</v>
      </c>
      <c r="G115" s="98"/>
      <c r="H115" s="98"/>
      <c r="I115" s="21"/>
      <c r="J115" s="21"/>
      <c r="K115" s="21"/>
      <c r="L115" s="21">
        <v>11</v>
      </c>
      <c r="M115" s="21">
        <v>69</v>
      </c>
      <c r="N115" s="21"/>
      <c r="O115" s="21"/>
      <c r="P115" s="21"/>
      <c r="Q115" s="21"/>
      <c r="R115" s="21"/>
      <c r="S115" s="21">
        <v>16</v>
      </c>
      <c r="T115" s="21"/>
      <c r="U115" s="21"/>
      <c r="V115" s="21">
        <v>10</v>
      </c>
      <c r="W115" s="21"/>
      <c r="X115" s="21"/>
      <c r="Y115" s="21"/>
      <c r="Z115" s="21">
        <v>59</v>
      </c>
      <c r="AA115" s="98">
        <f t="shared" si="86"/>
        <v>165</v>
      </c>
      <c r="AB115" s="98">
        <f>IF(OR(B115="",C115=""),"",SUMIFS('Reference Sheet'!$D$9:$D$42,'Reference Sheet'!$A$9:$A$42,C115,'Reference Sheet'!$B$9:$B$42,B115))</f>
        <v>160</v>
      </c>
      <c r="AC115" s="98">
        <f t="shared" si="88"/>
        <v>-5</v>
      </c>
      <c r="AD115" s="100">
        <f t="shared" si="130"/>
        <v>0</v>
      </c>
      <c r="AE115" s="100">
        <f t="shared" si="131"/>
        <v>0</v>
      </c>
      <c r="AF115" s="100">
        <f t="shared" si="132"/>
        <v>0</v>
      </c>
      <c r="AG115" s="100">
        <f t="shared" si="133"/>
        <v>0</v>
      </c>
      <c r="AH115" s="100">
        <f t="shared" si="134"/>
        <v>0</v>
      </c>
      <c r="AI115" s="100">
        <f t="shared" si="135"/>
        <v>10.666666666666666</v>
      </c>
      <c r="AJ115" s="100">
        <f t="shared" si="136"/>
        <v>66.909090909090907</v>
      </c>
      <c r="AK115" s="100">
        <f t="shared" si="137"/>
        <v>0</v>
      </c>
      <c r="AL115" s="100">
        <f t="shared" si="97"/>
        <v>0</v>
      </c>
      <c r="AM115" s="100">
        <f t="shared" si="138"/>
        <v>0</v>
      </c>
      <c r="AN115" s="100">
        <f t="shared" si="139"/>
        <v>0</v>
      </c>
      <c r="AO115" s="100">
        <f t="shared" si="140"/>
        <v>0</v>
      </c>
      <c r="AP115" s="100">
        <f t="shared" si="141"/>
        <v>15.515151515151516</v>
      </c>
      <c r="AQ115" s="100">
        <f t="shared" si="142"/>
        <v>0</v>
      </c>
      <c r="AR115" s="100">
        <f t="shared" si="143"/>
        <v>0</v>
      </c>
      <c r="AS115" s="100">
        <f t="shared" si="144"/>
        <v>9.6969696969696972</v>
      </c>
      <c r="AT115" s="100">
        <f t="shared" si="105"/>
        <v>0</v>
      </c>
      <c r="AU115" s="100">
        <f t="shared" si="106"/>
        <v>0</v>
      </c>
      <c r="AV115" s="100">
        <f t="shared" si="107"/>
        <v>0</v>
      </c>
      <c r="AW115" s="100">
        <f t="shared" si="108"/>
        <v>57.212121212121218</v>
      </c>
      <c r="AX115">
        <f t="shared" si="109"/>
        <v>160</v>
      </c>
      <c r="AY115" s="98">
        <f t="shared" si="110"/>
        <v>0</v>
      </c>
      <c r="AZ115" s="98">
        <f t="shared" si="111"/>
        <v>0</v>
      </c>
      <c r="BA115" s="98">
        <f t="shared" ref="BA115:BA186" si="146">$F115*AF115</f>
        <v>0</v>
      </c>
      <c r="BB115" s="98">
        <f t="shared" si="113"/>
        <v>0</v>
      </c>
      <c r="BC115" s="98">
        <f t="shared" ref="BC115:BC186" si="147">$F115*AH115</f>
        <v>0</v>
      </c>
      <c r="BD115" s="98">
        <f t="shared" ref="BD115:BD186" si="148">$F115*AI115</f>
        <v>492.89428010256404</v>
      </c>
      <c r="BE115" s="98">
        <f t="shared" ref="BE115:BE186" si="149">$F115*AJ115</f>
        <v>3091.7913933706291</v>
      </c>
      <c r="BF115" s="98">
        <f t="shared" si="117"/>
        <v>0</v>
      </c>
      <c r="BG115" s="98">
        <f t="shared" si="118"/>
        <v>0</v>
      </c>
      <c r="BH115" s="98">
        <f t="shared" ref="BH115:BH186" si="150">$F115*AM115</f>
        <v>0</v>
      </c>
      <c r="BI115" s="98">
        <f t="shared" ref="BI115:BI186" si="151">$F115*AN115</f>
        <v>0</v>
      </c>
      <c r="BJ115" s="98">
        <f t="shared" ref="BJ115:BJ186" si="152">$F115*AO115</f>
        <v>0</v>
      </c>
      <c r="BK115" s="98">
        <f t="shared" ref="BK115:BK186" si="153">$F115*AP115</f>
        <v>716.93713469463864</v>
      </c>
      <c r="BL115" s="98">
        <f t="shared" si="123"/>
        <v>0</v>
      </c>
      <c r="BM115" s="98">
        <f t="shared" ref="BM115:BM186" si="154">$F115*AR115</f>
        <v>0</v>
      </c>
      <c r="BN115" s="98">
        <f t="shared" ref="BN115:BN186" si="155">$F115*AS115</f>
        <v>448.08570918414915</v>
      </c>
      <c r="BO115" s="98">
        <f t="shared" si="126"/>
        <v>0</v>
      </c>
      <c r="BP115" s="98">
        <f t="shared" ref="BP115:BP186" si="156">$F115*AU115</f>
        <v>0</v>
      </c>
      <c r="BQ115" s="98">
        <f t="shared" si="128"/>
        <v>0</v>
      </c>
      <c r="BR115" s="98">
        <f t="shared" ref="BR115:BR186" si="157">$F115*AW115</f>
        <v>2643.7056841864805</v>
      </c>
    </row>
    <row r="116" spans="1:70" x14ac:dyDescent="0.25">
      <c r="A116" t="s">
        <v>55</v>
      </c>
      <c r="B116" t="s">
        <v>11</v>
      </c>
      <c r="C116">
        <v>2025</v>
      </c>
      <c r="D116" s="98">
        <f>INDEX('Reference Sheet'!$G$9:$J$100, MATCH(A116,'Reference Sheet'!$F$9:$F$100,0), MATCH(C116,'Reference Sheet'!$G$8:$J$8,0))/2080</f>
        <v>37.736903846153844</v>
      </c>
      <c r="E116" s="99">
        <f>VLOOKUP(C116,'Reference Sheet'!$A$2:$B$5,2)</f>
        <v>0.22450000000000001</v>
      </c>
      <c r="F116" s="98">
        <f t="shared" si="87"/>
        <v>46.208838759615382</v>
      </c>
      <c r="G116" s="98"/>
      <c r="H116" s="98"/>
      <c r="I116" s="21"/>
      <c r="J116" s="21"/>
      <c r="K116" s="21"/>
      <c r="L116" s="21"/>
      <c r="M116" s="21">
        <v>72</v>
      </c>
      <c r="N116" s="21"/>
      <c r="O116" s="21"/>
      <c r="P116" s="21"/>
      <c r="Q116" s="21"/>
      <c r="R116" s="21">
        <v>12</v>
      </c>
      <c r="S116" s="21">
        <v>9</v>
      </c>
      <c r="T116" s="21"/>
      <c r="U116" s="21"/>
      <c r="V116" s="21">
        <v>5</v>
      </c>
      <c r="W116" s="21"/>
      <c r="X116" s="21"/>
      <c r="Y116" s="21"/>
      <c r="Z116" s="21">
        <v>72</v>
      </c>
      <c r="AA116" s="98">
        <f t="shared" si="86"/>
        <v>170</v>
      </c>
      <c r="AB116" s="98">
        <f>IF(OR(B116="",C116=""),"",SUMIFS('Reference Sheet'!$D$9:$D$42,'Reference Sheet'!$A$9:$A$42,C116,'Reference Sheet'!$B$9:$B$42,B116))</f>
        <v>168</v>
      </c>
      <c r="AC116" s="98">
        <f t="shared" si="88"/>
        <v>-2</v>
      </c>
      <c r="AD116" s="100">
        <f t="shared" si="130"/>
        <v>0</v>
      </c>
      <c r="AE116" s="100">
        <f t="shared" si="131"/>
        <v>0</v>
      </c>
      <c r="AF116" s="100">
        <f t="shared" si="132"/>
        <v>0</v>
      </c>
      <c r="AG116" s="100">
        <f t="shared" si="133"/>
        <v>0</v>
      </c>
      <c r="AH116" s="100">
        <f t="shared" si="134"/>
        <v>0</v>
      </c>
      <c r="AI116" s="100">
        <f t="shared" si="135"/>
        <v>0</v>
      </c>
      <c r="AJ116" s="100">
        <f t="shared" si="136"/>
        <v>71.152941176470591</v>
      </c>
      <c r="AK116" s="100">
        <f t="shared" si="137"/>
        <v>0</v>
      </c>
      <c r="AL116" s="100">
        <f t="shared" si="97"/>
        <v>0</v>
      </c>
      <c r="AM116" s="100">
        <f t="shared" si="138"/>
        <v>0</v>
      </c>
      <c r="AN116" s="100">
        <f t="shared" si="139"/>
        <v>0</v>
      </c>
      <c r="AO116" s="100">
        <f t="shared" si="140"/>
        <v>11.858823529411765</v>
      </c>
      <c r="AP116" s="100">
        <f t="shared" si="141"/>
        <v>8.8941176470588239</v>
      </c>
      <c r="AQ116" s="100">
        <f t="shared" si="142"/>
        <v>0</v>
      </c>
      <c r="AR116" s="100">
        <f t="shared" si="143"/>
        <v>0</v>
      </c>
      <c r="AS116" s="100">
        <f t="shared" si="144"/>
        <v>4.9411764705882355</v>
      </c>
      <c r="AT116" s="100">
        <f t="shared" si="105"/>
        <v>0</v>
      </c>
      <c r="AU116" s="100">
        <f t="shared" si="106"/>
        <v>0</v>
      </c>
      <c r="AV116" s="100">
        <f t="shared" si="107"/>
        <v>0</v>
      </c>
      <c r="AW116" s="100">
        <f t="shared" si="108"/>
        <v>71.152941176470591</v>
      </c>
      <c r="AX116">
        <f t="shared" si="109"/>
        <v>168</v>
      </c>
      <c r="AY116" s="98">
        <f t="shared" si="110"/>
        <v>0</v>
      </c>
      <c r="AZ116" s="98">
        <f t="shared" si="111"/>
        <v>0</v>
      </c>
      <c r="BA116" s="98">
        <f t="shared" si="146"/>
        <v>0</v>
      </c>
      <c r="BB116" s="98">
        <f t="shared" si="113"/>
        <v>0</v>
      </c>
      <c r="BC116" s="98">
        <f t="shared" si="147"/>
        <v>0</v>
      </c>
      <c r="BD116" s="98">
        <f t="shared" si="148"/>
        <v>0</v>
      </c>
      <c r="BE116" s="98">
        <f t="shared" si="149"/>
        <v>3287.8947860959274</v>
      </c>
      <c r="BF116" s="98">
        <f t="shared" si="117"/>
        <v>0</v>
      </c>
      <c r="BG116" s="98">
        <f t="shared" si="118"/>
        <v>0</v>
      </c>
      <c r="BH116" s="98">
        <f t="shared" si="150"/>
        <v>0</v>
      </c>
      <c r="BI116" s="98">
        <f t="shared" si="151"/>
        <v>0</v>
      </c>
      <c r="BJ116" s="98">
        <f t="shared" si="152"/>
        <v>547.98246434932128</v>
      </c>
      <c r="BK116" s="98">
        <f t="shared" si="153"/>
        <v>410.98684826199093</v>
      </c>
      <c r="BL116" s="98">
        <f t="shared" si="123"/>
        <v>0</v>
      </c>
      <c r="BM116" s="98">
        <f t="shared" si="154"/>
        <v>0</v>
      </c>
      <c r="BN116" s="98">
        <f t="shared" si="155"/>
        <v>228.32602681221718</v>
      </c>
      <c r="BO116" s="98">
        <f t="shared" si="126"/>
        <v>0</v>
      </c>
      <c r="BP116" s="98">
        <f t="shared" si="156"/>
        <v>0</v>
      </c>
      <c r="BQ116" s="98">
        <f t="shared" si="128"/>
        <v>0</v>
      </c>
      <c r="BR116" s="98">
        <f t="shared" si="157"/>
        <v>3287.8947860959274</v>
      </c>
    </row>
    <row r="117" spans="1:70" x14ac:dyDescent="0.25">
      <c r="A117" t="s">
        <v>55</v>
      </c>
      <c r="B117" t="s">
        <v>17</v>
      </c>
      <c r="C117">
        <v>2025</v>
      </c>
      <c r="D117" s="98">
        <f>INDEX('Reference Sheet'!$G$9:$J$100, MATCH(A117,'Reference Sheet'!$F$9:$F$100,0), MATCH(C117,'Reference Sheet'!$G$8:$J$8,0))/2080</f>
        <v>37.736903846153844</v>
      </c>
      <c r="E117" s="99">
        <f>VLOOKUP(C117,'Reference Sheet'!$A$2:$B$5,2)</f>
        <v>0.22450000000000001</v>
      </c>
      <c r="F117" s="98">
        <f t="shared" si="87"/>
        <v>46.208838759615382</v>
      </c>
      <c r="G117" s="98"/>
      <c r="H117" s="98"/>
      <c r="I117" s="21"/>
      <c r="J117" s="21"/>
      <c r="K117" s="21"/>
      <c r="L117" s="21"/>
      <c r="M117" s="21">
        <v>48</v>
      </c>
      <c r="N117" s="21"/>
      <c r="O117" s="21"/>
      <c r="P117" s="21"/>
      <c r="Q117" s="21">
        <v>5</v>
      </c>
      <c r="R117" s="21"/>
      <c r="S117" s="21"/>
      <c r="T117" s="21"/>
      <c r="U117" s="21"/>
      <c r="V117" s="21">
        <v>13</v>
      </c>
      <c r="W117" s="21"/>
      <c r="X117" s="21"/>
      <c r="Y117" s="21"/>
      <c r="Z117" s="21">
        <v>104</v>
      </c>
      <c r="AA117" s="98">
        <f t="shared" si="86"/>
        <v>170</v>
      </c>
      <c r="AB117" s="98">
        <f>IF(OR(B117="",C117=""),"",SUMIFS('Reference Sheet'!$D$9:$D$42,'Reference Sheet'!$A$9:$A$42,C117,'Reference Sheet'!$B$9:$B$42,B117))</f>
        <v>184</v>
      </c>
      <c r="AC117" s="98">
        <f t="shared" si="88"/>
        <v>14</v>
      </c>
      <c r="AD117" s="100">
        <f t="shared" si="130"/>
        <v>0</v>
      </c>
      <c r="AE117" s="100">
        <f t="shared" si="131"/>
        <v>0</v>
      </c>
      <c r="AF117" s="100">
        <f t="shared" si="132"/>
        <v>0</v>
      </c>
      <c r="AG117" s="100">
        <f t="shared" si="133"/>
        <v>0</v>
      </c>
      <c r="AH117" s="100">
        <f t="shared" si="134"/>
        <v>0</v>
      </c>
      <c r="AI117" s="100">
        <f t="shared" si="135"/>
        <v>0</v>
      </c>
      <c r="AJ117" s="100">
        <f t="shared" si="136"/>
        <v>51.952941176470588</v>
      </c>
      <c r="AK117" s="100">
        <f t="shared" si="137"/>
        <v>0</v>
      </c>
      <c r="AL117" s="100">
        <f t="shared" si="97"/>
        <v>0</v>
      </c>
      <c r="AM117" s="100">
        <f t="shared" si="138"/>
        <v>0</v>
      </c>
      <c r="AN117" s="100">
        <f t="shared" si="139"/>
        <v>5.4117647058823533</v>
      </c>
      <c r="AO117" s="100">
        <f t="shared" si="140"/>
        <v>0</v>
      </c>
      <c r="AP117" s="100">
        <f t="shared" si="141"/>
        <v>0</v>
      </c>
      <c r="AQ117" s="100">
        <f t="shared" si="142"/>
        <v>0</v>
      </c>
      <c r="AR117" s="100">
        <f t="shared" si="143"/>
        <v>0</v>
      </c>
      <c r="AS117" s="100">
        <f t="shared" si="144"/>
        <v>14.070588235294119</v>
      </c>
      <c r="AT117" s="100">
        <f t="shared" si="105"/>
        <v>0</v>
      </c>
      <c r="AU117" s="100">
        <f t="shared" si="106"/>
        <v>0</v>
      </c>
      <c r="AV117" s="100">
        <f t="shared" si="107"/>
        <v>0</v>
      </c>
      <c r="AW117" s="100">
        <f t="shared" si="108"/>
        <v>112.56470588235295</v>
      </c>
      <c r="AX117">
        <f t="shared" si="109"/>
        <v>184</v>
      </c>
      <c r="AY117" s="98">
        <f t="shared" si="110"/>
        <v>0</v>
      </c>
      <c r="AZ117" s="98">
        <f t="shared" si="111"/>
        <v>0</v>
      </c>
      <c r="BA117" s="98">
        <f t="shared" si="146"/>
        <v>0</v>
      </c>
      <c r="BB117" s="98">
        <f t="shared" si="113"/>
        <v>0</v>
      </c>
      <c r="BC117" s="98">
        <f t="shared" si="147"/>
        <v>0</v>
      </c>
      <c r="BD117" s="98">
        <f t="shared" si="148"/>
        <v>0</v>
      </c>
      <c r="BE117" s="98">
        <f t="shared" si="149"/>
        <v>2400.685081911312</v>
      </c>
      <c r="BF117" s="98">
        <f t="shared" si="117"/>
        <v>0</v>
      </c>
      <c r="BG117" s="98">
        <f t="shared" si="118"/>
        <v>0</v>
      </c>
      <c r="BH117" s="98">
        <f t="shared" si="150"/>
        <v>0</v>
      </c>
      <c r="BI117" s="98">
        <f t="shared" si="151"/>
        <v>250.07136269909503</v>
      </c>
      <c r="BJ117" s="98">
        <f t="shared" si="152"/>
        <v>0</v>
      </c>
      <c r="BK117" s="98">
        <f t="shared" si="153"/>
        <v>0</v>
      </c>
      <c r="BL117" s="98">
        <f t="shared" si="123"/>
        <v>0</v>
      </c>
      <c r="BM117" s="98">
        <f t="shared" si="154"/>
        <v>0</v>
      </c>
      <c r="BN117" s="98">
        <f t="shared" si="155"/>
        <v>650.18554301764709</v>
      </c>
      <c r="BO117" s="98">
        <f t="shared" si="126"/>
        <v>0</v>
      </c>
      <c r="BP117" s="98">
        <f t="shared" si="156"/>
        <v>0</v>
      </c>
      <c r="BQ117" s="98">
        <f t="shared" si="128"/>
        <v>0</v>
      </c>
      <c r="BR117" s="98">
        <f t="shared" si="157"/>
        <v>5201.4843441411767</v>
      </c>
    </row>
    <row r="118" spans="1:70" x14ac:dyDescent="0.25">
      <c r="A118" t="s">
        <v>55</v>
      </c>
      <c r="B118" t="s">
        <v>16</v>
      </c>
      <c r="C118">
        <v>2025</v>
      </c>
      <c r="D118" s="98">
        <f>INDEX('Reference Sheet'!$G$9:$J$100, MATCH(A118,'Reference Sheet'!$F$9:$F$100,0), MATCH(C118,'Reference Sheet'!$G$8:$J$8,0))/2080</f>
        <v>37.736903846153844</v>
      </c>
      <c r="E118" s="99">
        <f>VLOOKUP(C118,'Reference Sheet'!$A$2:$B$5,2)</f>
        <v>0.22450000000000001</v>
      </c>
      <c r="F118" s="98">
        <f t="shared" si="87"/>
        <v>46.208838759615382</v>
      </c>
      <c r="G118" s="98"/>
      <c r="H118" s="98"/>
      <c r="I118" s="21"/>
      <c r="J118" s="21"/>
      <c r="K118" s="21"/>
      <c r="L118" s="21"/>
      <c r="M118" s="21">
        <v>58</v>
      </c>
      <c r="N118" s="21"/>
      <c r="O118" s="21"/>
      <c r="P118" s="21"/>
      <c r="Q118" s="21">
        <v>9</v>
      </c>
      <c r="R118" s="21"/>
      <c r="S118" s="21">
        <v>8</v>
      </c>
      <c r="T118" s="21"/>
      <c r="U118" s="21"/>
      <c r="V118" s="21">
        <v>14</v>
      </c>
      <c r="W118" s="21"/>
      <c r="X118" s="21"/>
      <c r="Y118" s="21"/>
      <c r="Z118" s="21">
        <v>86</v>
      </c>
      <c r="AA118" s="98">
        <f t="shared" si="86"/>
        <v>175</v>
      </c>
      <c r="AB118" s="98">
        <f>IF(OR(B118="",C118=""),"",SUMIFS('Reference Sheet'!$D$9:$D$42,'Reference Sheet'!$A$9:$A$42,C118,'Reference Sheet'!$B$9:$B$42,B118))</f>
        <v>160</v>
      </c>
      <c r="AC118" s="98">
        <f t="shared" si="88"/>
        <v>-15</v>
      </c>
      <c r="AD118" s="100">
        <f t="shared" si="130"/>
        <v>0</v>
      </c>
      <c r="AE118" s="100">
        <f t="shared" si="131"/>
        <v>0</v>
      </c>
      <c r="AF118" s="100">
        <f t="shared" si="132"/>
        <v>0</v>
      </c>
      <c r="AG118" s="100">
        <f t="shared" si="133"/>
        <v>0</v>
      </c>
      <c r="AH118" s="100">
        <f t="shared" si="134"/>
        <v>0</v>
      </c>
      <c r="AI118" s="100">
        <f t="shared" si="135"/>
        <v>0</v>
      </c>
      <c r="AJ118" s="100">
        <f t="shared" si="136"/>
        <v>53.028571428571425</v>
      </c>
      <c r="AK118" s="100">
        <f t="shared" si="137"/>
        <v>0</v>
      </c>
      <c r="AL118" s="100">
        <f t="shared" si="97"/>
        <v>0</v>
      </c>
      <c r="AM118" s="100">
        <f t="shared" si="138"/>
        <v>0</v>
      </c>
      <c r="AN118" s="100">
        <f t="shared" si="139"/>
        <v>8.2285714285714278</v>
      </c>
      <c r="AO118" s="100">
        <f t="shared" si="140"/>
        <v>0</v>
      </c>
      <c r="AP118" s="100">
        <f t="shared" si="141"/>
        <v>7.3142857142857141</v>
      </c>
      <c r="AQ118" s="100">
        <f t="shared" si="142"/>
        <v>0</v>
      </c>
      <c r="AR118" s="100">
        <f t="shared" si="143"/>
        <v>0</v>
      </c>
      <c r="AS118" s="100">
        <f t="shared" si="144"/>
        <v>12.8</v>
      </c>
      <c r="AT118" s="100">
        <f t="shared" si="105"/>
        <v>0</v>
      </c>
      <c r="AU118" s="100">
        <f t="shared" si="106"/>
        <v>0</v>
      </c>
      <c r="AV118" s="100">
        <f t="shared" si="107"/>
        <v>0</v>
      </c>
      <c r="AW118" s="100">
        <f t="shared" si="108"/>
        <v>78.628571428571433</v>
      </c>
      <c r="AX118">
        <f t="shared" si="109"/>
        <v>160</v>
      </c>
      <c r="AY118" s="98">
        <f t="shared" si="110"/>
        <v>0</v>
      </c>
      <c r="AZ118" s="98">
        <f t="shared" si="111"/>
        <v>0</v>
      </c>
      <c r="BA118" s="98">
        <f t="shared" si="146"/>
        <v>0</v>
      </c>
      <c r="BB118" s="98">
        <f t="shared" si="113"/>
        <v>0</v>
      </c>
      <c r="BC118" s="98">
        <f t="shared" si="147"/>
        <v>0</v>
      </c>
      <c r="BD118" s="98">
        <f t="shared" si="148"/>
        <v>0</v>
      </c>
      <c r="BE118" s="98">
        <f t="shared" si="149"/>
        <v>2450.3887067956043</v>
      </c>
      <c r="BF118" s="98">
        <f t="shared" si="117"/>
        <v>0</v>
      </c>
      <c r="BG118" s="98">
        <f t="shared" si="118"/>
        <v>0</v>
      </c>
      <c r="BH118" s="98">
        <f t="shared" si="150"/>
        <v>0</v>
      </c>
      <c r="BI118" s="98">
        <f t="shared" si="151"/>
        <v>380.23273036483511</v>
      </c>
      <c r="BJ118" s="98">
        <f t="shared" si="152"/>
        <v>0</v>
      </c>
      <c r="BK118" s="98">
        <f t="shared" si="153"/>
        <v>337.9846492131868</v>
      </c>
      <c r="BL118" s="98">
        <f t="shared" si="123"/>
        <v>0</v>
      </c>
      <c r="BM118" s="98">
        <f t="shared" si="154"/>
        <v>0</v>
      </c>
      <c r="BN118" s="98">
        <f t="shared" si="155"/>
        <v>591.47313612307687</v>
      </c>
      <c r="BO118" s="98">
        <f t="shared" si="126"/>
        <v>0</v>
      </c>
      <c r="BP118" s="98">
        <f t="shared" si="156"/>
        <v>0</v>
      </c>
      <c r="BQ118" s="98">
        <f t="shared" si="128"/>
        <v>0</v>
      </c>
      <c r="BR118" s="98">
        <f t="shared" si="157"/>
        <v>3633.3349790417583</v>
      </c>
    </row>
    <row r="119" spans="1:70" x14ac:dyDescent="0.25">
      <c r="A119" t="s">
        <v>55</v>
      </c>
      <c r="B119" t="s">
        <v>10</v>
      </c>
      <c r="C119">
        <v>2025</v>
      </c>
      <c r="D119" s="98">
        <f>INDEX('Reference Sheet'!$G$9:$J$100, MATCH(A119,'Reference Sheet'!$F$9:$F$100,0), MATCH(C119,'Reference Sheet'!$G$8:$J$8,0))/2080</f>
        <v>37.736903846153844</v>
      </c>
      <c r="E119" s="99">
        <f>VLOOKUP(C119,'Reference Sheet'!$A$2:$B$5,2)</f>
        <v>0.22450000000000001</v>
      </c>
      <c r="F119" s="98">
        <f t="shared" si="87"/>
        <v>46.208838759615382</v>
      </c>
      <c r="G119" s="98"/>
      <c r="H119" s="98"/>
      <c r="I119" s="21"/>
      <c r="J119" s="21"/>
      <c r="K119" s="21"/>
      <c r="L119" s="21"/>
      <c r="M119" s="21">
        <v>48</v>
      </c>
      <c r="N119" s="21"/>
      <c r="O119" s="21"/>
      <c r="P119" s="21"/>
      <c r="Q119" s="21"/>
      <c r="R119" s="21">
        <v>20</v>
      </c>
      <c r="S119" s="21">
        <v>13</v>
      </c>
      <c r="T119" s="21"/>
      <c r="U119" s="21"/>
      <c r="V119" s="21"/>
      <c r="W119" s="21"/>
      <c r="X119" s="21"/>
      <c r="Y119" s="21"/>
      <c r="Z119" s="21">
        <v>97</v>
      </c>
      <c r="AA119" s="98">
        <f t="shared" si="86"/>
        <v>178</v>
      </c>
      <c r="AB119" s="98">
        <f>IF(OR(B119="",C119=""),"",SUMIFS('Reference Sheet'!$D$9:$D$42,'Reference Sheet'!$A$9:$A$42,C119,'Reference Sheet'!$B$9:$B$42,B119))</f>
        <v>176</v>
      </c>
      <c r="AC119" s="98">
        <f t="shared" si="88"/>
        <v>-2</v>
      </c>
      <c r="AD119" s="100">
        <f t="shared" si="130"/>
        <v>0</v>
      </c>
      <c r="AE119" s="100">
        <f t="shared" si="131"/>
        <v>0</v>
      </c>
      <c r="AF119" s="100">
        <f t="shared" si="132"/>
        <v>0</v>
      </c>
      <c r="AG119" s="100">
        <f t="shared" si="133"/>
        <v>0</v>
      </c>
      <c r="AH119" s="100">
        <f t="shared" si="134"/>
        <v>0</v>
      </c>
      <c r="AI119" s="100">
        <f t="shared" si="135"/>
        <v>0</v>
      </c>
      <c r="AJ119" s="100">
        <f t="shared" si="136"/>
        <v>47.460674157303373</v>
      </c>
      <c r="AK119" s="100">
        <f t="shared" si="137"/>
        <v>0</v>
      </c>
      <c r="AL119" s="100">
        <f t="shared" si="97"/>
        <v>0</v>
      </c>
      <c r="AM119" s="100">
        <f t="shared" si="138"/>
        <v>0</v>
      </c>
      <c r="AN119" s="100">
        <f t="shared" si="139"/>
        <v>0</v>
      </c>
      <c r="AO119" s="100">
        <f t="shared" si="140"/>
        <v>19.775280898876403</v>
      </c>
      <c r="AP119" s="100">
        <f t="shared" si="141"/>
        <v>12.853932584269662</v>
      </c>
      <c r="AQ119" s="100">
        <f t="shared" si="142"/>
        <v>0</v>
      </c>
      <c r="AR119" s="100">
        <f t="shared" si="143"/>
        <v>0</v>
      </c>
      <c r="AS119" s="100">
        <f t="shared" si="144"/>
        <v>0</v>
      </c>
      <c r="AT119" s="100">
        <f t="shared" si="105"/>
        <v>0</v>
      </c>
      <c r="AU119" s="100">
        <f t="shared" si="106"/>
        <v>0</v>
      </c>
      <c r="AV119" s="100">
        <f t="shared" si="107"/>
        <v>0</v>
      </c>
      <c r="AW119" s="100">
        <f t="shared" si="108"/>
        <v>95.910112359550567</v>
      </c>
      <c r="AX119">
        <f t="shared" si="109"/>
        <v>176</v>
      </c>
      <c r="AY119" s="98">
        <f t="shared" si="110"/>
        <v>0</v>
      </c>
      <c r="AZ119" s="98">
        <f t="shared" si="111"/>
        <v>0</v>
      </c>
      <c r="BA119" s="98">
        <f t="shared" si="146"/>
        <v>0</v>
      </c>
      <c r="BB119" s="98">
        <f t="shared" si="113"/>
        <v>0</v>
      </c>
      <c r="BC119" s="98">
        <f t="shared" si="147"/>
        <v>0</v>
      </c>
      <c r="BD119" s="98">
        <f t="shared" si="148"/>
        <v>0</v>
      </c>
      <c r="BE119" s="98">
        <f t="shared" si="149"/>
        <v>2193.1026395574763</v>
      </c>
      <c r="BF119" s="98">
        <f t="shared" si="117"/>
        <v>0</v>
      </c>
      <c r="BG119" s="98">
        <f t="shared" si="118"/>
        <v>0</v>
      </c>
      <c r="BH119" s="98">
        <f t="shared" si="150"/>
        <v>0</v>
      </c>
      <c r="BI119" s="98">
        <f t="shared" si="151"/>
        <v>0</v>
      </c>
      <c r="BJ119" s="98">
        <f t="shared" si="152"/>
        <v>913.79276648228165</v>
      </c>
      <c r="BK119" s="98">
        <f t="shared" si="153"/>
        <v>593.96529821348304</v>
      </c>
      <c r="BL119" s="98">
        <f t="shared" si="123"/>
        <v>0</v>
      </c>
      <c r="BM119" s="98">
        <f t="shared" si="154"/>
        <v>0</v>
      </c>
      <c r="BN119" s="98">
        <f t="shared" si="155"/>
        <v>0</v>
      </c>
      <c r="BO119" s="98">
        <f t="shared" si="126"/>
        <v>0</v>
      </c>
      <c r="BP119" s="98">
        <f t="shared" si="156"/>
        <v>0</v>
      </c>
      <c r="BQ119" s="98">
        <f t="shared" si="128"/>
        <v>0</v>
      </c>
      <c r="BR119" s="98">
        <f t="shared" si="157"/>
        <v>4431.8949174390664</v>
      </c>
    </row>
    <row r="120" spans="1:70" x14ac:dyDescent="0.25">
      <c r="A120" t="s">
        <v>55</v>
      </c>
      <c r="B120" t="s">
        <v>14</v>
      </c>
      <c r="C120">
        <v>2025</v>
      </c>
      <c r="D120" s="98">
        <f>INDEX('Reference Sheet'!$G$9:$J$100, MATCH(A120,'Reference Sheet'!$F$9:$F$100,0), MATCH(C120,'Reference Sheet'!$G$8:$J$8,0))/2080</f>
        <v>37.736903846153844</v>
      </c>
      <c r="E120" s="99">
        <f>VLOOKUP(C120,'Reference Sheet'!$A$2:$B$5,2)</f>
        <v>0.22450000000000001</v>
      </c>
      <c r="F120" s="98">
        <f t="shared" si="87"/>
        <v>46.208838759615382</v>
      </c>
      <c r="G120" s="98"/>
      <c r="H120" s="98"/>
      <c r="I120" s="21"/>
      <c r="J120" s="21"/>
      <c r="K120" s="21"/>
      <c r="L120" s="21"/>
      <c r="M120" s="21">
        <v>75</v>
      </c>
      <c r="N120" s="21"/>
      <c r="O120" s="21"/>
      <c r="P120" s="21"/>
      <c r="Q120" s="21"/>
      <c r="R120" s="21"/>
      <c r="S120" s="21">
        <v>17</v>
      </c>
      <c r="T120" s="21"/>
      <c r="U120" s="21"/>
      <c r="V120" s="21">
        <v>29</v>
      </c>
      <c r="W120" s="21"/>
      <c r="X120" s="21"/>
      <c r="Y120" s="21"/>
      <c r="Z120" s="21">
        <v>61</v>
      </c>
      <c r="AA120" s="98">
        <f t="shared" si="86"/>
        <v>182</v>
      </c>
      <c r="AB120" s="98">
        <f>IF(OR(B120="",C120=""),"",SUMIFS('Reference Sheet'!$D$9:$D$42,'Reference Sheet'!$A$9:$A$42,C120,'Reference Sheet'!$B$9:$B$42,B120))</f>
        <v>176</v>
      </c>
      <c r="AC120" s="98">
        <f t="shared" si="88"/>
        <v>-6</v>
      </c>
      <c r="AD120" s="100">
        <f t="shared" si="130"/>
        <v>0</v>
      </c>
      <c r="AE120" s="100">
        <f t="shared" si="131"/>
        <v>0</v>
      </c>
      <c r="AF120" s="100">
        <f t="shared" si="132"/>
        <v>0</v>
      </c>
      <c r="AG120" s="100">
        <f t="shared" si="133"/>
        <v>0</v>
      </c>
      <c r="AH120" s="100">
        <f t="shared" si="134"/>
        <v>0</v>
      </c>
      <c r="AI120" s="100">
        <f t="shared" si="135"/>
        <v>0</v>
      </c>
      <c r="AJ120" s="100">
        <f t="shared" si="136"/>
        <v>72.527472527472526</v>
      </c>
      <c r="AK120" s="100">
        <f t="shared" si="137"/>
        <v>0</v>
      </c>
      <c r="AL120" s="100">
        <f t="shared" si="97"/>
        <v>0</v>
      </c>
      <c r="AM120" s="100">
        <f t="shared" si="138"/>
        <v>0</v>
      </c>
      <c r="AN120" s="100">
        <f t="shared" si="139"/>
        <v>0</v>
      </c>
      <c r="AO120" s="100">
        <f t="shared" si="140"/>
        <v>0</v>
      </c>
      <c r="AP120" s="100">
        <f t="shared" si="141"/>
        <v>16.439560439560438</v>
      </c>
      <c r="AQ120" s="100">
        <f t="shared" si="142"/>
        <v>0</v>
      </c>
      <c r="AR120" s="100">
        <f t="shared" si="143"/>
        <v>0</v>
      </c>
      <c r="AS120" s="100">
        <f t="shared" si="144"/>
        <v>28.043956043956044</v>
      </c>
      <c r="AT120" s="100">
        <f t="shared" si="105"/>
        <v>0</v>
      </c>
      <c r="AU120" s="100">
        <f t="shared" si="106"/>
        <v>0</v>
      </c>
      <c r="AV120" s="100">
        <f t="shared" si="107"/>
        <v>0</v>
      </c>
      <c r="AW120" s="100">
        <f t="shared" si="108"/>
        <v>58.989010989010985</v>
      </c>
      <c r="AX120">
        <f t="shared" si="109"/>
        <v>176</v>
      </c>
      <c r="AY120" s="98">
        <f t="shared" si="110"/>
        <v>0</v>
      </c>
      <c r="AZ120" s="98">
        <f t="shared" si="111"/>
        <v>0</v>
      </c>
      <c r="BA120" s="98">
        <f t="shared" si="146"/>
        <v>0</v>
      </c>
      <c r="BB120" s="98">
        <f t="shared" si="113"/>
        <v>0</v>
      </c>
      <c r="BC120" s="98">
        <f t="shared" si="147"/>
        <v>0</v>
      </c>
      <c r="BD120" s="98">
        <f t="shared" si="148"/>
        <v>0</v>
      </c>
      <c r="BE120" s="98">
        <f t="shared" si="149"/>
        <v>3351.4102836644124</v>
      </c>
      <c r="BF120" s="98">
        <f t="shared" si="117"/>
        <v>0</v>
      </c>
      <c r="BG120" s="98">
        <f t="shared" si="118"/>
        <v>0</v>
      </c>
      <c r="BH120" s="98">
        <f t="shared" si="150"/>
        <v>0</v>
      </c>
      <c r="BI120" s="98">
        <f t="shared" si="151"/>
        <v>0</v>
      </c>
      <c r="BJ120" s="98">
        <f t="shared" si="152"/>
        <v>0</v>
      </c>
      <c r="BK120" s="98">
        <f t="shared" si="153"/>
        <v>759.65299763060011</v>
      </c>
      <c r="BL120" s="98">
        <f t="shared" si="123"/>
        <v>0</v>
      </c>
      <c r="BM120" s="98">
        <f t="shared" si="154"/>
        <v>0</v>
      </c>
      <c r="BN120" s="98">
        <f t="shared" si="155"/>
        <v>1295.8786430169062</v>
      </c>
      <c r="BO120" s="98">
        <f t="shared" si="126"/>
        <v>0</v>
      </c>
      <c r="BP120" s="98">
        <f t="shared" si="156"/>
        <v>0</v>
      </c>
      <c r="BQ120" s="98">
        <f t="shared" si="128"/>
        <v>0</v>
      </c>
      <c r="BR120" s="98">
        <f t="shared" si="157"/>
        <v>2725.8136973803885</v>
      </c>
    </row>
    <row r="121" spans="1:70" x14ac:dyDescent="0.25">
      <c r="A121" t="s">
        <v>55</v>
      </c>
      <c r="B121" t="s">
        <v>6</v>
      </c>
      <c r="C121">
        <v>2025</v>
      </c>
      <c r="D121" s="98">
        <f>INDEX('Reference Sheet'!$G$9:$J$100, MATCH(A121,'Reference Sheet'!$F$9:$F$100,0), MATCH(C121,'Reference Sheet'!$G$8:$J$8,0))/2080</f>
        <v>37.736903846153844</v>
      </c>
      <c r="E121" s="99">
        <f>VLOOKUP(C121,'Reference Sheet'!$A$2:$B$5,2)</f>
        <v>0.22450000000000001</v>
      </c>
      <c r="F121" s="98">
        <f t="shared" si="87"/>
        <v>46.208838759615382</v>
      </c>
      <c r="G121" s="98"/>
      <c r="H121" s="98"/>
      <c r="I121" s="21"/>
      <c r="J121" s="21"/>
      <c r="K121" s="21"/>
      <c r="L121" s="21"/>
      <c r="M121" s="21">
        <v>59</v>
      </c>
      <c r="N121" s="21"/>
      <c r="O121" s="21"/>
      <c r="P121" s="21"/>
      <c r="Q121" s="21">
        <v>16</v>
      </c>
      <c r="R121" s="21"/>
      <c r="S121" s="21"/>
      <c r="T121" s="21"/>
      <c r="U121" s="21"/>
      <c r="V121" s="21"/>
      <c r="W121" s="21"/>
      <c r="X121" s="21"/>
      <c r="Y121" s="21"/>
      <c r="Z121" s="21">
        <v>108</v>
      </c>
      <c r="AA121" s="98">
        <f t="shared" si="86"/>
        <v>183</v>
      </c>
      <c r="AB121" s="98">
        <f>IF(OR(B121="",C121=""),"",SUMIFS('Reference Sheet'!$D$9:$D$42,'Reference Sheet'!$A$9:$A$42,C121,'Reference Sheet'!$B$9:$B$42,B121))</f>
        <v>184</v>
      </c>
      <c r="AC121" s="98">
        <f t="shared" si="88"/>
        <v>1</v>
      </c>
      <c r="AD121" s="100">
        <f t="shared" si="130"/>
        <v>0</v>
      </c>
      <c r="AE121" s="100">
        <f t="shared" si="131"/>
        <v>0</v>
      </c>
      <c r="AF121" s="100">
        <f t="shared" si="132"/>
        <v>0</v>
      </c>
      <c r="AG121" s="100">
        <f t="shared" si="133"/>
        <v>0</v>
      </c>
      <c r="AH121" s="100">
        <f t="shared" si="134"/>
        <v>0</v>
      </c>
      <c r="AI121" s="100">
        <f t="shared" si="135"/>
        <v>0</v>
      </c>
      <c r="AJ121" s="100">
        <f t="shared" si="136"/>
        <v>59.322404371584703</v>
      </c>
      <c r="AK121" s="100">
        <f t="shared" si="137"/>
        <v>0</v>
      </c>
      <c r="AL121" s="100">
        <f t="shared" si="97"/>
        <v>0</v>
      </c>
      <c r="AM121" s="100">
        <f t="shared" si="138"/>
        <v>0</v>
      </c>
      <c r="AN121" s="100">
        <f t="shared" si="139"/>
        <v>16.087431693989071</v>
      </c>
      <c r="AO121" s="100">
        <f t="shared" si="140"/>
        <v>0</v>
      </c>
      <c r="AP121" s="100">
        <f t="shared" si="141"/>
        <v>0</v>
      </c>
      <c r="AQ121" s="100">
        <f t="shared" si="142"/>
        <v>0</v>
      </c>
      <c r="AR121" s="100">
        <f t="shared" si="143"/>
        <v>0</v>
      </c>
      <c r="AS121" s="100">
        <f t="shared" si="144"/>
        <v>0</v>
      </c>
      <c r="AT121" s="100">
        <f t="shared" si="105"/>
        <v>0</v>
      </c>
      <c r="AU121" s="100">
        <f t="shared" si="106"/>
        <v>0</v>
      </c>
      <c r="AV121" s="100">
        <f t="shared" si="107"/>
        <v>0</v>
      </c>
      <c r="AW121" s="100">
        <f t="shared" si="108"/>
        <v>108.59016393442623</v>
      </c>
      <c r="AX121">
        <f t="shared" si="109"/>
        <v>184</v>
      </c>
      <c r="AY121" s="98">
        <f t="shared" si="110"/>
        <v>0</v>
      </c>
      <c r="AZ121" s="98">
        <f t="shared" si="111"/>
        <v>0</v>
      </c>
      <c r="BA121" s="98">
        <f t="shared" si="146"/>
        <v>0</v>
      </c>
      <c r="BB121" s="98">
        <f t="shared" si="113"/>
        <v>0</v>
      </c>
      <c r="BC121" s="98">
        <f t="shared" si="147"/>
        <v>0</v>
      </c>
      <c r="BD121" s="98">
        <f t="shared" si="148"/>
        <v>0</v>
      </c>
      <c r="BE121" s="98">
        <f t="shared" si="149"/>
        <v>2741.2194184392602</v>
      </c>
      <c r="BF121" s="98">
        <f t="shared" si="117"/>
        <v>0</v>
      </c>
      <c r="BG121" s="98">
        <f t="shared" si="118"/>
        <v>0</v>
      </c>
      <c r="BH121" s="98">
        <f t="shared" si="150"/>
        <v>0</v>
      </c>
      <c r="BI121" s="98">
        <f t="shared" si="151"/>
        <v>743.38153720386708</v>
      </c>
      <c r="BJ121" s="98">
        <f t="shared" si="152"/>
        <v>0</v>
      </c>
      <c r="BK121" s="98">
        <f t="shared" si="153"/>
        <v>0</v>
      </c>
      <c r="BL121" s="98">
        <f t="shared" si="123"/>
        <v>0</v>
      </c>
      <c r="BM121" s="98">
        <f t="shared" si="154"/>
        <v>0</v>
      </c>
      <c r="BN121" s="98">
        <f t="shared" si="155"/>
        <v>0</v>
      </c>
      <c r="BO121" s="98">
        <f t="shared" si="126"/>
        <v>0</v>
      </c>
      <c r="BP121" s="98">
        <f t="shared" si="156"/>
        <v>0</v>
      </c>
      <c r="BQ121" s="98">
        <f t="shared" si="128"/>
        <v>0</v>
      </c>
      <c r="BR121" s="98">
        <f t="shared" si="157"/>
        <v>5017.825376126103</v>
      </c>
    </row>
    <row r="122" spans="1:70" x14ac:dyDescent="0.25">
      <c r="A122" t="s">
        <v>55</v>
      </c>
      <c r="B122" t="s">
        <v>12</v>
      </c>
      <c r="C122">
        <v>2025</v>
      </c>
      <c r="D122" s="98">
        <f>INDEX('Reference Sheet'!$G$9:$J$100, MATCH(A122,'Reference Sheet'!$F$9:$F$100,0), MATCH(C122,'Reference Sheet'!$G$8:$J$8,0))/2080</f>
        <v>37.736903846153844</v>
      </c>
      <c r="E122" s="99">
        <f>VLOOKUP(C122,'Reference Sheet'!$A$2:$B$5,2)</f>
        <v>0.22450000000000001</v>
      </c>
      <c r="F122" s="98">
        <f t="shared" si="87"/>
        <v>46.208838759615382</v>
      </c>
      <c r="G122" s="98"/>
      <c r="H122" s="98"/>
      <c r="I122" s="21"/>
      <c r="J122" s="21"/>
      <c r="K122" s="21"/>
      <c r="L122" s="21"/>
      <c r="M122" s="21">
        <v>48</v>
      </c>
      <c r="N122" s="21"/>
      <c r="O122" s="21"/>
      <c r="P122" s="21"/>
      <c r="Q122" s="21">
        <v>15</v>
      </c>
      <c r="R122" s="21"/>
      <c r="S122" s="21"/>
      <c r="T122" s="21"/>
      <c r="U122" s="21"/>
      <c r="V122" s="21"/>
      <c r="W122" s="21"/>
      <c r="X122" s="21"/>
      <c r="Y122" s="21"/>
      <c r="Z122" s="21">
        <v>121</v>
      </c>
      <c r="AA122" s="98">
        <f t="shared" si="86"/>
        <v>184</v>
      </c>
      <c r="AB122" s="98">
        <f>IF(OR(B122="",C122=""),"",SUMIFS('Reference Sheet'!$D$9:$D$42,'Reference Sheet'!$A$9:$A$42,C122,'Reference Sheet'!$B$9:$B$42,B122))</f>
        <v>184</v>
      </c>
      <c r="AC122" s="98">
        <f t="shared" si="88"/>
        <v>0</v>
      </c>
      <c r="AD122" s="100">
        <f t="shared" si="130"/>
        <v>0</v>
      </c>
      <c r="AE122" s="100">
        <f t="shared" si="131"/>
        <v>0</v>
      </c>
      <c r="AF122" s="100">
        <f t="shared" si="132"/>
        <v>0</v>
      </c>
      <c r="AG122" s="100">
        <f t="shared" si="133"/>
        <v>0</v>
      </c>
      <c r="AH122" s="100">
        <f t="shared" si="134"/>
        <v>0</v>
      </c>
      <c r="AI122" s="100">
        <f t="shared" si="135"/>
        <v>0</v>
      </c>
      <c r="AJ122" s="100">
        <f t="shared" si="136"/>
        <v>48</v>
      </c>
      <c r="AK122" s="100">
        <f t="shared" si="137"/>
        <v>0</v>
      </c>
      <c r="AL122" s="100">
        <f t="shared" si="97"/>
        <v>0</v>
      </c>
      <c r="AM122" s="100">
        <f t="shared" si="138"/>
        <v>0</v>
      </c>
      <c r="AN122" s="100">
        <f t="shared" si="139"/>
        <v>15</v>
      </c>
      <c r="AO122" s="100">
        <f t="shared" si="140"/>
        <v>0</v>
      </c>
      <c r="AP122" s="100">
        <f t="shared" si="141"/>
        <v>0</v>
      </c>
      <c r="AQ122" s="100">
        <f t="shared" si="142"/>
        <v>0</v>
      </c>
      <c r="AR122" s="100">
        <f t="shared" si="143"/>
        <v>0</v>
      </c>
      <c r="AS122" s="100">
        <f t="shared" si="144"/>
        <v>0</v>
      </c>
      <c r="AT122" s="100">
        <f t="shared" si="105"/>
        <v>0</v>
      </c>
      <c r="AU122" s="100">
        <f t="shared" si="106"/>
        <v>0</v>
      </c>
      <c r="AV122" s="100">
        <f t="shared" si="107"/>
        <v>0</v>
      </c>
      <c r="AW122" s="100">
        <f t="shared" si="108"/>
        <v>121</v>
      </c>
      <c r="AX122">
        <f t="shared" si="109"/>
        <v>184</v>
      </c>
      <c r="AY122" s="98">
        <f t="shared" si="110"/>
        <v>0</v>
      </c>
      <c r="AZ122" s="98">
        <f t="shared" si="111"/>
        <v>0</v>
      </c>
      <c r="BA122" s="98">
        <f t="shared" si="146"/>
        <v>0</v>
      </c>
      <c r="BB122" s="98">
        <f t="shared" si="113"/>
        <v>0</v>
      </c>
      <c r="BC122" s="98">
        <f t="shared" si="147"/>
        <v>0</v>
      </c>
      <c r="BD122" s="98">
        <f t="shared" si="148"/>
        <v>0</v>
      </c>
      <c r="BE122" s="98">
        <f t="shared" si="149"/>
        <v>2218.0242604615382</v>
      </c>
      <c r="BF122" s="98">
        <f t="shared" si="117"/>
        <v>0</v>
      </c>
      <c r="BG122" s="98">
        <f t="shared" si="118"/>
        <v>0</v>
      </c>
      <c r="BH122" s="98">
        <f t="shared" si="150"/>
        <v>0</v>
      </c>
      <c r="BI122" s="98">
        <f t="shared" si="151"/>
        <v>693.13258139423078</v>
      </c>
      <c r="BJ122" s="98">
        <f t="shared" si="152"/>
        <v>0</v>
      </c>
      <c r="BK122" s="98">
        <f t="shared" si="153"/>
        <v>0</v>
      </c>
      <c r="BL122" s="98">
        <f t="shared" si="123"/>
        <v>0</v>
      </c>
      <c r="BM122" s="98">
        <f t="shared" si="154"/>
        <v>0</v>
      </c>
      <c r="BN122" s="98">
        <f t="shared" si="155"/>
        <v>0</v>
      </c>
      <c r="BO122" s="98">
        <f t="shared" si="126"/>
        <v>0</v>
      </c>
      <c r="BP122" s="98">
        <f t="shared" si="156"/>
        <v>0</v>
      </c>
      <c r="BQ122" s="98">
        <f t="shared" si="128"/>
        <v>0</v>
      </c>
      <c r="BR122" s="98">
        <f t="shared" si="157"/>
        <v>5591.2694899134613</v>
      </c>
    </row>
    <row r="123" spans="1:70" x14ac:dyDescent="0.25">
      <c r="A123" t="s">
        <v>55</v>
      </c>
      <c r="B123" t="s">
        <v>9</v>
      </c>
      <c r="C123">
        <v>2025</v>
      </c>
      <c r="D123" s="98">
        <f>INDEX('Reference Sheet'!$G$9:$J$100, MATCH(A123,'Reference Sheet'!$F$9:$F$100,0), MATCH(C123,'Reference Sheet'!$G$8:$J$8,0))/2080</f>
        <v>37.736903846153844</v>
      </c>
      <c r="E123" s="99">
        <f>VLOOKUP(C123,'Reference Sheet'!$A$2:$B$5,2)</f>
        <v>0.22450000000000001</v>
      </c>
      <c r="F123" s="98">
        <f t="shared" si="87"/>
        <v>46.208838759615382</v>
      </c>
      <c r="G123" s="98"/>
      <c r="H123" s="98"/>
      <c r="I123" s="21"/>
      <c r="J123" s="21"/>
      <c r="K123" s="21"/>
      <c r="L123" s="21"/>
      <c r="M123" s="21">
        <v>67</v>
      </c>
      <c r="N123" s="21"/>
      <c r="O123" s="21"/>
      <c r="P123" s="21"/>
      <c r="Q123" s="21"/>
      <c r="R123" s="21">
        <v>24</v>
      </c>
      <c r="S123" s="21">
        <v>24</v>
      </c>
      <c r="T123" s="21"/>
      <c r="U123" s="21"/>
      <c r="V123" s="21">
        <v>22</v>
      </c>
      <c r="W123" s="21"/>
      <c r="X123" s="21"/>
      <c r="Y123" s="21"/>
      <c r="Z123" s="21">
        <v>50</v>
      </c>
      <c r="AA123" s="98">
        <f t="shared" si="86"/>
        <v>187</v>
      </c>
      <c r="AB123" s="98">
        <f>IF(OR(B123="",C123=""),"",SUMIFS('Reference Sheet'!$D$9:$D$42,'Reference Sheet'!$A$9:$A$42,C123,'Reference Sheet'!$B$9:$B$42,B123))</f>
        <v>176</v>
      </c>
      <c r="AC123" s="98">
        <f t="shared" si="88"/>
        <v>-11</v>
      </c>
      <c r="AD123" s="100">
        <f t="shared" si="130"/>
        <v>0</v>
      </c>
      <c r="AE123" s="100">
        <f t="shared" si="131"/>
        <v>0</v>
      </c>
      <c r="AF123" s="100">
        <f t="shared" si="132"/>
        <v>0</v>
      </c>
      <c r="AG123" s="100">
        <f t="shared" si="133"/>
        <v>0</v>
      </c>
      <c r="AH123" s="100">
        <f t="shared" si="134"/>
        <v>0</v>
      </c>
      <c r="AI123" s="100">
        <f t="shared" si="135"/>
        <v>0</v>
      </c>
      <c r="AJ123" s="100">
        <f t="shared" si="136"/>
        <v>63.058823529411761</v>
      </c>
      <c r="AK123" s="100">
        <f t="shared" si="137"/>
        <v>0</v>
      </c>
      <c r="AL123" s="100">
        <f t="shared" si="97"/>
        <v>0</v>
      </c>
      <c r="AM123" s="100">
        <f t="shared" si="138"/>
        <v>0</v>
      </c>
      <c r="AN123" s="100">
        <f t="shared" si="139"/>
        <v>0</v>
      </c>
      <c r="AO123" s="100">
        <f t="shared" si="140"/>
        <v>22.588235294117649</v>
      </c>
      <c r="AP123" s="100">
        <f t="shared" si="141"/>
        <v>22.588235294117649</v>
      </c>
      <c r="AQ123" s="100">
        <f t="shared" si="142"/>
        <v>0</v>
      </c>
      <c r="AR123" s="100">
        <f t="shared" si="143"/>
        <v>0</v>
      </c>
      <c r="AS123" s="100">
        <f t="shared" si="144"/>
        <v>20.705882352941178</v>
      </c>
      <c r="AT123" s="100">
        <f t="shared" si="105"/>
        <v>0</v>
      </c>
      <c r="AU123" s="100">
        <f t="shared" si="106"/>
        <v>0</v>
      </c>
      <c r="AV123" s="100">
        <f t="shared" si="107"/>
        <v>0</v>
      </c>
      <c r="AW123" s="100">
        <f t="shared" si="108"/>
        <v>47.058823529411768</v>
      </c>
      <c r="AX123">
        <f t="shared" si="109"/>
        <v>176</v>
      </c>
      <c r="AY123" s="98">
        <f t="shared" si="110"/>
        <v>0</v>
      </c>
      <c r="AZ123" s="98">
        <f t="shared" si="111"/>
        <v>0</v>
      </c>
      <c r="BA123" s="98">
        <f t="shared" si="146"/>
        <v>0</v>
      </c>
      <c r="BB123" s="98">
        <f t="shared" si="113"/>
        <v>0</v>
      </c>
      <c r="BC123" s="98">
        <f t="shared" si="147"/>
        <v>0</v>
      </c>
      <c r="BD123" s="98">
        <f t="shared" si="148"/>
        <v>0</v>
      </c>
      <c r="BE123" s="98">
        <f t="shared" si="149"/>
        <v>2913.8750088416286</v>
      </c>
      <c r="BF123" s="98">
        <f t="shared" si="117"/>
        <v>0</v>
      </c>
      <c r="BG123" s="98">
        <f t="shared" si="118"/>
        <v>0</v>
      </c>
      <c r="BH123" s="98">
        <f t="shared" si="150"/>
        <v>0</v>
      </c>
      <c r="BI123" s="98">
        <f t="shared" si="151"/>
        <v>0</v>
      </c>
      <c r="BJ123" s="98">
        <f t="shared" si="152"/>
        <v>1043.7761225701358</v>
      </c>
      <c r="BK123" s="98">
        <f t="shared" si="153"/>
        <v>1043.7761225701358</v>
      </c>
      <c r="BL123" s="98">
        <f t="shared" si="123"/>
        <v>0</v>
      </c>
      <c r="BM123" s="98">
        <f t="shared" si="154"/>
        <v>0</v>
      </c>
      <c r="BN123" s="98">
        <f t="shared" si="155"/>
        <v>956.79477902262443</v>
      </c>
      <c r="BO123" s="98">
        <f t="shared" si="126"/>
        <v>0</v>
      </c>
      <c r="BP123" s="98">
        <f t="shared" si="156"/>
        <v>0</v>
      </c>
      <c r="BQ123" s="98">
        <f t="shared" si="128"/>
        <v>0</v>
      </c>
      <c r="BR123" s="98">
        <f t="shared" si="157"/>
        <v>2174.5335886877829</v>
      </c>
    </row>
    <row r="124" spans="1:70" x14ac:dyDescent="0.25">
      <c r="A124" t="s">
        <v>55</v>
      </c>
      <c r="B124" t="s">
        <v>8</v>
      </c>
      <c r="C124">
        <v>2025</v>
      </c>
      <c r="D124" s="98">
        <f>INDEX('Reference Sheet'!$G$9:$J$100, MATCH(A124,'Reference Sheet'!$F$9:$F$100,0), MATCH(C124,'Reference Sheet'!$G$8:$J$8,0))/2080</f>
        <v>37.736903846153844</v>
      </c>
      <c r="E124" s="99">
        <f>VLOOKUP(C124,'Reference Sheet'!$A$2:$B$5,2)</f>
        <v>0.22450000000000001</v>
      </c>
      <c r="F124" s="98">
        <f t="shared" si="87"/>
        <v>46.208838759615382</v>
      </c>
      <c r="G124" s="98"/>
      <c r="H124" s="98"/>
      <c r="I124" s="21"/>
      <c r="J124" s="21"/>
      <c r="K124" s="21"/>
      <c r="L124" s="21"/>
      <c r="M124" s="21">
        <v>64</v>
      </c>
      <c r="N124" s="21"/>
      <c r="O124" s="21"/>
      <c r="P124" s="21"/>
      <c r="Q124" s="21"/>
      <c r="R124" s="21">
        <v>22</v>
      </c>
      <c r="S124" s="21">
        <v>24</v>
      </c>
      <c r="T124" s="21"/>
      <c r="U124" s="21"/>
      <c r="V124" s="21">
        <v>19</v>
      </c>
      <c r="W124" s="21"/>
      <c r="X124" s="21"/>
      <c r="Y124" s="21"/>
      <c r="Z124" s="21">
        <v>59</v>
      </c>
      <c r="AA124" s="98">
        <f t="shared" si="86"/>
        <v>188</v>
      </c>
      <c r="AB124" s="98">
        <f>IF(OR(B124="",C124=""),"",SUMIFS('Reference Sheet'!$D$9:$D$42,'Reference Sheet'!$A$9:$A$42,C124,'Reference Sheet'!$B$9:$B$42,B124))</f>
        <v>168</v>
      </c>
      <c r="AC124" s="98">
        <f t="shared" si="88"/>
        <v>-20</v>
      </c>
      <c r="AD124" s="100">
        <f t="shared" si="130"/>
        <v>0</v>
      </c>
      <c r="AE124" s="100">
        <f t="shared" si="131"/>
        <v>0</v>
      </c>
      <c r="AF124" s="100">
        <f t="shared" si="132"/>
        <v>0</v>
      </c>
      <c r="AG124" s="100">
        <f t="shared" si="133"/>
        <v>0</v>
      </c>
      <c r="AH124" s="100">
        <f t="shared" si="134"/>
        <v>0</v>
      </c>
      <c r="AI124" s="100">
        <f t="shared" si="135"/>
        <v>0</v>
      </c>
      <c r="AJ124" s="100">
        <f t="shared" si="136"/>
        <v>57.191489361702125</v>
      </c>
      <c r="AK124" s="100">
        <f t="shared" si="137"/>
        <v>0</v>
      </c>
      <c r="AL124" s="100">
        <f t="shared" si="97"/>
        <v>0</v>
      </c>
      <c r="AM124" s="100">
        <f t="shared" si="138"/>
        <v>0</v>
      </c>
      <c r="AN124" s="100">
        <f t="shared" si="139"/>
        <v>0</v>
      </c>
      <c r="AO124" s="100">
        <f t="shared" si="140"/>
        <v>19.659574468085108</v>
      </c>
      <c r="AP124" s="100">
        <f t="shared" si="141"/>
        <v>21.446808510638295</v>
      </c>
      <c r="AQ124" s="100">
        <f t="shared" si="142"/>
        <v>0</v>
      </c>
      <c r="AR124" s="100">
        <f t="shared" si="143"/>
        <v>0</v>
      </c>
      <c r="AS124" s="100">
        <f t="shared" si="144"/>
        <v>16.978723404255319</v>
      </c>
      <c r="AT124" s="100">
        <f t="shared" si="105"/>
        <v>0</v>
      </c>
      <c r="AU124" s="100">
        <f t="shared" si="106"/>
        <v>0</v>
      </c>
      <c r="AV124" s="100">
        <f t="shared" si="107"/>
        <v>0</v>
      </c>
      <c r="AW124" s="100">
        <f t="shared" si="108"/>
        <v>52.723404255319146</v>
      </c>
      <c r="AX124">
        <f t="shared" si="109"/>
        <v>168</v>
      </c>
      <c r="AY124" s="98">
        <f t="shared" si="110"/>
        <v>0</v>
      </c>
      <c r="AZ124" s="98">
        <f t="shared" si="111"/>
        <v>0</v>
      </c>
      <c r="BA124" s="98">
        <f t="shared" si="146"/>
        <v>0</v>
      </c>
      <c r="BB124" s="98">
        <f t="shared" si="113"/>
        <v>0</v>
      </c>
      <c r="BC124" s="98">
        <f t="shared" si="147"/>
        <v>0</v>
      </c>
      <c r="BD124" s="98">
        <f t="shared" si="148"/>
        <v>0</v>
      </c>
      <c r="BE124" s="98">
        <f t="shared" si="149"/>
        <v>2642.7523103371518</v>
      </c>
      <c r="BF124" s="98">
        <f t="shared" si="117"/>
        <v>0</v>
      </c>
      <c r="BG124" s="98">
        <f t="shared" si="118"/>
        <v>0</v>
      </c>
      <c r="BH124" s="98">
        <f t="shared" si="150"/>
        <v>0</v>
      </c>
      <c r="BI124" s="98">
        <f t="shared" si="151"/>
        <v>0</v>
      </c>
      <c r="BJ124" s="98">
        <f t="shared" si="152"/>
        <v>908.44610667839606</v>
      </c>
      <c r="BK124" s="98">
        <f t="shared" si="153"/>
        <v>991.03211637643187</v>
      </c>
      <c r="BL124" s="98">
        <f t="shared" si="123"/>
        <v>0</v>
      </c>
      <c r="BM124" s="98">
        <f t="shared" si="154"/>
        <v>0</v>
      </c>
      <c r="BN124" s="98">
        <f t="shared" si="155"/>
        <v>784.56709213134206</v>
      </c>
      <c r="BO124" s="98">
        <f t="shared" si="126"/>
        <v>0</v>
      </c>
      <c r="BP124" s="98">
        <f t="shared" si="156"/>
        <v>0</v>
      </c>
      <c r="BQ124" s="98">
        <f t="shared" si="128"/>
        <v>0</v>
      </c>
      <c r="BR124" s="98">
        <f t="shared" si="157"/>
        <v>2436.287286092062</v>
      </c>
    </row>
    <row r="125" spans="1:70" x14ac:dyDescent="0.25">
      <c r="A125" t="s">
        <v>55</v>
      </c>
      <c r="B125" t="s">
        <v>15</v>
      </c>
      <c r="C125">
        <v>2025</v>
      </c>
      <c r="D125" s="98">
        <f>INDEX('Reference Sheet'!$G$9:$J$100, MATCH(A125,'Reference Sheet'!$F$9:$F$100,0), MATCH(C125,'Reference Sheet'!$G$8:$J$8,0))/2080</f>
        <v>37.736903846153844</v>
      </c>
      <c r="E125" s="99">
        <f>VLOOKUP(C125,'Reference Sheet'!$A$2:$B$5,2)</f>
        <v>0.22450000000000001</v>
      </c>
      <c r="F125" s="98">
        <f t="shared" si="87"/>
        <v>46.208838759615382</v>
      </c>
      <c r="G125" s="98"/>
      <c r="H125" s="98"/>
      <c r="I125" s="21"/>
      <c r="J125" s="21"/>
      <c r="K125" s="21"/>
      <c r="L125" s="21"/>
      <c r="M125" s="21">
        <v>73</v>
      </c>
      <c r="N125" s="21"/>
      <c r="O125" s="21"/>
      <c r="P125" s="21"/>
      <c r="Q125" s="21">
        <v>11</v>
      </c>
      <c r="R125" s="21"/>
      <c r="S125" s="21">
        <v>8</v>
      </c>
      <c r="T125" s="21"/>
      <c r="U125" s="21"/>
      <c r="V125" s="21">
        <v>19</v>
      </c>
      <c r="W125" s="21"/>
      <c r="X125" s="21"/>
      <c r="Y125" s="21"/>
      <c r="Z125" s="21">
        <v>77</v>
      </c>
      <c r="AA125" s="98">
        <f t="shared" si="86"/>
        <v>188</v>
      </c>
      <c r="AB125" s="98">
        <f>IF(OR(B125="",C125=""),"",SUMIFS('Reference Sheet'!$D$9:$D$42,'Reference Sheet'!$A$9:$A$42,C125,'Reference Sheet'!$B$9:$B$42,B125))</f>
        <v>184</v>
      </c>
      <c r="AC125" s="98">
        <f t="shared" si="88"/>
        <v>-4</v>
      </c>
      <c r="AD125" s="100">
        <f t="shared" si="130"/>
        <v>0</v>
      </c>
      <c r="AE125" s="100">
        <f t="shared" si="131"/>
        <v>0</v>
      </c>
      <c r="AF125" s="100">
        <f t="shared" si="132"/>
        <v>0</v>
      </c>
      <c r="AG125" s="100">
        <f t="shared" si="133"/>
        <v>0</v>
      </c>
      <c r="AH125" s="100">
        <f t="shared" si="134"/>
        <v>0</v>
      </c>
      <c r="AI125" s="100">
        <f t="shared" si="135"/>
        <v>0</v>
      </c>
      <c r="AJ125" s="100">
        <f t="shared" si="136"/>
        <v>71.446808510638292</v>
      </c>
      <c r="AK125" s="100">
        <f t="shared" si="137"/>
        <v>0</v>
      </c>
      <c r="AL125" s="100">
        <f t="shared" si="97"/>
        <v>0</v>
      </c>
      <c r="AM125" s="100">
        <f t="shared" si="138"/>
        <v>0</v>
      </c>
      <c r="AN125" s="100">
        <f t="shared" si="139"/>
        <v>10.76595744680851</v>
      </c>
      <c r="AO125" s="100">
        <f t="shared" si="140"/>
        <v>0</v>
      </c>
      <c r="AP125" s="100">
        <f t="shared" si="141"/>
        <v>7.8297872340425529</v>
      </c>
      <c r="AQ125" s="100">
        <f t="shared" si="142"/>
        <v>0</v>
      </c>
      <c r="AR125" s="100">
        <f t="shared" si="143"/>
        <v>0</v>
      </c>
      <c r="AS125" s="100">
        <f t="shared" si="144"/>
        <v>18.595744680851062</v>
      </c>
      <c r="AT125" s="100">
        <f t="shared" si="105"/>
        <v>0</v>
      </c>
      <c r="AU125" s="100">
        <f t="shared" si="106"/>
        <v>0</v>
      </c>
      <c r="AV125" s="100">
        <f t="shared" si="107"/>
        <v>0</v>
      </c>
      <c r="AW125" s="100">
        <f t="shared" si="108"/>
        <v>75.361702127659569</v>
      </c>
      <c r="AX125">
        <f t="shared" si="109"/>
        <v>184</v>
      </c>
      <c r="AY125" s="98">
        <f t="shared" si="110"/>
        <v>0</v>
      </c>
      <c r="AZ125" s="98">
        <f t="shared" si="111"/>
        <v>0</v>
      </c>
      <c r="BA125" s="98">
        <f t="shared" si="146"/>
        <v>0</v>
      </c>
      <c r="BB125" s="98">
        <f t="shared" si="113"/>
        <v>0</v>
      </c>
      <c r="BC125" s="98">
        <f t="shared" si="147"/>
        <v>0</v>
      </c>
      <c r="BD125" s="98">
        <f t="shared" si="148"/>
        <v>0</v>
      </c>
      <c r="BE125" s="98">
        <f t="shared" si="149"/>
        <v>3301.4740543572007</v>
      </c>
      <c r="BF125" s="98">
        <f t="shared" si="117"/>
        <v>0</v>
      </c>
      <c r="BG125" s="98">
        <f t="shared" si="118"/>
        <v>0</v>
      </c>
      <c r="BH125" s="98">
        <f t="shared" si="150"/>
        <v>0</v>
      </c>
      <c r="BI125" s="98">
        <f t="shared" si="151"/>
        <v>497.48239175245493</v>
      </c>
      <c r="BJ125" s="98">
        <f t="shared" si="152"/>
        <v>0</v>
      </c>
      <c r="BK125" s="98">
        <f t="shared" si="153"/>
        <v>361.80537581996725</v>
      </c>
      <c r="BL125" s="98">
        <f t="shared" si="123"/>
        <v>0</v>
      </c>
      <c r="BM125" s="98">
        <f t="shared" si="154"/>
        <v>0</v>
      </c>
      <c r="BN125" s="98">
        <f t="shared" si="155"/>
        <v>859.28776757242213</v>
      </c>
      <c r="BO125" s="98">
        <f t="shared" si="126"/>
        <v>0</v>
      </c>
      <c r="BP125" s="98">
        <f t="shared" si="156"/>
        <v>0</v>
      </c>
      <c r="BQ125" s="98">
        <f t="shared" si="128"/>
        <v>0</v>
      </c>
      <c r="BR125" s="98">
        <f t="shared" si="157"/>
        <v>3482.3767422671845</v>
      </c>
    </row>
    <row r="126" spans="1:70" x14ac:dyDescent="0.25">
      <c r="A126" t="s">
        <v>55</v>
      </c>
      <c r="B126" t="s">
        <v>6</v>
      </c>
      <c r="C126">
        <v>2026</v>
      </c>
      <c r="D126" s="98">
        <f>INDEX('Reference Sheet'!$G$9:$J$100, MATCH(A126,'Reference Sheet'!$F$9:$F$100,0), MATCH(C126,'Reference Sheet'!$G$8:$J$8,0))/2080</f>
        <v>38.46153846153846</v>
      </c>
      <c r="E126" s="99">
        <f>VLOOKUP(C126,'Reference Sheet'!$A$2:$B$5,2)</f>
        <v>0.23630000000000001</v>
      </c>
      <c r="F126" s="98">
        <f t="shared" si="87"/>
        <v>47.55</v>
      </c>
      <c r="G126" s="98"/>
      <c r="H126" s="98"/>
      <c r="I126" s="21"/>
      <c r="J126" s="21"/>
      <c r="K126" s="21"/>
      <c r="L126" s="21"/>
      <c r="M126" s="21">
        <v>93</v>
      </c>
      <c r="N126" s="21"/>
      <c r="O126" s="21"/>
      <c r="P126" s="21"/>
      <c r="Q126" s="21"/>
      <c r="R126" s="21"/>
      <c r="S126" s="21">
        <v>51</v>
      </c>
      <c r="T126" s="21"/>
      <c r="U126" s="21"/>
      <c r="V126" s="21"/>
      <c r="W126" s="21"/>
      <c r="X126" s="21"/>
      <c r="Y126" s="21"/>
      <c r="Z126" s="21">
        <v>50</v>
      </c>
      <c r="AA126" s="98">
        <f t="shared" si="86"/>
        <v>194</v>
      </c>
      <c r="AB126" s="98">
        <f>IF(OR(B126="",C126=""),"",SUMIFS('Reference Sheet'!$D$9:$D$42,'Reference Sheet'!$A$9:$A$42,C126,'Reference Sheet'!$B$9:$B$42,B126))</f>
        <v>176</v>
      </c>
      <c r="AC126" s="98">
        <f t="shared" si="88"/>
        <v>-18</v>
      </c>
      <c r="AD126" s="100">
        <f t="shared" si="130"/>
        <v>0</v>
      </c>
      <c r="AE126" s="100">
        <f t="shared" si="131"/>
        <v>0</v>
      </c>
      <c r="AF126" s="100">
        <f t="shared" si="132"/>
        <v>0</v>
      </c>
      <c r="AG126" s="100">
        <f t="shared" si="133"/>
        <v>0</v>
      </c>
      <c r="AH126" s="100">
        <f t="shared" si="134"/>
        <v>0</v>
      </c>
      <c r="AI126" s="100">
        <f t="shared" si="135"/>
        <v>0</v>
      </c>
      <c r="AJ126" s="100">
        <f t="shared" si="136"/>
        <v>84.371134020618555</v>
      </c>
      <c r="AK126" s="100">
        <f t="shared" si="137"/>
        <v>0</v>
      </c>
      <c r="AL126" s="100">
        <f t="shared" si="97"/>
        <v>0</v>
      </c>
      <c r="AM126" s="100">
        <f t="shared" si="138"/>
        <v>0</v>
      </c>
      <c r="AN126" s="100">
        <f t="shared" si="139"/>
        <v>0</v>
      </c>
      <c r="AO126" s="100">
        <f t="shared" si="140"/>
        <v>0</v>
      </c>
      <c r="AP126" s="100">
        <f t="shared" si="141"/>
        <v>46.268041237113401</v>
      </c>
      <c r="AQ126" s="100">
        <f t="shared" si="142"/>
        <v>0</v>
      </c>
      <c r="AR126" s="100">
        <f t="shared" si="143"/>
        <v>0</v>
      </c>
      <c r="AS126" s="100">
        <f t="shared" si="144"/>
        <v>0</v>
      </c>
      <c r="AT126" s="100">
        <f t="shared" si="105"/>
        <v>0</v>
      </c>
      <c r="AU126" s="100">
        <f t="shared" si="106"/>
        <v>0</v>
      </c>
      <c r="AV126" s="100">
        <f t="shared" si="107"/>
        <v>0</v>
      </c>
      <c r="AW126" s="100">
        <f t="shared" si="108"/>
        <v>45.360824742268036</v>
      </c>
      <c r="AX126">
        <f t="shared" si="109"/>
        <v>176</v>
      </c>
      <c r="AY126" s="98">
        <f t="shared" si="110"/>
        <v>0</v>
      </c>
      <c r="AZ126" s="98">
        <f t="shared" si="111"/>
        <v>0</v>
      </c>
      <c r="BA126" s="98">
        <f t="shared" si="146"/>
        <v>0</v>
      </c>
      <c r="BB126" s="98">
        <f t="shared" si="113"/>
        <v>0</v>
      </c>
      <c r="BC126" s="98">
        <f t="shared" si="147"/>
        <v>0</v>
      </c>
      <c r="BD126" s="98">
        <f t="shared" si="148"/>
        <v>0</v>
      </c>
      <c r="BE126" s="98">
        <f t="shared" si="149"/>
        <v>4011.8474226804119</v>
      </c>
      <c r="BF126" s="98">
        <f t="shared" si="117"/>
        <v>0</v>
      </c>
      <c r="BG126" s="98">
        <f t="shared" si="118"/>
        <v>0</v>
      </c>
      <c r="BH126" s="98">
        <f t="shared" si="150"/>
        <v>0</v>
      </c>
      <c r="BI126" s="98">
        <f t="shared" si="151"/>
        <v>0</v>
      </c>
      <c r="BJ126" s="98">
        <f t="shared" si="152"/>
        <v>0</v>
      </c>
      <c r="BK126" s="98">
        <f t="shared" si="153"/>
        <v>2200.0453608247421</v>
      </c>
      <c r="BL126" s="98">
        <f t="shared" si="123"/>
        <v>0</v>
      </c>
      <c r="BM126" s="98">
        <f t="shared" si="154"/>
        <v>0</v>
      </c>
      <c r="BN126" s="98">
        <f t="shared" si="155"/>
        <v>0</v>
      </c>
      <c r="BO126" s="98">
        <f t="shared" si="126"/>
        <v>0</v>
      </c>
      <c r="BP126" s="98">
        <f t="shared" si="156"/>
        <v>0</v>
      </c>
      <c r="BQ126" s="98">
        <f t="shared" si="128"/>
        <v>0</v>
      </c>
      <c r="BR126" s="98">
        <f t="shared" si="157"/>
        <v>2156.9072164948452</v>
      </c>
    </row>
    <row r="127" spans="1:70" x14ac:dyDescent="0.25">
      <c r="A127" t="s">
        <v>55</v>
      </c>
      <c r="B127" t="s">
        <v>8</v>
      </c>
      <c r="C127">
        <v>2026</v>
      </c>
      <c r="D127" s="98">
        <f>INDEX('Reference Sheet'!$G$9:$J$100, MATCH(A127,'Reference Sheet'!$F$9:$F$100,0), MATCH(C127,'Reference Sheet'!$G$8:$J$8,0))/2080</f>
        <v>38.46153846153846</v>
      </c>
      <c r="E127" s="99">
        <f>VLOOKUP(C127,'Reference Sheet'!$A$2:$B$5,2)</f>
        <v>0.23630000000000001</v>
      </c>
      <c r="F127" s="98">
        <f t="shared" si="87"/>
        <v>47.55</v>
      </c>
      <c r="G127" s="98"/>
      <c r="H127" s="98"/>
      <c r="I127" s="21"/>
      <c r="J127" s="21"/>
      <c r="K127" s="21"/>
      <c r="L127" s="21"/>
      <c r="M127" s="21">
        <v>87</v>
      </c>
      <c r="N127" s="21"/>
      <c r="O127" s="21"/>
      <c r="P127" s="21"/>
      <c r="Q127" s="21"/>
      <c r="R127" s="21"/>
      <c r="S127" s="21">
        <v>53</v>
      </c>
      <c r="T127" s="21"/>
      <c r="U127" s="21"/>
      <c r="V127" s="21"/>
      <c r="W127" s="21"/>
      <c r="X127" s="21"/>
      <c r="Y127" s="21"/>
      <c r="Z127" s="21">
        <v>57</v>
      </c>
      <c r="AA127" s="98">
        <f t="shared" si="86"/>
        <v>197</v>
      </c>
      <c r="AB127" s="98">
        <f>IF(OR(B127="",C127=""),"",SUMIFS('Reference Sheet'!$D$9:$D$42,'Reference Sheet'!$A$9:$A$42,C127,'Reference Sheet'!$B$9:$B$42,B127))</f>
        <v>176</v>
      </c>
      <c r="AC127" s="98">
        <f t="shared" si="88"/>
        <v>-21</v>
      </c>
      <c r="AD127" s="100">
        <f t="shared" si="130"/>
        <v>0</v>
      </c>
      <c r="AE127" s="100">
        <f t="shared" si="131"/>
        <v>0</v>
      </c>
      <c r="AF127" s="100">
        <f t="shared" si="132"/>
        <v>0</v>
      </c>
      <c r="AG127" s="100">
        <f t="shared" si="133"/>
        <v>0</v>
      </c>
      <c r="AH127" s="100">
        <f t="shared" si="134"/>
        <v>0</v>
      </c>
      <c r="AI127" s="100">
        <f t="shared" si="135"/>
        <v>0</v>
      </c>
      <c r="AJ127" s="100">
        <f t="shared" si="136"/>
        <v>77.725888324873097</v>
      </c>
      <c r="AK127" s="100">
        <f t="shared" si="137"/>
        <v>0</v>
      </c>
      <c r="AL127" s="100">
        <f t="shared" si="97"/>
        <v>0</v>
      </c>
      <c r="AM127" s="100">
        <f t="shared" si="138"/>
        <v>0</v>
      </c>
      <c r="AN127" s="100">
        <f t="shared" si="139"/>
        <v>0</v>
      </c>
      <c r="AO127" s="100">
        <f t="shared" si="140"/>
        <v>0</v>
      </c>
      <c r="AP127" s="100">
        <f t="shared" si="141"/>
        <v>47.350253807106597</v>
      </c>
      <c r="AQ127" s="100">
        <f t="shared" si="142"/>
        <v>0</v>
      </c>
      <c r="AR127" s="100">
        <f t="shared" si="143"/>
        <v>0</v>
      </c>
      <c r="AS127" s="100">
        <f t="shared" si="144"/>
        <v>0</v>
      </c>
      <c r="AT127" s="100">
        <f t="shared" si="105"/>
        <v>0</v>
      </c>
      <c r="AU127" s="100">
        <f t="shared" si="106"/>
        <v>0</v>
      </c>
      <c r="AV127" s="100">
        <f t="shared" si="107"/>
        <v>0</v>
      </c>
      <c r="AW127" s="100">
        <f t="shared" si="108"/>
        <v>50.923857868020299</v>
      </c>
      <c r="AX127">
        <f t="shared" si="109"/>
        <v>176</v>
      </c>
      <c r="AY127" s="98">
        <f t="shared" si="110"/>
        <v>0</v>
      </c>
      <c r="AZ127" s="98">
        <f t="shared" si="111"/>
        <v>0</v>
      </c>
      <c r="BA127" s="98">
        <f t="shared" si="146"/>
        <v>0</v>
      </c>
      <c r="BB127" s="98">
        <f t="shared" si="113"/>
        <v>0</v>
      </c>
      <c r="BC127" s="98">
        <f t="shared" si="147"/>
        <v>0</v>
      </c>
      <c r="BD127" s="98">
        <f t="shared" si="148"/>
        <v>0</v>
      </c>
      <c r="BE127" s="98">
        <f t="shared" si="149"/>
        <v>3695.8659898477154</v>
      </c>
      <c r="BF127" s="98">
        <f t="shared" si="117"/>
        <v>0</v>
      </c>
      <c r="BG127" s="98">
        <f t="shared" si="118"/>
        <v>0</v>
      </c>
      <c r="BH127" s="98">
        <f t="shared" si="150"/>
        <v>0</v>
      </c>
      <c r="BI127" s="98">
        <f t="shared" si="151"/>
        <v>0</v>
      </c>
      <c r="BJ127" s="98">
        <f t="shared" si="152"/>
        <v>0</v>
      </c>
      <c r="BK127" s="98">
        <f t="shared" si="153"/>
        <v>2251.5045685279188</v>
      </c>
      <c r="BL127" s="98">
        <f t="shared" si="123"/>
        <v>0</v>
      </c>
      <c r="BM127" s="98">
        <f t="shared" si="154"/>
        <v>0</v>
      </c>
      <c r="BN127" s="98">
        <f t="shared" si="155"/>
        <v>0</v>
      </c>
      <c r="BO127" s="98">
        <f t="shared" si="126"/>
        <v>0</v>
      </c>
      <c r="BP127" s="98">
        <f t="shared" si="156"/>
        <v>0</v>
      </c>
      <c r="BQ127" s="98">
        <f t="shared" si="128"/>
        <v>0</v>
      </c>
      <c r="BR127" s="98">
        <f t="shared" si="157"/>
        <v>2421.4294416243652</v>
      </c>
    </row>
    <row r="128" spans="1:70" x14ac:dyDescent="0.25">
      <c r="A128" t="s">
        <v>55</v>
      </c>
      <c r="B128" t="s">
        <v>7</v>
      </c>
      <c r="C128">
        <v>2026</v>
      </c>
      <c r="D128" s="98">
        <f>INDEX('Reference Sheet'!$G$9:$J$100, MATCH(A128,'Reference Sheet'!$F$9:$F$100,0), MATCH(C128,'Reference Sheet'!$G$8:$J$8,0))/2080</f>
        <v>38.46153846153846</v>
      </c>
      <c r="E128" s="99">
        <f>VLOOKUP(C128,'Reference Sheet'!$A$2:$B$5,2)</f>
        <v>0.23630000000000001</v>
      </c>
      <c r="F128" s="98">
        <f t="shared" si="87"/>
        <v>47.55</v>
      </c>
      <c r="G128" s="98"/>
      <c r="H128" s="98"/>
      <c r="I128" s="21"/>
      <c r="J128" s="21"/>
      <c r="K128" s="21"/>
      <c r="L128" s="21"/>
      <c r="M128" s="21">
        <v>82</v>
      </c>
      <c r="N128" s="21"/>
      <c r="O128" s="21"/>
      <c r="P128" s="21"/>
      <c r="Q128" s="21"/>
      <c r="R128" s="21"/>
      <c r="S128" s="21">
        <v>48</v>
      </c>
      <c r="T128" s="21"/>
      <c r="U128" s="21"/>
      <c r="V128" s="21"/>
      <c r="W128" s="21"/>
      <c r="X128" s="21"/>
      <c r="Y128" s="21"/>
      <c r="Z128" s="21">
        <v>69</v>
      </c>
      <c r="AA128" s="98">
        <f t="shared" si="86"/>
        <v>199</v>
      </c>
      <c r="AB128" s="98">
        <f>IF(OR(B128="",C128=""),"",SUMIFS('Reference Sheet'!$D$9:$D$42,'Reference Sheet'!$A$9:$A$42,C128,'Reference Sheet'!$B$9:$B$42,B128))</f>
        <v>160</v>
      </c>
      <c r="AC128" s="98">
        <f t="shared" si="88"/>
        <v>-39</v>
      </c>
      <c r="AD128" s="100">
        <f t="shared" si="130"/>
        <v>0</v>
      </c>
      <c r="AE128" s="100">
        <f t="shared" si="131"/>
        <v>0</v>
      </c>
      <c r="AF128" s="100">
        <f t="shared" si="132"/>
        <v>0</v>
      </c>
      <c r="AG128" s="100">
        <f t="shared" si="133"/>
        <v>0</v>
      </c>
      <c r="AH128" s="100">
        <f t="shared" si="134"/>
        <v>0</v>
      </c>
      <c r="AI128" s="100">
        <f t="shared" si="135"/>
        <v>0</v>
      </c>
      <c r="AJ128" s="100">
        <f t="shared" si="136"/>
        <v>65.929648241206024</v>
      </c>
      <c r="AK128" s="100">
        <f t="shared" si="137"/>
        <v>0</v>
      </c>
      <c r="AL128" s="100">
        <f t="shared" si="97"/>
        <v>0</v>
      </c>
      <c r="AM128" s="100">
        <f t="shared" si="138"/>
        <v>0</v>
      </c>
      <c r="AN128" s="100">
        <f t="shared" si="139"/>
        <v>0</v>
      </c>
      <c r="AO128" s="100">
        <f t="shared" si="140"/>
        <v>0</v>
      </c>
      <c r="AP128" s="100">
        <f t="shared" si="141"/>
        <v>38.5929648241206</v>
      </c>
      <c r="AQ128" s="100">
        <f t="shared" si="142"/>
        <v>0</v>
      </c>
      <c r="AR128" s="100">
        <f t="shared" si="143"/>
        <v>0</v>
      </c>
      <c r="AS128" s="100">
        <f t="shared" si="144"/>
        <v>0</v>
      </c>
      <c r="AT128" s="100">
        <f t="shared" si="105"/>
        <v>0</v>
      </c>
      <c r="AU128" s="100">
        <f t="shared" si="106"/>
        <v>0</v>
      </c>
      <c r="AV128" s="100">
        <f t="shared" si="107"/>
        <v>0</v>
      </c>
      <c r="AW128" s="100">
        <f t="shared" si="108"/>
        <v>55.477386934673369</v>
      </c>
      <c r="AX128">
        <f t="shared" si="109"/>
        <v>160</v>
      </c>
      <c r="AY128" s="98">
        <f t="shared" si="110"/>
        <v>0</v>
      </c>
      <c r="AZ128" s="98">
        <f t="shared" si="111"/>
        <v>0</v>
      </c>
      <c r="BA128" s="98">
        <f t="shared" si="146"/>
        <v>0</v>
      </c>
      <c r="BB128" s="98">
        <f t="shared" si="113"/>
        <v>0</v>
      </c>
      <c r="BC128" s="98">
        <f t="shared" si="147"/>
        <v>0</v>
      </c>
      <c r="BD128" s="98">
        <f t="shared" si="148"/>
        <v>0</v>
      </c>
      <c r="BE128" s="98">
        <f t="shared" si="149"/>
        <v>3134.9547738693464</v>
      </c>
      <c r="BF128" s="98">
        <f t="shared" si="117"/>
        <v>0</v>
      </c>
      <c r="BG128" s="98">
        <f t="shared" si="118"/>
        <v>0</v>
      </c>
      <c r="BH128" s="98">
        <f t="shared" si="150"/>
        <v>0</v>
      </c>
      <c r="BI128" s="98">
        <f t="shared" si="151"/>
        <v>0</v>
      </c>
      <c r="BJ128" s="98">
        <f t="shared" si="152"/>
        <v>0</v>
      </c>
      <c r="BK128" s="98">
        <f t="shared" si="153"/>
        <v>1835.0954773869344</v>
      </c>
      <c r="BL128" s="98">
        <f t="shared" si="123"/>
        <v>0</v>
      </c>
      <c r="BM128" s="98">
        <f t="shared" si="154"/>
        <v>0</v>
      </c>
      <c r="BN128" s="98">
        <f t="shared" si="155"/>
        <v>0</v>
      </c>
      <c r="BO128" s="98">
        <f t="shared" si="126"/>
        <v>0</v>
      </c>
      <c r="BP128" s="98">
        <f t="shared" si="156"/>
        <v>0</v>
      </c>
      <c r="BQ128" s="98">
        <f t="shared" si="128"/>
        <v>0</v>
      </c>
      <c r="BR128" s="98">
        <f t="shared" si="157"/>
        <v>2637.9497487437184</v>
      </c>
    </row>
    <row r="129" spans="1:70" x14ac:dyDescent="0.25">
      <c r="A129" t="s">
        <v>55</v>
      </c>
      <c r="B129" t="s">
        <v>9</v>
      </c>
      <c r="C129">
        <v>2026</v>
      </c>
      <c r="D129" s="98">
        <f>INDEX('Reference Sheet'!$G$9:$J$100, MATCH(A129,'Reference Sheet'!$F$9:$F$100,0), MATCH(C129,'Reference Sheet'!$G$8:$J$8,0))/2080</f>
        <v>38.46153846153846</v>
      </c>
      <c r="E129" s="99">
        <f>VLOOKUP(C129,'Reference Sheet'!$A$2:$B$5,2)</f>
        <v>0.23630000000000001</v>
      </c>
      <c r="F129" s="98">
        <f t="shared" si="87"/>
        <v>47.55</v>
      </c>
      <c r="G129" s="98"/>
      <c r="H129" s="98"/>
      <c r="I129" s="21"/>
      <c r="J129" s="21"/>
      <c r="K129" s="21"/>
      <c r="L129" s="21"/>
      <c r="M129" s="21">
        <v>97</v>
      </c>
      <c r="N129" s="21"/>
      <c r="O129" s="21"/>
      <c r="P129" s="21"/>
      <c r="Q129" s="21"/>
      <c r="R129" s="21"/>
      <c r="S129" s="21">
        <v>59</v>
      </c>
      <c r="T129" s="21"/>
      <c r="U129" s="21"/>
      <c r="V129" s="21"/>
      <c r="W129" s="21"/>
      <c r="X129" s="21"/>
      <c r="Y129" s="21"/>
      <c r="Z129" s="21">
        <v>43</v>
      </c>
      <c r="AA129" s="98">
        <f t="shared" si="86"/>
        <v>199</v>
      </c>
      <c r="AB129" s="98">
        <f>IF(OR(B129="",C129=""),"",SUMIFS('Reference Sheet'!$D$9:$D$42,'Reference Sheet'!$A$9:$A$42,C129,'Reference Sheet'!$B$9:$B$42,B129))</f>
        <v>176</v>
      </c>
      <c r="AC129" s="98">
        <f t="shared" si="88"/>
        <v>-23</v>
      </c>
      <c r="AD129" s="100">
        <f t="shared" si="130"/>
        <v>0</v>
      </c>
      <c r="AE129" s="100">
        <f t="shared" si="131"/>
        <v>0</v>
      </c>
      <c r="AF129" s="100">
        <f t="shared" si="132"/>
        <v>0</v>
      </c>
      <c r="AG129" s="100">
        <f t="shared" si="133"/>
        <v>0</v>
      </c>
      <c r="AH129" s="100">
        <f t="shared" si="134"/>
        <v>0</v>
      </c>
      <c r="AI129" s="100">
        <f t="shared" si="135"/>
        <v>0</v>
      </c>
      <c r="AJ129" s="100">
        <f t="shared" si="136"/>
        <v>85.788944723618087</v>
      </c>
      <c r="AK129" s="100">
        <f t="shared" si="137"/>
        <v>0</v>
      </c>
      <c r="AL129" s="100">
        <f t="shared" si="97"/>
        <v>0</v>
      </c>
      <c r="AM129" s="100">
        <f t="shared" si="138"/>
        <v>0</v>
      </c>
      <c r="AN129" s="100">
        <f t="shared" si="139"/>
        <v>0</v>
      </c>
      <c r="AO129" s="100">
        <f t="shared" si="140"/>
        <v>0</v>
      </c>
      <c r="AP129" s="100">
        <f t="shared" si="141"/>
        <v>52.180904522613069</v>
      </c>
      <c r="AQ129" s="100">
        <f t="shared" si="142"/>
        <v>0</v>
      </c>
      <c r="AR129" s="100">
        <f t="shared" si="143"/>
        <v>0</v>
      </c>
      <c r="AS129" s="100">
        <f t="shared" si="144"/>
        <v>0</v>
      </c>
      <c r="AT129" s="100">
        <f t="shared" si="105"/>
        <v>0</v>
      </c>
      <c r="AU129" s="100">
        <f t="shared" si="106"/>
        <v>0</v>
      </c>
      <c r="AV129" s="100">
        <f t="shared" si="107"/>
        <v>0</v>
      </c>
      <c r="AW129" s="100">
        <f t="shared" si="108"/>
        <v>38.030150753768844</v>
      </c>
      <c r="AX129">
        <f t="shared" si="109"/>
        <v>176</v>
      </c>
      <c r="AY129" s="98">
        <f t="shared" si="110"/>
        <v>0</v>
      </c>
      <c r="AZ129" s="98">
        <f t="shared" si="111"/>
        <v>0</v>
      </c>
      <c r="BA129" s="98">
        <f t="shared" si="146"/>
        <v>0</v>
      </c>
      <c r="BB129" s="98">
        <f t="shared" si="113"/>
        <v>0</v>
      </c>
      <c r="BC129" s="98">
        <f t="shared" si="147"/>
        <v>0</v>
      </c>
      <c r="BD129" s="98">
        <f t="shared" si="148"/>
        <v>0</v>
      </c>
      <c r="BE129" s="98">
        <f t="shared" si="149"/>
        <v>4079.2643216080396</v>
      </c>
      <c r="BF129" s="98">
        <f t="shared" si="117"/>
        <v>0</v>
      </c>
      <c r="BG129" s="98">
        <f t="shared" si="118"/>
        <v>0</v>
      </c>
      <c r="BH129" s="98">
        <f t="shared" si="150"/>
        <v>0</v>
      </c>
      <c r="BI129" s="98">
        <f t="shared" si="151"/>
        <v>0</v>
      </c>
      <c r="BJ129" s="98">
        <f t="shared" si="152"/>
        <v>0</v>
      </c>
      <c r="BK129" s="98">
        <f t="shared" si="153"/>
        <v>2481.2020100502514</v>
      </c>
      <c r="BL129" s="98">
        <f t="shared" si="123"/>
        <v>0</v>
      </c>
      <c r="BM129" s="98">
        <f t="shared" si="154"/>
        <v>0</v>
      </c>
      <c r="BN129" s="98">
        <f t="shared" si="155"/>
        <v>0</v>
      </c>
      <c r="BO129" s="98">
        <f t="shared" si="126"/>
        <v>0</v>
      </c>
      <c r="BP129" s="98">
        <f t="shared" si="156"/>
        <v>0</v>
      </c>
      <c r="BQ129" s="98">
        <f t="shared" si="128"/>
        <v>0</v>
      </c>
      <c r="BR129" s="98">
        <f t="shared" si="157"/>
        <v>1808.3336683417085</v>
      </c>
    </row>
    <row r="130" spans="1:70" x14ac:dyDescent="0.25">
      <c r="A130" t="s">
        <v>55</v>
      </c>
      <c r="B130" t="s">
        <v>10</v>
      </c>
      <c r="C130">
        <v>2026</v>
      </c>
      <c r="D130" s="98">
        <f>INDEX('Reference Sheet'!$G$9:$J$100, MATCH(A130,'Reference Sheet'!$F$9:$F$100,0), MATCH(C130,'Reference Sheet'!$G$8:$J$8,0))/2080</f>
        <v>38.46153846153846</v>
      </c>
      <c r="E130" s="99">
        <f>VLOOKUP(C130,'Reference Sheet'!$A$2:$B$5,2)</f>
        <v>0.23630000000000001</v>
      </c>
      <c r="F130" s="98">
        <f t="shared" si="87"/>
        <v>47.55</v>
      </c>
      <c r="G130" s="98"/>
      <c r="H130" s="98"/>
      <c r="I130" s="21"/>
      <c r="J130" s="21"/>
      <c r="K130" s="21"/>
      <c r="L130" s="21"/>
      <c r="M130" s="21">
        <v>101</v>
      </c>
      <c r="N130" s="21"/>
      <c r="O130" s="21"/>
      <c r="P130" s="21"/>
      <c r="Q130" s="21"/>
      <c r="R130" s="21"/>
      <c r="S130" s="21">
        <v>56</v>
      </c>
      <c r="T130" s="21"/>
      <c r="U130" s="21"/>
      <c r="V130" s="21"/>
      <c r="W130" s="21"/>
      <c r="X130" s="21"/>
      <c r="Y130" s="21"/>
      <c r="Z130" s="21">
        <v>42</v>
      </c>
      <c r="AA130" s="98">
        <f t="shared" ref="AA130:AA198" si="158">SUM(G130:Z130)</f>
        <v>199</v>
      </c>
      <c r="AB130" s="98">
        <f>IF(OR(B130="",C130=""),"",SUMIFS('Reference Sheet'!$D$9:$D$42,'Reference Sheet'!$A$9:$A$42,C130,'Reference Sheet'!$B$9:$B$42,B130))</f>
        <v>168</v>
      </c>
      <c r="AC130" s="98">
        <f t="shared" si="88"/>
        <v>-31</v>
      </c>
      <c r="AD130" s="100">
        <f t="shared" si="130"/>
        <v>0</v>
      </c>
      <c r="AE130" s="100">
        <f t="shared" si="131"/>
        <v>0</v>
      </c>
      <c r="AF130" s="100">
        <f t="shared" si="132"/>
        <v>0</v>
      </c>
      <c r="AG130" s="100">
        <f t="shared" si="133"/>
        <v>0</v>
      </c>
      <c r="AH130" s="100">
        <f t="shared" si="134"/>
        <v>0</v>
      </c>
      <c r="AI130" s="100">
        <f t="shared" si="135"/>
        <v>0</v>
      </c>
      <c r="AJ130" s="100">
        <f t="shared" si="136"/>
        <v>85.266331658291449</v>
      </c>
      <c r="AK130" s="100">
        <f t="shared" si="137"/>
        <v>0</v>
      </c>
      <c r="AL130" s="100">
        <f t="shared" si="97"/>
        <v>0</v>
      </c>
      <c r="AM130" s="100">
        <f t="shared" si="138"/>
        <v>0</v>
      </c>
      <c r="AN130" s="100">
        <f t="shared" si="139"/>
        <v>0</v>
      </c>
      <c r="AO130" s="100">
        <f t="shared" si="140"/>
        <v>0</v>
      </c>
      <c r="AP130" s="100">
        <f t="shared" si="141"/>
        <v>47.276381909547737</v>
      </c>
      <c r="AQ130" s="100">
        <f t="shared" si="142"/>
        <v>0</v>
      </c>
      <c r="AR130" s="100">
        <f t="shared" si="143"/>
        <v>0</v>
      </c>
      <c r="AS130" s="100">
        <f t="shared" si="144"/>
        <v>0</v>
      </c>
      <c r="AT130" s="100">
        <f t="shared" si="105"/>
        <v>0</v>
      </c>
      <c r="AU130" s="100">
        <f t="shared" si="106"/>
        <v>0</v>
      </c>
      <c r="AV130" s="100">
        <f t="shared" si="107"/>
        <v>0</v>
      </c>
      <c r="AW130" s="100">
        <f t="shared" si="108"/>
        <v>35.457286432160807</v>
      </c>
      <c r="AX130">
        <f t="shared" si="109"/>
        <v>168</v>
      </c>
      <c r="AY130" s="98">
        <f t="shared" si="110"/>
        <v>0</v>
      </c>
      <c r="AZ130" s="98">
        <f t="shared" si="111"/>
        <v>0</v>
      </c>
      <c r="BA130" s="98">
        <f t="shared" si="146"/>
        <v>0</v>
      </c>
      <c r="BB130" s="98">
        <f t="shared" si="113"/>
        <v>0</v>
      </c>
      <c r="BC130" s="98">
        <f t="shared" si="147"/>
        <v>0</v>
      </c>
      <c r="BD130" s="98">
        <f t="shared" si="148"/>
        <v>0</v>
      </c>
      <c r="BE130" s="98">
        <f t="shared" si="149"/>
        <v>4054.4140703517583</v>
      </c>
      <c r="BF130" s="98">
        <f t="shared" si="117"/>
        <v>0</v>
      </c>
      <c r="BG130" s="98">
        <f t="shared" si="118"/>
        <v>0</v>
      </c>
      <c r="BH130" s="98">
        <f t="shared" si="150"/>
        <v>0</v>
      </c>
      <c r="BI130" s="98">
        <f t="shared" si="151"/>
        <v>0</v>
      </c>
      <c r="BJ130" s="98">
        <f t="shared" si="152"/>
        <v>0</v>
      </c>
      <c r="BK130" s="98">
        <f t="shared" si="153"/>
        <v>2247.9919597989947</v>
      </c>
      <c r="BL130" s="98">
        <f t="shared" si="123"/>
        <v>0</v>
      </c>
      <c r="BM130" s="98">
        <f t="shared" si="154"/>
        <v>0</v>
      </c>
      <c r="BN130" s="98">
        <f t="shared" si="155"/>
        <v>0</v>
      </c>
      <c r="BO130" s="98">
        <f t="shared" si="126"/>
        <v>0</v>
      </c>
      <c r="BP130" s="98">
        <f t="shared" si="156"/>
        <v>0</v>
      </c>
      <c r="BQ130" s="98">
        <f t="shared" si="128"/>
        <v>0</v>
      </c>
      <c r="BR130" s="98">
        <f t="shared" si="157"/>
        <v>1685.9939698492462</v>
      </c>
    </row>
    <row r="131" spans="1:70" x14ac:dyDescent="0.25">
      <c r="A131" t="s">
        <v>55</v>
      </c>
      <c r="B131" t="s">
        <v>11</v>
      </c>
      <c r="C131">
        <v>2026</v>
      </c>
      <c r="D131" s="98">
        <f>INDEX('Reference Sheet'!$G$9:$J$100, MATCH(A131,'Reference Sheet'!$F$9:$F$100,0), MATCH(C131,'Reference Sheet'!$G$8:$J$8,0))/2080</f>
        <v>38.46153846153846</v>
      </c>
      <c r="E131" s="99">
        <f>VLOOKUP(C131,'Reference Sheet'!$A$2:$B$5,2)</f>
        <v>0.23630000000000001</v>
      </c>
      <c r="F131" s="98">
        <f t="shared" ref="F131:F203" si="159">D131*(1+E131)</f>
        <v>47.55</v>
      </c>
      <c r="G131" s="98"/>
      <c r="H131" s="98"/>
      <c r="I131" s="21"/>
      <c r="J131" s="21"/>
      <c r="K131" s="21"/>
      <c r="L131" s="21"/>
      <c r="M131" s="21">
        <v>97</v>
      </c>
      <c r="N131" s="21"/>
      <c r="O131" s="21"/>
      <c r="P131" s="21"/>
      <c r="Q131" s="21"/>
      <c r="R131" s="21"/>
      <c r="S131" s="21">
        <v>54</v>
      </c>
      <c r="T131" s="21"/>
      <c r="U131" s="21"/>
      <c r="V131" s="21"/>
      <c r="W131" s="21"/>
      <c r="X131" s="21"/>
      <c r="Y131" s="21"/>
      <c r="Z131" s="21">
        <v>51</v>
      </c>
      <c r="AA131" s="98">
        <f t="shared" si="158"/>
        <v>202</v>
      </c>
      <c r="AB131" s="98">
        <f>IF(OR(B131="",C131=""),"",SUMIFS('Reference Sheet'!$D$9:$D$42,'Reference Sheet'!$A$9:$A$42,C131,'Reference Sheet'!$B$9:$B$42,B131))</f>
        <v>176</v>
      </c>
      <c r="AC131" s="98">
        <f t="shared" ref="AC131:AC203" si="160">AB131-AA131</f>
        <v>-26</v>
      </c>
      <c r="AD131" s="100">
        <f t="shared" ref="AD131:AD167" si="161">(G131/$AA131)*$AB131</f>
        <v>0</v>
      </c>
      <c r="AE131" s="100">
        <f t="shared" ref="AE131:AE167" si="162">(H131/$AA131)*$AB131</f>
        <v>0</v>
      </c>
      <c r="AF131" s="100">
        <f t="shared" ref="AF131:AF167" si="163">(I131/$AA131)*$AB131</f>
        <v>0</v>
      </c>
      <c r="AG131" s="100">
        <f t="shared" ref="AG131:AG167" si="164">(J131/$AA131)*$AB131</f>
        <v>0</v>
      </c>
      <c r="AH131" s="100">
        <f t="shared" ref="AH131:AH167" si="165">(K131/$AA131)*$AB131</f>
        <v>0</v>
      </c>
      <c r="AI131" s="100">
        <f t="shared" ref="AI131:AI167" si="166">(L131/$AA131)*$AB131</f>
        <v>0</v>
      </c>
      <c r="AJ131" s="100">
        <f t="shared" ref="AJ131:AJ167" si="167">(M131/$AA131)*$AB131</f>
        <v>84.514851485148512</v>
      </c>
      <c r="AK131" s="100">
        <f t="shared" ref="AK131:AK167" si="168">(N131/$AA131)*$AB131</f>
        <v>0</v>
      </c>
      <c r="AL131" s="100">
        <f t="shared" ref="AL131:AL199" si="169">(O131/$AA131)*$AB131</f>
        <v>0</v>
      </c>
      <c r="AM131" s="100">
        <f t="shared" ref="AM131:AM167" si="170">(P131/$AA131)*$AB131</f>
        <v>0</v>
      </c>
      <c r="AN131" s="100">
        <f t="shared" ref="AN131:AN167" si="171">(Q131/$AA131)*$AB131</f>
        <v>0</v>
      </c>
      <c r="AO131" s="100">
        <f t="shared" ref="AO131:AO167" si="172">(R131/$AA131)*$AB131</f>
        <v>0</v>
      </c>
      <c r="AP131" s="100">
        <f t="shared" ref="AP131:AP167" si="173">(S131/$AA131)*$AB131</f>
        <v>47.049504950495049</v>
      </c>
      <c r="AQ131" s="100">
        <f t="shared" ref="AQ131:AQ167" si="174">(T131/$AA131)*$AB131</f>
        <v>0</v>
      </c>
      <c r="AR131" s="100">
        <f t="shared" ref="AR131:AR167" si="175">(U131/$AA131)*$AB131</f>
        <v>0</v>
      </c>
      <c r="AS131" s="100">
        <f t="shared" ref="AS131:AS167" si="176">(V131/$AA131)*$AB131</f>
        <v>0</v>
      </c>
      <c r="AT131" s="100">
        <f t="shared" ref="AT131:AT199" si="177">(W131/$AA131)*$AB131</f>
        <v>0</v>
      </c>
      <c r="AU131" s="100">
        <f t="shared" ref="AU131:AU203" si="178">(X131/$AA131)*$AB131</f>
        <v>0</v>
      </c>
      <c r="AV131" s="100">
        <f t="shared" ref="AV131:AV199" si="179">(Y131/$AA131)*$AB131</f>
        <v>0</v>
      </c>
      <c r="AW131" s="100">
        <f t="shared" ref="AW131:AW203" si="180">(Z131/$AA131)*$AB131</f>
        <v>44.43564356435644</v>
      </c>
      <c r="AX131">
        <f t="shared" ref="AX131:AX203" si="181">SUM(AF131:AW131)</f>
        <v>176</v>
      </c>
      <c r="AY131" s="98">
        <f t="shared" ref="AY131:AY199" si="182">$F131*AD131</f>
        <v>0</v>
      </c>
      <c r="AZ131" s="98">
        <f t="shared" ref="AZ131:AZ199" si="183">$F131*AE131</f>
        <v>0</v>
      </c>
      <c r="BA131" s="98">
        <f t="shared" si="146"/>
        <v>0</v>
      </c>
      <c r="BB131" s="98">
        <f t="shared" ref="BB131:BB199" si="184">$F131*AG131</f>
        <v>0</v>
      </c>
      <c r="BC131" s="98">
        <f t="shared" si="147"/>
        <v>0</v>
      </c>
      <c r="BD131" s="98">
        <f t="shared" si="148"/>
        <v>0</v>
      </c>
      <c r="BE131" s="98">
        <f t="shared" si="149"/>
        <v>4018.6811881188114</v>
      </c>
      <c r="BF131" s="98">
        <f t="shared" ref="BF131:BF199" si="185">$F131*AK131</f>
        <v>0</v>
      </c>
      <c r="BG131" s="98">
        <f t="shared" ref="BG131:BG199" si="186">$F131*AL131</f>
        <v>0</v>
      </c>
      <c r="BH131" s="98">
        <f t="shared" si="150"/>
        <v>0</v>
      </c>
      <c r="BI131" s="98">
        <f t="shared" si="151"/>
        <v>0</v>
      </c>
      <c r="BJ131" s="98">
        <f t="shared" si="152"/>
        <v>0</v>
      </c>
      <c r="BK131" s="98">
        <f t="shared" si="153"/>
        <v>2237.2039603960393</v>
      </c>
      <c r="BL131" s="98">
        <f t="shared" ref="BL131:BL199" si="187">$F131*AQ131</f>
        <v>0</v>
      </c>
      <c r="BM131" s="98">
        <f t="shared" si="154"/>
        <v>0</v>
      </c>
      <c r="BN131" s="98">
        <f t="shared" si="155"/>
        <v>0</v>
      </c>
      <c r="BO131" s="98">
        <f t="shared" ref="BO131:BO199" si="188">$F131*AT131</f>
        <v>0</v>
      </c>
      <c r="BP131" s="98">
        <f t="shared" si="156"/>
        <v>0</v>
      </c>
      <c r="BQ131" s="98">
        <f t="shared" ref="BQ131:BQ199" si="189">$F131*AV131</f>
        <v>0</v>
      </c>
      <c r="BR131" s="98">
        <f t="shared" si="157"/>
        <v>2112.9148514851486</v>
      </c>
    </row>
    <row r="132" spans="1:70" x14ac:dyDescent="0.25">
      <c r="A132" t="s">
        <v>55</v>
      </c>
      <c r="B132" t="s">
        <v>12</v>
      </c>
      <c r="C132">
        <v>2026</v>
      </c>
      <c r="D132" s="98">
        <f>INDEX('Reference Sheet'!$G$9:$J$100, MATCH(A132,'Reference Sheet'!$F$9:$F$100,0), MATCH(C132,'Reference Sheet'!$G$8:$J$8,0))/2080</f>
        <v>38.46153846153846</v>
      </c>
      <c r="E132" s="99">
        <f>VLOOKUP(C132,'Reference Sheet'!$A$2:$B$5,2)</f>
        <v>0.23630000000000001</v>
      </c>
      <c r="F132" s="98">
        <f t="shared" si="159"/>
        <v>47.55</v>
      </c>
      <c r="G132" s="98"/>
      <c r="H132" s="98"/>
      <c r="I132" s="21"/>
      <c r="J132" s="21"/>
      <c r="K132" s="21"/>
      <c r="L132" s="21"/>
      <c r="M132" s="21">
        <v>104</v>
      </c>
      <c r="N132" s="21"/>
      <c r="O132" s="21"/>
      <c r="P132" s="21"/>
      <c r="Q132" s="21"/>
      <c r="R132" s="21"/>
      <c r="S132" s="21">
        <v>60</v>
      </c>
      <c r="T132" s="21"/>
      <c r="U132" s="21"/>
      <c r="V132" s="21"/>
      <c r="W132" s="21"/>
      <c r="X132" s="21"/>
      <c r="Y132" s="21"/>
      <c r="Z132" s="21">
        <v>44</v>
      </c>
      <c r="AA132" s="98">
        <f t="shared" si="158"/>
        <v>208</v>
      </c>
      <c r="AB132" s="98">
        <f>IF(OR(B132="",C132=""),"",SUMIFS('Reference Sheet'!$D$9:$D$42,'Reference Sheet'!$A$9:$A$42,C132,'Reference Sheet'!$B$9:$B$42,B132))</f>
        <v>184</v>
      </c>
      <c r="AC132" s="98">
        <f t="shared" si="160"/>
        <v>-24</v>
      </c>
      <c r="AD132" s="100">
        <f t="shared" si="161"/>
        <v>0</v>
      </c>
      <c r="AE132" s="100">
        <f t="shared" si="162"/>
        <v>0</v>
      </c>
      <c r="AF132" s="100">
        <f t="shared" si="163"/>
        <v>0</v>
      </c>
      <c r="AG132" s="100">
        <f t="shared" si="164"/>
        <v>0</v>
      </c>
      <c r="AH132" s="100">
        <f t="shared" si="165"/>
        <v>0</v>
      </c>
      <c r="AI132" s="100">
        <f t="shared" si="166"/>
        <v>0</v>
      </c>
      <c r="AJ132" s="100">
        <f t="shared" si="167"/>
        <v>92</v>
      </c>
      <c r="AK132" s="100">
        <f t="shared" si="168"/>
        <v>0</v>
      </c>
      <c r="AL132" s="100">
        <f t="shared" si="169"/>
        <v>0</v>
      </c>
      <c r="AM132" s="100">
        <f t="shared" si="170"/>
        <v>0</v>
      </c>
      <c r="AN132" s="100">
        <f t="shared" si="171"/>
        <v>0</v>
      </c>
      <c r="AO132" s="100">
        <f t="shared" si="172"/>
        <v>0</v>
      </c>
      <c r="AP132" s="100">
        <f t="shared" si="173"/>
        <v>53.076923076923073</v>
      </c>
      <c r="AQ132" s="100">
        <f t="shared" si="174"/>
        <v>0</v>
      </c>
      <c r="AR132" s="100">
        <f t="shared" si="175"/>
        <v>0</v>
      </c>
      <c r="AS132" s="100">
        <f t="shared" si="176"/>
        <v>0</v>
      </c>
      <c r="AT132" s="100">
        <f t="shared" si="177"/>
        <v>0</v>
      </c>
      <c r="AU132" s="100">
        <f t="shared" si="178"/>
        <v>0</v>
      </c>
      <c r="AV132" s="100">
        <f t="shared" si="179"/>
        <v>0</v>
      </c>
      <c r="AW132" s="100">
        <f t="shared" si="180"/>
        <v>38.92307692307692</v>
      </c>
      <c r="AX132">
        <f t="shared" si="181"/>
        <v>184</v>
      </c>
      <c r="AY132" s="98">
        <f t="shared" si="182"/>
        <v>0</v>
      </c>
      <c r="AZ132" s="98">
        <f t="shared" si="183"/>
        <v>0</v>
      </c>
      <c r="BA132" s="98">
        <f t="shared" si="146"/>
        <v>0</v>
      </c>
      <c r="BB132" s="98">
        <f t="shared" si="184"/>
        <v>0</v>
      </c>
      <c r="BC132" s="98">
        <f t="shared" si="147"/>
        <v>0</v>
      </c>
      <c r="BD132" s="98">
        <f t="shared" si="148"/>
        <v>0</v>
      </c>
      <c r="BE132" s="98">
        <f t="shared" si="149"/>
        <v>4374.5999999999995</v>
      </c>
      <c r="BF132" s="98">
        <f t="shared" si="185"/>
        <v>0</v>
      </c>
      <c r="BG132" s="98">
        <f t="shared" si="186"/>
        <v>0</v>
      </c>
      <c r="BH132" s="98">
        <f t="shared" si="150"/>
        <v>0</v>
      </c>
      <c r="BI132" s="98">
        <f t="shared" si="151"/>
        <v>0</v>
      </c>
      <c r="BJ132" s="98">
        <f t="shared" si="152"/>
        <v>0</v>
      </c>
      <c r="BK132" s="98">
        <f t="shared" si="153"/>
        <v>2523.8076923076919</v>
      </c>
      <c r="BL132" s="98">
        <f t="shared" si="187"/>
        <v>0</v>
      </c>
      <c r="BM132" s="98">
        <f t="shared" si="154"/>
        <v>0</v>
      </c>
      <c r="BN132" s="98">
        <f t="shared" si="155"/>
        <v>0</v>
      </c>
      <c r="BO132" s="98">
        <f t="shared" si="188"/>
        <v>0</v>
      </c>
      <c r="BP132" s="98">
        <f t="shared" si="156"/>
        <v>0</v>
      </c>
      <c r="BQ132" s="98">
        <f t="shared" si="189"/>
        <v>0</v>
      </c>
      <c r="BR132" s="98">
        <f t="shared" si="157"/>
        <v>1850.7923076923075</v>
      </c>
    </row>
    <row r="133" spans="1:70" x14ac:dyDescent="0.25">
      <c r="A133" t="s">
        <v>55</v>
      </c>
      <c r="B133" t="s">
        <v>13</v>
      </c>
      <c r="C133">
        <v>2026</v>
      </c>
      <c r="D133" s="98">
        <f>INDEX('Reference Sheet'!$G$9:$J$100, MATCH(A133,'Reference Sheet'!$F$9:$F$100,0), MATCH(C133,'Reference Sheet'!$G$8:$J$8,0))/2080</f>
        <v>38.46153846153846</v>
      </c>
      <c r="E133" s="99">
        <f>VLOOKUP(C133,'Reference Sheet'!$A$2:$B$5,2)</f>
        <v>0.23630000000000001</v>
      </c>
      <c r="F133" s="98">
        <f t="shared" ref="F133" si="190">D133*(1+E133)</f>
        <v>47.55</v>
      </c>
      <c r="G133" s="98"/>
      <c r="H133" s="98"/>
      <c r="I133" s="21"/>
      <c r="J133" s="21"/>
      <c r="K133" s="21"/>
      <c r="L133" s="21"/>
      <c r="M133" s="21"/>
      <c r="N133" s="21"/>
      <c r="O133" s="21"/>
      <c r="P133" s="21"/>
      <c r="Q133" s="21"/>
      <c r="R133" s="21"/>
      <c r="S133" s="21">
        <v>53</v>
      </c>
      <c r="T133" s="21"/>
      <c r="U133" s="21"/>
      <c r="V133" s="21">
        <v>64</v>
      </c>
      <c r="W133" s="21"/>
      <c r="X133" s="21"/>
      <c r="Y133" s="21"/>
      <c r="Z133" s="21">
        <v>59</v>
      </c>
      <c r="AA133" s="98">
        <f t="shared" si="158"/>
        <v>176</v>
      </c>
      <c r="AB133" s="98">
        <f>IF(OR(B133="",C133=""),"",SUMIFS('Reference Sheet'!$D$9:$D$44,'Reference Sheet'!$A$9:$A$44,C133,'Reference Sheet'!$B$9:$B$44,B133))</f>
        <v>176</v>
      </c>
      <c r="AC133" s="98">
        <f t="shared" ref="AC133" si="191">AB133-AA133</f>
        <v>0</v>
      </c>
      <c r="AD133" s="100">
        <f t="shared" si="161"/>
        <v>0</v>
      </c>
      <c r="AE133" s="100">
        <f t="shared" si="162"/>
        <v>0</v>
      </c>
      <c r="AF133" s="100">
        <f t="shared" si="163"/>
        <v>0</v>
      </c>
      <c r="AG133" s="100">
        <f t="shared" si="164"/>
        <v>0</v>
      </c>
      <c r="AH133" s="100">
        <f t="shared" si="165"/>
        <v>0</v>
      </c>
      <c r="AI133" s="100">
        <f t="shared" si="166"/>
        <v>0</v>
      </c>
      <c r="AJ133" s="100">
        <f t="shared" si="167"/>
        <v>0</v>
      </c>
      <c r="AK133" s="100">
        <f t="shared" si="168"/>
        <v>0</v>
      </c>
      <c r="AL133" s="100">
        <f t="shared" si="169"/>
        <v>0</v>
      </c>
      <c r="AM133" s="100">
        <f t="shared" si="170"/>
        <v>0</v>
      </c>
      <c r="AN133" s="100">
        <f t="shared" si="171"/>
        <v>0</v>
      </c>
      <c r="AO133" s="100">
        <f t="shared" si="172"/>
        <v>0</v>
      </c>
      <c r="AP133" s="100">
        <f t="shared" si="173"/>
        <v>53</v>
      </c>
      <c r="AQ133" s="100">
        <f t="shared" si="174"/>
        <v>0</v>
      </c>
      <c r="AR133" s="100">
        <f t="shared" si="175"/>
        <v>0</v>
      </c>
      <c r="AS133" s="100">
        <f t="shared" si="176"/>
        <v>64</v>
      </c>
      <c r="AT133" s="100">
        <f t="shared" si="177"/>
        <v>0</v>
      </c>
      <c r="AU133" s="100">
        <f t="shared" ref="AU133" si="192">(X133/$AA133)*$AB133</f>
        <v>0</v>
      </c>
      <c r="AV133" s="100">
        <f t="shared" si="179"/>
        <v>0</v>
      </c>
      <c r="AW133" s="100">
        <f t="shared" ref="AW133" si="193">(Z133/$AA133)*$AB133</f>
        <v>59</v>
      </c>
      <c r="AX133">
        <f t="shared" ref="AX133" si="194">SUM(AF133:AW133)</f>
        <v>176</v>
      </c>
      <c r="AY133" s="98">
        <f t="shared" si="182"/>
        <v>0</v>
      </c>
      <c r="AZ133" s="98">
        <f t="shared" si="183"/>
        <v>0</v>
      </c>
      <c r="BA133" s="98">
        <f t="shared" ref="BA133" si="195">$F133*AF133</f>
        <v>0</v>
      </c>
      <c r="BB133" s="98">
        <f t="shared" si="184"/>
        <v>0</v>
      </c>
      <c r="BC133" s="98">
        <f t="shared" ref="BC133" si="196">$F133*AH133</f>
        <v>0</v>
      </c>
      <c r="BD133" s="98">
        <f t="shared" ref="BD133" si="197">$F133*AI133</f>
        <v>0</v>
      </c>
      <c r="BE133" s="98">
        <f t="shared" ref="BE133" si="198">$F133*AJ133</f>
        <v>0</v>
      </c>
      <c r="BF133" s="98">
        <f t="shared" si="185"/>
        <v>0</v>
      </c>
      <c r="BG133" s="98">
        <f t="shared" si="186"/>
        <v>0</v>
      </c>
      <c r="BH133" s="98">
        <f t="shared" ref="BH133" si="199">$F133*AM133</f>
        <v>0</v>
      </c>
      <c r="BI133" s="98">
        <f t="shared" ref="BI133" si="200">$F133*AN133</f>
        <v>0</v>
      </c>
      <c r="BJ133" s="98">
        <f t="shared" ref="BJ133" si="201">$F133*AO133</f>
        <v>0</v>
      </c>
      <c r="BK133" s="98">
        <f t="shared" ref="BK133" si="202">$F133*AP133</f>
        <v>2520.1499999999996</v>
      </c>
      <c r="BL133" s="98">
        <f t="shared" si="187"/>
        <v>0</v>
      </c>
      <c r="BM133" s="98">
        <f t="shared" ref="BM133" si="203">$F133*AR133</f>
        <v>0</v>
      </c>
      <c r="BN133" s="98">
        <f t="shared" ref="BN133" si="204">$F133*AS133</f>
        <v>3043.2</v>
      </c>
      <c r="BO133" s="98">
        <f t="shared" si="188"/>
        <v>0</v>
      </c>
      <c r="BP133" s="98">
        <f t="shared" ref="BP133" si="205">$F133*AU133</f>
        <v>0</v>
      </c>
      <c r="BQ133" s="98">
        <f t="shared" si="189"/>
        <v>0</v>
      </c>
      <c r="BR133" s="98">
        <f t="shared" ref="BR133" si="206">$F133*AW133</f>
        <v>2805.45</v>
      </c>
    </row>
    <row r="134" spans="1:70" x14ac:dyDescent="0.25">
      <c r="A134" t="s">
        <v>74</v>
      </c>
      <c r="B134" t="s">
        <v>6</v>
      </c>
      <c r="C134">
        <v>2024</v>
      </c>
      <c r="D134" s="98">
        <f>INDEX('Reference Sheet'!$G$9:$J$100, MATCH(A134,'Reference Sheet'!$F$9:$F$100,0), MATCH(C134,'Reference Sheet'!$G$8:$J$8,0))/2080</f>
        <v>23.63325</v>
      </c>
      <c r="E134" s="99">
        <f>VLOOKUP(C134,'Reference Sheet'!$A$2:$B$5,2)</f>
        <v>0.1913</v>
      </c>
      <c r="F134" s="98">
        <f t="shared" si="159"/>
        <v>28.154290725000003</v>
      </c>
      <c r="G134" s="98"/>
      <c r="H134" s="98"/>
      <c r="I134" s="32"/>
      <c r="J134" s="32"/>
      <c r="K134" s="32"/>
      <c r="L134" s="32"/>
      <c r="M134" s="32">
        <v>5</v>
      </c>
      <c r="N134" s="32"/>
      <c r="O134" s="32"/>
      <c r="P134" s="32"/>
      <c r="Q134" s="32"/>
      <c r="R134" s="32"/>
      <c r="S134" s="32"/>
      <c r="T134" s="32"/>
      <c r="U134" s="32"/>
      <c r="V134" s="32"/>
      <c r="W134" s="32"/>
      <c r="X134" s="32"/>
      <c r="Y134" s="32"/>
      <c r="Z134" s="32"/>
      <c r="AA134" s="98">
        <f t="shared" si="158"/>
        <v>5</v>
      </c>
      <c r="AB134" s="98">
        <f t="shared" ref="AB134:AB145" si="207">AA134</f>
        <v>5</v>
      </c>
      <c r="AC134" s="98">
        <f t="shared" si="160"/>
        <v>0</v>
      </c>
      <c r="AD134" s="100">
        <f t="shared" si="161"/>
        <v>0</v>
      </c>
      <c r="AE134" s="100">
        <f t="shared" si="162"/>
        <v>0</v>
      </c>
      <c r="AF134" s="100">
        <f t="shared" si="163"/>
        <v>0</v>
      </c>
      <c r="AG134" s="100">
        <f t="shared" si="164"/>
        <v>0</v>
      </c>
      <c r="AH134" s="100">
        <f t="shared" si="165"/>
        <v>0</v>
      </c>
      <c r="AI134" s="100">
        <f t="shared" si="166"/>
        <v>0</v>
      </c>
      <c r="AJ134" s="100">
        <f t="shared" si="167"/>
        <v>5</v>
      </c>
      <c r="AK134" s="100">
        <f t="shared" si="168"/>
        <v>0</v>
      </c>
      <c r="AL134" s="100">
        <f t="shared" si="169"/>
        <v>0</v>
      </c>
      <c r="AM134" s="100">
        <f t="shared" si="170"/>
        <v>0</v>
      </c>
      <c r="AN134" s="100">
        <f t="shared" si="171"/>
        <v>0</v>
      </c>
      <c r="AO134" s="100">
        <f t="shared" si="172"/>
        <v>0</v>
      </c>
      <c r="AP134" s="100">
        <f t="shared" si="173"/>
        <v>0</v>
      </c>
      <c r="AQ134" s="100">
        <f t="shared" si="174"/>
        <v>0</v>
      </c>
      <c r="AR134" s="100">
        <f t="shared" si="175"/>
        <v>0</v>
      </c>
      <c r="AS134" s="100">
        <f t="shared" si="176"/>
        <v>0</v>
      </c>
      <c r="AT134" s="100">
        <f t="shared" si="177"/>
        <v>0</v>
      </c>
      <c r="AU134" s="100">
        <f t="shared" si="178"/>
        <v>0</v>
      </c>
      <c r="AV134" s="100">
        <f t="shared" si="179"/>
        <v>0</v>
      </c>
      <c r="AW134" s="100">
        <f t="shared" si="180"/>
        <v>0</v>
      </c>
      <c r="AX134">
        <f t="shared" si="181"/>
        <v>5</v>
      </c>
      <c r="AY134" s="98">
        <f t="shared" si="182"/>
        <v>0</v>
      </c>
      <c r="AZ134" s="98">
        <f t="shared" si="183"/>
        <v>0</v>
      </c>
      <c r="BA134" s="98">
        <f t="shared" si="146"/>
        <v>0</v>
      </c>
      <c r="BB134" s="98">
        <f t="shared" si="184"/>
        <v>0</v>
      </c>
      <c r="BC134" s="98">
        <f t="shared" si="147"/>
        <v>0</v>
      </c>
      <c r="BD134" s="98">
        <f t="shared" si="148"/>
        <v>0</v>
      </c>
      <c r="BE134" s="98">
        <f t="shared" si="149"/>
        <v>140.77145362500002</v>
      </c>
      <c r="BF134" s="98">
        <f t="shared" si="185"/>
        <v>0</v>
      </c>
      <c r="BG134" s="98">
        <f t="shared" si="186"/>
        <v>0</v>
      </c>
      <c r="BH134" s="98">
        <f t="shared" si="150"/>
        <v>0</v>
      </c>
      <c r="BI134" s="98">
        <f t="shared" si="151"/>
        <v>0</v>
      </c>
      <c r="BJ134" s="98">
        <f t="shared" si="152"/>
        <v>0</v>
      </c>
      <c r="BK134" s="98">
        <f t="shared" si="153"/>
        <v>0</v>
      </c>
      <c r="BL134" s="98">
        <f t="shared" si="187"/>
        <v>0</v>
      </c>
      <c r="BM134" s="98">
        <f t="shared" si="154"/>
        <v>0</v>
      </c>
      <c r="BN134" s="98">
        <f t="shared" si="155"/>
        <v>0</v>
      </c>
      <c r="BO134" s="98">
        <f t="shared" si="188"/>
        <v>0</v>
      </c>
      <c r="BP134" s="98">
        <f t="shared" si="156"/>
        <v>0</v>
      </c>
      <c r="BQ134" s="98">
        <f t="shared" si="189"/>
        <v>0</v>
      </c>
      <c r="BR134" s="98">
        <f t="shared" si="157"/>
        <v>0</v>
      </c>
    </row>
    <row r="135" spans="1:70" x14ac:dyDescent="0.25">
      <c r="A135" t="s">
        <v>74</v>
      </c>
      <c r="B135" t="s">
        <v>7</v>
      </c>
      <c r="C135">
        <v>2024</v>
      </c>
      <c r="D135" s="98">
        <f>INDEX('Reference Sheet'!$G$9:$J$100, MATCH(A135,'Reference Sheet'!$F$9:$F$100,0), MATCH(C135,'Reference Sheet'!$G$8:$J$8,0))/2080</f>
        <v>23.63325</v>
      </c>
      <c r="E135" s="99">
        <f>VLOOKUP(C135,'Reference Sheet'!$A$2:$B$5,2)</f>
        <v>0.1913</v>
      </c>
      <c r="F135" s="98">
        <f t="shared" si="159"/>
        <v>28.154290725000003</v>
      </c>
      <c r="G135" s="98"/>
      <c r="H135" s="98"/>
      <c r="I135" s="32"/>
      <c r="J135" s="32"/>
      <c r="K135" s="32"/>
      <c r="L135" s="32"/>
      <c r="M135" s="32">
        <v>27</v>
      </c>
      <c r="N135" s="32"/>
      <c r="O135" s="32"/>
      <c r="P135" s="32"/>
      <c r="Q135" s="32"/>
      <c r="R135" s="32"/>
      <c r="S135" s="32"/>
      <c r="T135" s="32"/>
      <c r="U135" s="32"/>
      <c r="V135" s="32"/>
      <c r="W135" s="32"/>
      <c r="X135" s="32"/>
      <c r="Y135" s="32"/>
      <c r="Z135" s="32"/>
      <c r="AA135" s="98">
        <f t="shared" si="158"/>
        <v>27</v>
      </c>
      <c r="AB135" s="98">
        <f t="shared" si="207"/>
        <v>27</v>
      </c>
      <c r="AC135" s="98">
        <f t="shared" si="160"/>
        <v>0</v>
      </c>
      <c r="AD135" s="100">
        <f t="shared" si="161"/>
        <v>0</v>
      </c>
      <c r="AE135" s="100">
        <f t="shared" si="162"/>
        <v>0</v>
      </c>
      <c r="AF135" s="100">
        <f t="shared" si="163"/>
        <v>0</v>
      </c>
      <c r="AG135" s="100">
        <f t="shared" si="164"/>
        <v>0</v>
      </c>
      <c r="AH135" s="100">
        <f t="shared" si="165"/>
        <v>0</v>
      </c>
      <c r="AI135" s="100">
        <f t="shared" si="166"/>
        <v>0</v>
      </c>
      <c r="AJ135" s="100">
        <f t="shared" si="167"/>
        <v>27</v>
      </c>
      <c r="AK135" s="100">
        <f t="shared" si="168"/>
        <v>0</v>
      </c>
      <c r="AL135" s="100">
        <f t="shared" si="169"/>
        <v>0</v>
      </c>
      <c r="AM135" s="100">
        <f t="shared" si="170"/>
        <v>0</v>
      </c>
      <c r="AN135" s="100">
        <f t="shared" si="171"/>
        <v>0</v>
      </c>
      <c r="AO135" s="100">
        <f t="shared" si="172"/>
        <v>0</v>
      </c>
      <c r="AP135" s="100">
        <f t="shared" si="173"/>
        <v>0</v>
      </c>
      <c r="AQ135" s="100">
        <f t="shared" si="174"/>
        <v>0</v>
      </c>
      <c r="AR135" s="100">
        <f t="shared" si="175"/>
        <v>0</v>
      </c>
      <c r="AS135" s="100">
        <f t="shared" si="176"/>
        <v>0</v>
      </c>
      <c r="AT135" s="100">
        <f t="shared" si="177"/>
        <v>0</v>
      </c>
      <c r="AU135" s="100">
        <f t="shared" si="178"/>
        <v>0</v>
      </c>
      <c r="AV135" s="100">
        <f t="shared" si="179"/>
        <v>0</v>
      </c>
      <c r="AW135" s="100">
        <f t="shared" si="180"/>
        <v>0</v>
      </c>
      <c r="AX135">
        <f t="shared" si="181"/>
        <v>27</v>
      </c>
      <c r="AY135" s="98">
        <f t="shared" si="182"/>
        <v>0</v>
      </c>
      <c r="AZ135" s="98">
        <f t="shared" si="183"/>
        <v>0</v>
      </c>
      <c r="BA135" s="98">
        <f t="shared" si="146"/>
        <v>0</v>
      </c>
      <c r="BB135" s="98">
        <f t="shared" si="184"/>
        <v>0</v>
      </c>
      <c r="BC135" s="98">
        <f t="shared" si="147"/>
        <v>0</v>
      </c>
      <c r="BD135" s="98">
        <f t="shared" si="148"/>
        <v>0</v>
      </c>
      <c r="BE135" s="98">
        <f t="shared" si="149"/>
        <v>760.16584957500004</v>
      </c>
      <c r="BF135" s="98">
        <f t="shared" si="185"/>
        <v>0</v>
      </c>
      <c r="BG135" s="98">
        <f t="shared" si="186"/>
        <v>0</v>
      </c>
      <c r="BH135" s="98">
        <f t="shared" si="150"/>
        <v>0</v>
      </c>
      <c r="BI135" s="98">
        <f t="shared" si="151"/>
        <v>0</v>
      </c>
      <c r="BJ135" s="98">
        <f t="shared" si="152"/>
        <v>0</v>
      </c>
      <c r="BK135" s="98">
        <f t="shared" si="153"/>
        <v>0</v>
      </c>
      <c r="BL135" s="98">
        <f t="shared" si="187"/>
        <v>0</v>
      </c>
      <c r="BM135" s="98">
        <f t="shared" si="154"/>
        <v>0</v>
      </c>
      <c r="BN135" s="98">
        <f t="shared" si="155"/>
        <v>0</v>
      </c>
      <c r="BO135" s="98">
        <f t="shared" si="188"/>
        <v>0</v>
      </c>
      <c r="BP135" s="98">
        <f t="shared" si="156"/>
        <v>0</v>
      </c>
      <c r="BQ135" s="98">
        <f t="shared" si="189"/>
        <v>0</v>
      </c>
      <c r="BR135" s="98">
        <f t="shared" si="157"/>
        <v>0</v>
      </c>
    </row>
    <row r="136" spans="1:70" x14ac:dyDescent="0.25">
      <c r="A136" t="s">
        <v>74</v>
      </c>
      <c r="B136" t="s">
        <v>17</v>
      </c>
      <c r="C136">
        <v>2024</v>
      </c>
      <c r="D136" s="98">
        <f>INDEX('Reference Sheet'!$G$9:$J$100, MATCH(A136,'Reference Sheet'!$F$9:$F$100,0), MATCH(C136,'Reference Sheet'!$G$8:$J$8,0))/2080</f>
        <v>23.63325</v>
      </c>
      <c r="E136" s="99">
        <f>VLOOKUP(C136,'Reference Sheet'!$A$2:$B$5,2)</f>
        <v>0.1913</v>
      </c>
      <c r="F136" s="98">
        <f t="shared" si="159"/>
        <v>28.154290725000003</v>
      </c>
      <c r="G136" s="98"/>
      <c r="H136" s="98"/>
      <c r="I136" s="32"/>
      <c r="J136" s="32"/>
      <c r="K136" s="32"/>
      <c r="L136" s="32"/>
      <c r="M136" s="32">
        <v>29</v>
      </c>
      <c r="N136" s="32"/>
      <c r="O136" s="32"/>
      <c r="P136" s="32"/>
      <c r="Q136" s="32"/>
      <c r="R136" s="32"/>
      <c r="S136" s="32"/>
      <c r="T136" s="32"/>
      <c r="U136" s="32"/>
      <c r="V136" s="32"/>
      <c r="W136" s="32"/>
      <c r="X136" s="32"/>
      <c r="Y136" s="32"/>
      <c r="Z136" s="32"/>
      <c r="AA136" s="98">
        <f t="shared" si="158"/>
        <v>29</v>
      </c>
      <c r="AB136" s="98">
        <f t="shared" si="207"/>
        <v>29</v>
      </c>
      <c r="AC136" s="98">
        <f t="shared" si="160"/>
        <v>0</v>
      </c>
      <c r="AD136" s="100">
        <f t="shared" si="161"/>
        <v>0</v>
      </c>
      <c r="AE136" s="100">
        <f t="shared" si="162"/>
        <v>0</v>
      </c>
      <c r="AF136" s="100">
        <f t="shared" si="163"/>
        <v>0</v>
      </c>
      <c r="AG136" s="100">
        <f t="shared" si="164"/>
        <v>0</v>
      </c>
      <c r="AH136" s="100">
        <f t="shared" si="165"/>
        <v>0</v>
      </c>
      <c r="AI136" s="100">
        <f t="shared" si="166"/>
        <v>0</v>
      </c>
      <c r="AJ136" s="100">
        <f t="shared" si="167"/>
        <v>29</v>
      </c>
      <c r="AK136" s="100">
        <f t="shared" si="168"/>
        <v>0</v>
      </c>
      <c r="AL136" s="100">
        <f t="shared" si="169"/>
        <v>0</v>
      </c>
      <c r="AM136" s="100">
        <f t="shared" si="170"/>
        <v>0</v>
      </c>
      <c r="AN136" s="100">
        <f t="shared" si="171"/>
        <v>0</v>
      </c>
      <c r="AO136" s="100">
        <f t="shared" si="172"/>
        <v>0</v>
      </c>
      <c r="AP136" s="100">
        <f t="shared" si="173"/>
        <v>0</v>
      </c>
      <c r="AQ136" s="100">
        <f t="shared" si="174"/>
        <v>0</v>
      </c>
      <c r="AR136" s="100">
        <f t="shared" si="175"/>
        <v>0</v>
      </c>
      <c r="AS136" s="100">
        <f t="shared" si="176"/>
        <v>0</v>
      </c>
      <c r="AT136" s="100">
        <f t="shared" si="177"/>
        <v>0</v>
      </c>
      <c r="AU136" s="100">
        <f t="shared" si="178"/>
        <v>0</v>
      </c>
      <c r="AV136" s="100">
        <f t="shared" si="179"/>
        <v>0</v>
      </c>
      <c r="AW136" s="100">
        <f t="shared" si="180"/>
        <v>0</v>
      </c>
      <c r="AX136">
        <f t="shared" si="181"/>
        <v>29</v>
      </c>
      <c r="AY136" s="98">
        <f t="shared" si="182"/>
        <v>0</v>
      </c>
      <c r="AZ136" s="98">
        <f t="shared" si="183"/>
        <v>0</v>
      </c>
      <c r="BA136" s="98">
        <f t="shared" si="146"/>
        <v>0</v>
      </c>
      <c r="BB136" s="98">
        <f t="shared" si="184"/>
        <v>0</v>
      </c>
      <c r="BC136" s="98">
        <f t="shared" si="147"/>
        <v>0</v>
      </c>
      <c r="BD136" s="98">
        <f t="shared" si="148"/>
        <v>0</v>
      </c>
      <c r="BE136" s="98">
        <f t="shared" si="149"/>
        <v>816.47443102500006</v>
      </c>
      <c r="BF136" s="98">
        <f t="shared" si="185"/>
        <v>0</v>
      </c>
      <c r="BG136" s="98">
        <f t="shared" si="186"/>
        <v>0</v>
      </c>
      <c r="BH136" s="98">
        <f t="shared" si="150"/>
        <v>0</v>
      </c>
      <c r="BI136" s="98">
        <f t="shared" si="151"/>
        <v>0</v>
      </c>
      <c r="BJ136" s="98">
        <f t="shared" si="152"/>
        <v>0</v>
      </c>
      <c r="BK136" s="98">
        <f t="shared" si="153"/>
        <v>0</v>
      </c>
      <c r="BL136" s="98">
        <f t="shared" si="187"/>
        <v>0</v>
      </c>
      <c r="BM136" s="98">
        <f t="shared" si="154"/>
        <v>0</v>
      </c>
      <c r="BN136" s="98">
        <f t="shared" si="155"/>
        <v>0</v>
      </c>
      <c r="BO136" s="98">
        <f t="shared" si="188"/>
        <v>0</v>
      </c>
      <c r="BP136" s="98">
        <f t="shared" si="156"/>
        <v>0</v>
      </c>
      <c r="BQ136" s="98">
        <f t="shared" si="189"/>
        <v>0</v>
      </c>
      <c r="BR136" s="98">
        <f t="shared" si="157"/>
        <v>0</v>
      </c>
    </row>
    <row r="137" spans="1:70" x14ac:dyDescent="0.25">
      <c r="A137" t="s">
        <v>74</v>
      </c>
      <c r="B137" t="s">
        <v>12</v>
      </c>
      <c r="C137">
        <v>2024</v>
      </c>
      <c r="D137" s="98">
        <f>INDEX('Reference Sheet'!$G$9:$J$100, MATCH(A137,'Reference Sheet'!$F$9:$F$100,0), MATCH(C137,'Reference Sheet'!$G$8:$J$8,0))/2080</f>
        <v>23.63325</v>
      </c>
      <c r="E137" s="99">
        <f>VLOOKUP(C137,'Reference Sheet'!$A$2:$B$5,2)</f>
        <v>0.1913</v>
      </c>
      <c r="F137" s="98">
        <f t="shared" si="159"/>
        <v>28.154290725000003</v>
      </c>
      <c r="G137" s="98"/>
      <c r="H137" s="98"/>
      <c r="I137" s="32"/>
      <c r="J137" s="32"/>
      <c r="K137" s="32"/>
      <c r="L137" s="32"/>
      <c r="M137" s="32">
        <v>37</v>
      </c>
      <c r="N137" s="32"/>
      <c r="O137" s="32"/>
      <c r="P137" s="32"/>
      <c r="Q137" s="32"/>
      <c r="R137" s="32"/>
      <c r="S137" s="32"/>
      <c r="T137" s="32"/>
      <c r="U137" s="32"/>
      <c r="V137" s="32"/>
      <c r="W137" s="32"/>
      <c r="X137" s="32"/>
      <c r="Y137" s="32"/>
      <c r="Z137" s="32"/>
      <c r="AA137" s="98">
        <f t="shared" si="158"/>
        <v>37</v>
      </c>
      <c r="AB137" s="98">
        <f t="shared" si="207"/>
        <v>37</v>
      </c>
      <c r="AC137" s="98">
        <f t="shared" si="160"/>
        <v>0</v>
      </c>
      <c r="AD137" s="100">
        <f t="shared" si="161"/>
        <v>0</v>
      </c>
      <c r="AE137" s="100">
        <f t="shared" si="162"/>
        <v>0</v>
      </c>
      <c r="AF137" s="100">
        <f t="shared" si="163"/>
        <v>0</v>
      </c>
      <c r="AG137" s="100">
        <f t="shared" si="164"/>
        <v>0</v>
      </c>
      <c r="AH137" s="100">
        <f t="shared" si="165"/>
        <v>0</v>
      </c>
      <c r="AI137" s="100">
        <f t="shared" si="166"/>
        <v>0</v>
      </c>
      <c r="AJ137" s="100">
        <f t="shared" si="167"/>
        <v>37</v>
      </c>
      <c r="AK137" s="100">
        <f t="shared" si="168"/>
        <v>0</v>
      </c>
      <c r="AL137" s="100">
        <f t="shared" si="169"/>
        <v>0</v>
      </c>
      <c r="AM137" s="100">
        <f t="shared" si="170"/>
        <v>0</v>
      </c>
      <c r="AN137" s="100">
        <f t="shared" si="171"/>
        <v>0</v>
      </c>
      <c r="AO137" s="100">
        <f t="shared" si="172"/>
        <v>0</v>
      </c>
      <c r="AP137" s="100">
        <f t="shared" si="173"/>
        <v>0</v>
      </c>
      <c r="AQ137" s="100">
        <f t="shared" si="174"/>
        <v>0</v>
      </c>
      <c r="AR137" s="100">
        <f t="shared" si="175"/>
        <v>0</v>
      </c>
      <c r="AS137" s="100">
        <f t="shared" si="176"/>
        <v>0</v>
      </c>
      <c r="AT137" s="100">
        <f t="shared" si="177"/>
        <v>0</v>
      </c>
      <c r="AU137" s="100">
        <f t="shared" si="178"/>
        <v>0</v>
      </c>
      <c r="AV137" s="100">
        <f t="shared" si="179"/>
        <v>0</v>
      </c>
      <c r="AW137" s="100">
        <f t="shared" si="180"/>
        <v>0</v>
      </c>
      <c r="AX137">
        <f t="shared" si="181"/>
        <v>37</v>
      </c>
      <c r="AY137" s="98">
        <f t="shared" si="182"/>
        <v>0</v>
      </c>
      <c r="AZ137" s="98">
        <f t="shared" si="183"/>
        <v>0</v>
      </c>
      <c r="BA137" s="98">
        <f t="shared" si="146"/>
        <v>0</v>
      </c>
      <c r="BB137" s="98">
        <f t="shared" si="184"/>
        <v>0</v>
      </c>
      <c r="BC137" s="98">
        <f t="shared" si="147"/>
        <v>0</v>
      </c>
      <c r="BD137" s="98">
        <f t="shared" si="148"/>
        <v>0</v>
      </c>
      <c r="BE137" s="98">
        <f t="shared" si="149"/>
        <v>1041.7087568250001</v>
      </c>
      <c r="BF137" s="98">
        <f t="shared" si="185"/>
        <v>0</v>
      </c>
      <c r="BG137" s="98">
        <f t="shared" si="186"/>
        <v>0</v>
      </c>
      <c r="BH137" s="98">
        <f t="shared" si="150"/>
        <v>0</v>
      </c>
      <c r="BI137" s="98">
        <f t="shared" si="151"/>
        <v>0</v>
      </c>
      <c r="BJ137" s="98">
        <f t="shared" si="152"/>
        <v>0</v>
      </c>
      <c r="BK137" s="98">
        <f t="shared" si="153"/>
        <v>0</v>
      </c>
      <c r="BL137" s="98">
        <f t="shared" si="187"/>
        <v>0</v>
      </c>
      <c r="BM137" s="98">
        <f t="shared" si="154"/>
        <v>0</v>
      </c>
      <c r="BN137" s="98">
        <f t="shared" si="155"/>
        <v>0</v>
      </c>
      <c r="BO137" s="98">
        <f t="shared" si="188"/>
        <v>0</v>
      </c>
      <c r="BP137" s="98">
        <f t="shared" si="156"/>
        <v>0</v>
      </c>
      <c r="BQ137" s="98">
        <f t="shared" si="189"/>
        <v>0</v>
      </c>
      <c r="BR137" s="98">
        <f t="shared" si="157"/>
        <v>0</v>
      </c>
    </row>
    <row r="138" spans="1:70" x14ac:dyDescent="0.25">
      <c r="A138" t="s">
        <v>74</v>
      </c>
      <c r="B138" t="s">
        <v>15</v>
      </c>
      <c r="C138">
        <v>2024</v>
      </c>
      <c r="D138" s="98">
        <f>INDEX('Reference Sheet'!$G$9:$J$100, MATCH(A138,'Reference Sheet'!$F$9:$F$100,0), MATCH(C138,'Reference Sheet'!$G$8:$J$8,0))/2080</f>
        <v>23.63325</v>
      </c>
      <c r="E138" s="99">
        <f>VLOOKUP(C138,'Reference Sheet'!$A$2:$B$5,2)</f>
        <v>0.1913</v>
      </c>
      <c r="F138" s="98">
        <f t="shared" si="159"/>
        <v>28.154290725000003</v>
      </c>
      <c r="G138" s="98"/>
      <c r="H138" s="98"/>
      <c r="I138" s="32"/>
      <c r="J138" s="32"/>
      <c r="K138" s="32"/>
      <c r="L138" s="32"/>
      <c r="M138" s="32">
        <v>39</v>
      </c>
      <c r="N138" s="32"/>
      <c r="O138" s="32"/>
      <c r="P138" s="32"/>
      <c r="Q138" s="32"/>
      <c r="R138" s="32"/>
      <c r="S138" s="32"/>
      <c r="T138" s="32"/>
      <c r="U138" s="32"/>
      <c r="V138" s="32"/>
      <c r="W138" s="32"/>
      <c r="X138" s="32"/>
      <c r="Y138" s="32"/>
      <c r="Z138" s="32"/>
      <c r="AA138" s="98">
        <f t="shared" si="158"/>
        <v>39</v>
      </c>
      <c r="AB138" s="98">
        <f t="shared" si="207"/>
        <v>39</v>
      </c>
      <c r="AC138" s="98">
        <f t="shared" si="160"/>
        <v>0</v>
      </c>
      <c r="AD138" s="100">
        <f t="shared" si="161"/>
        <v>0</v>
      </c>
      <c r="AE138" s="100">
        <f t="shared" si="162"/>
        <v>0</v>
      </c>
      <c r="AF138" s="100">
        <f t="shared" si="163"/>
        <v>0</v>
      </c>
      <c r="AG138" s="100">
        <f t="shared" si="164"/>
        <v>0</v>
      </c>
      <c r="AH138" s="100">
        <f t="shared" si="165"/>
        <v>0</v>
      </c>
      <c r="AI138" s="100">
        <f t="shared" si="166"/>
        <v>0</v>
      </c>
      <c r="AJ138" s="100">
        <f t="shared" si="167"/>
        <v>39</v>
      </c>
      <c r="AK138" s="100">
        <f t="shared" si="168"/>
        <v>0</v>
      </c>
      <c r="AL138" s="100">
        <f t="shared" si="169"/>
        <v>0</v>
      </c>
      <c r="AM138" s="100">
        <f t="shared" si="170"/>
        <v>0</v>
      </c>
      <c r="AN138" s="100">
        <f t="shared" si="171"/>
        <v>0</v>
      </c>
      <c r="AO138" s="100">
        <f t="shared" si="172"/>
        <v>0</v>
      </c>
      <c r="AP138" s="100">
        <f t="shared" si="173"/>
        <v>0</v>
      </c>
      <c r="AQ138" s="100">
        <f t="shared" si="174"/>
        <v>0</v>
      </c>
      <c r="AR138" s="100">
        <f t="shared" si="175"/>
        <v>0</v>
      </c>
      <c r="AS138" s="100">
        <f t="shared" si="176"/>
        <v>0</v>
      </c>
      <c r="AT138" s="100">
        <f t="shared" si="177"/>
        <v>0</v>
      </c>
      <c r="AU138" s="100">
        <f t="shared" si="178"/>
        <v>0</v>
      </c>
      <c r="AV138" s="100">
        <f t="shared" si="179"/>
        <v>0</v>
      </c>
      <c r="AW138" s="100">
        <f t="shared" si="180"/>
        <v>0</v>
      </c>
      <c r="AX138">
        <f t="shared" si="181"/>
        <v>39</v>
      </c>
      <c r="AY138" s="98">
        <f t="shared" si="182"/>
        <v>0</v>
      </c>
      <c r="AZ138" s="98">
        <f t="shared" si="183"/>
        <v>0</v>
      </c>
      <c r="BA138" s="98">
        <f t="shared" si="146"/>
        <v>0</v>
      </c>
      <c r="BB138" s="98">
        <f t="shared" si="184"/>
        <v>0</v>
      </c>
      <c r="BC138" s="98">
        <f t="shared" si="147"/>
        <v>0</v>
      </c>
      <c r="BD138" s="98">
        <f t="shared" si="148"/>
        <v>0</v>
      </c>
      <c r="BE138" s="98">
        <f t="shared" si="149"/>
        <v>1098.0173382750002</v>
      </c>
      <c r="BF138" s="98">
        <f t="shared" si="185"/>
        <v>0</v>
      </c>
      <c r="BG138" s="98">
        <f t="shared" si="186"/>
        <v>0</v>
      </c>
      <c r="BH138" s="98">
        <f t="shared" si="150"/>
        <v>0</v>
      </c>
      <c r="BI138" s="98">
        <f t="shared" si="151"/>
        <v>0</v>
      </c>
      <c r="BJ138" s="98">
        <f t="shared" si="152"/>
        <v>0</v>
      </c>
      <c r="BK138" s="98">
        <f t="shared" si="153"/>
        <v>0</v>
      </c>
      <c r="BL138" s="98">
        <f t="shared" si="187"/>
        <v>0</v>
      </c>
      <c r="BM138" s="98">
        <f t="shared" si="154"/>
        <v>0</v>
      </c>
      <c r="BN138" s="98">
        <f t="shared" si="155"/>
        <v>0</v>
      </c>
      <c r="BO138" s="98">
        <f t="shared" si="188"/>
        <v>0</v>
      </c>
      <c r="BP138" s="98">
        <f t="shared" si="156"/>
        <v>0</v>
      </c>
      <c r="BQ138" s="98">
        <f t="shared" si="189"/>
        <v>0</v>
      </c>
      <c r="BR138" s="98">
        <f t="shared" si="157"/>
        <v>0</v>
      </c>
    </row>
    <row r="139" spans="1:70" x14ac:dyDescent="0.25">
      <c r="A139" t="s">
        <v>74</v>
      </c>
      <c r="B139" t="s">
        <v>8</v>
      </c>
      <c r="C139">
        <v>2024</v>
      </c>
      <c r="D139" s="98">
        <f>INDEX('Reference Sheet'!$G$9:$J$100, MATCH(A139,'Reference Sheet'!$F$9:$F$100,0), MATCH(C139,'Reference Sheet'!$G$8:$J$8,0))/2080</f>
        <v>23.63325</v>
      </c>
      <c r="E139" s="99">
        <f>VLOOKUP(C139,'Reference Sheet'!$A$2:$B$5,2)</f>
        <v>0.1913</v>
      </c>
      <c r="F139" s="98">
        <f t="shared" si="159"/>
        <v>28.154290725000003</v>
      </c>
      <c r="G139" s="98"/>
      <c r="H139" s="98"/>
      <c r="I139" s="32"/>
      <c r="J139" s="32"/>
      <c r="K139" s="32"/>
      <c r="L139" s="32"/>
      <c r="M139" s="32">
        <v>40</v>
      </c>
      <c r="N139" s="32"/>
      <c r="O139" s="32"/>
      <c r="P139" s="32"/>
      <c r="Q139" s="32"/>
      <c r="R139" s="32"/>
      <c r="S139" s="32"/>
      <c r="T139" s="32"/>
      <c r="U139" s="32"/>
      <c r="V139" s="32"/>
      <c r="W139" s="32"/>
      <c r="X139" s="32"/>
      <c r="Y139" s="32"/>
      <c r="Z139" s="32"/>
      <c r="AA139" s="98">
        <f t="shared" si="158"/>
        <v>40</v>
      </c>
      <c r="AB139" s="98">
        <f t="shared" si="207"/>
        <v>40</v>
      </c>
      <c r="AC139" s="98">
        <f t="shared" si="160"/>
        <v>0</v>
      </c>
      <c r="AD139" s="100">
        <f t="shared" si="161"/>
        <v>0</v>
      </c>
      <c r="AE139" s="100">
        <f t="shared" si="162"/>
        <v>0</v>
      </c>
      <c r="AF139" s="100">
        <f t="shared" si="163"/>
        <v>0</v>
      </c>
      <c r="AG139" s="100">
        <f t="shared" si="164"/>
        <v>0</v>
      </c>
      <c r="AH139" s="100">
        <f t="shared" si="165"/>
        <v>0</v>
      </c>
      <c r="AI139" s="100">
        <f t="shared" si="166"/>
        <v>0</v>
      </c>
      <c r="AJ139" s="100">
        <f t="shared" si="167"/>
        <v>40</v>
      </c>
      <c r="AK139" s="100">
        <f t="shared" si="168"/>
        <v>0</v>
      </c>
      <c r="AL139" s="100">
        <f t="shared" si="169"/>
        <v>0</v>
      </c>
      <c r="AM139" s="100">
        <f t="shared" si="170"/>
        <v>0</v>
      </c>
      <c r="AN139" s="100">
        <f t="shared" si="171"/>
        <v>0</v>
      </c>
      <c r="AO139" s="100">
        <f t="shared" si="172"/>
        <v>0</v>
      </c>
      <c r="AP139" s="100">
        <f t="shared" si="173"/>
        <v>0</v>
      </c>
      <c r="AQ139" s="100">
        <f t="shared" si="174"/>
        <v>0</v>
      </c>
      <c r="AR139" s="100">
        <f t="shared" si="175"/>
        <v>0</v>
      </c>
      <c r="AS139" s="100">
        <f t="shared" si="176"/>
        <v>0</v>
      </c>
      <c r="AT139" s="100">
        <f t="shared" si="177"/>
        <v>0</v>
      </c>
      <c r="AU139" s="100">
        <f t="shared" si="178"/>
        <v>0</v>
      </c>
      <c r="AV139" s="100">
        <f t="shared" si="179"/>
        <v>0</v>
      </c>
      <c r="AW139" s="100">
        <f t="shared" si="180"/>
        <v>0</v>
      </c>
      <c r="AX139">
        <f t="shared" si="181"/>
        <v>40</v>
      </c>
      <c r="AY139" s="98">
        <f t="shared" si="182"/>
        <v>0</v>
      </c>
      <c r="AZ139" s="98">
        <f t="shared" si="183"/>
        <v>0</v>
      </c>
      <c r="BA139" s="98">
        <f t="shared" si="146"/>
        <v>0</v>
      </c>
      <c r="BB139" s="98">
        <f t="shared" si="184"/>
        <v>0</v>
      </c>
      <c r="BC139" s="98">
        <f t="shared" si="147"/>
        <v>0</v>
      </c>
      <c r="BD139" s="98">
        <f t="shared" si="148"/>
        <v>0</v>
      </c>
      <c r="BE139" s="98">
        <f t="shared" si="149"/>
        <v>1126.1716290000002</v>
      </c>
      <c r="BF139" s="98">
        <f t="shared" si="185"/>
        <v>0</v>
      </c>
      <c r="BG139" s="98">
        <f t="shared" si="186"/>
        <v>0</v>
      </c>
      <c r="BH139" s="98">
        <f t="shared" si="150"/>
        <v>0</v>
      </c>
      <c r="BI139" s="98">
        <f t="shared" si="151"/>
        <v>0</v>
      </c>
      <c r="BJ139" s="98">
        <f t="shared" si="152"/>
        <v>0</v>
      </c>
      <c r="BK139" s="98">
        <f t="shared" si="153"/>
        <v>0</v>
      </c>
      <c r="BL139" s="98">
        <f t="shared" si="187"/>
        <v>0</v>
      </c>
      <c r="BM139" s="98">
        <f t="shared" si="154"/>
        <v>0</v>
      </c>
      <c r="BN139" s="98">
        <f t="shared" si="155"/>
        <v>0</v>
      </c>
      <c r="BO139" s="98">
        <f t="shared" si="188"/>
        <v>0</v>
      </c>
      <c r="BP139" s="98">
        <f t="shared" si="156"/>
        <v>0</v>
      </c>
      <c r="BQ139" s="98">
        <f t="shared" si="189"/>
        <v>0</v>
      </c>
      <c r="BR139" s="98">
        <f t="shared" si="157"/>
        <v>0</v>
      </c>
    </row>
    <row r="140" spans="1:70" x14ac:dyDescent="0.25">
      <c r="A140" t="s">
        <v>74</v>
      </c>
      <c r="B140" t="s">
        <v>16</v>
      </c>
      <c r="C140">
        <v>2024</v>
      </c>
      <c r="D140" s="98">
        <f>INDEX('Reference Sheet'!$G$9:$J$100, MATCH(A140,'Reference Sheet'!$F$9:$F$100,0), MATCH(C140,'Reference Sheet'!$G$8:$J$8,0))/2080</f>
        <v>23.63325</v>
      </c>
      <c r="E140" s="99">
        <f>VLOOKUP(C140,'Reference Sheet'!$A$2:$B$5,2)</f>
        <v>0.1913</v>
      </c>
      <c r="F140" s="98">
        <f t="shared" si="159"/>
        <v>28.154290725000003</v>
      </c>
      <c r="G140" s="98"/>
      <c r="H140" s="98"/>
      <c r="I140" s="32"/>
      <c r="J140" s="32"/>
      <c r="K140" s="32"/>
      <c r="L140" s="32"/>
      <c r="M140" s="32">
        <v>41</v>
      </c>
      <c r="N140" s="32"/>
      <c r="O140" s="32"/>
      <c r="P140" s="32"/>
      <c r="Q140" s="32"/>
      <c r="R140" s="32"/>
      <c r="S140" s="32"/>
      <c r="T140" s="32"/>
      <c r="U140" s="32"/>
      <c r="V140" s="32"/>
      <c r="W140" s="32"/>
      <c r="X140" s="32"/>
      <c r="Y140" s="32"/>
      <c r="Z140" s="32"/>
      <c r="AA140" s="98">
        <f t="shared" si="158"/>
        <v>41</v>
      </c>
      <c r="AB140" s="98">
        <f t="shared" si="207"/>
        <v>41</v>
      </c>
      <c r="AC140" s="98">
        <f t="shared" si="160"/>
        <v>0</v>
      </c>
      <c r="AD140" s="100">
        <f t="shared" si="161"/>
        <v>0</v>
      </c>
      <c r="AE140" s="100">
        <f t="shared" si="162"/>
        <v>0</v>
      </c>
      <c r="AF140" s="100">
        <f t="shared" si="163"/>
        <v>0</v>
      </c>
      <c r="AG140" s="100">
        <f t="shared" si="164"/>
        <v>0</v>
      </c>
      <c r="AH140" s="100">
        <f t="shared" si="165"/>
        <v>0</v>
      </c>
      <c r="AI140" s="100">
        <f t="shared" si="166"/>
        <v>0</v>
      </c>
      <c r="AJ140" s="100">
        <f t="shared" si="167"/>
        <v>41</v>
      </c>
      <c r="AK140" s="100">
        <f t="shared" si="168"/>
        <v>0</v>
      </c>
      <c r="AL140" s="100">
        <f t="shared" si="169"/>
        <v>0</v>
      </c>
      <c r="AM140" s="100">
        <f t="shared" si="170"/>
        <v>0</v>
      </c>
      <c r="AN140" s="100">
        <f t="shared" si="171"/>
        <v>0</v>
      </c>
      <c r="AO140" s="100">
        <f t="shared" si="172"/>
        <v>0</v>
      </c>
      <c r="AP140" s="100">
        <f t="shared" si="173"/>
        <v>0</v>
      </c>
      <c r="AQ140" s="100">
        <f t="shared" si="174"/>
        <v>0</v>
      </c>
      <c r="AR140" s="100">
        <f t="shared" si="175"/>
        <v>0</v>
      </c>
      <c r="AS140" s="100">
        <f t="shared" si="176"/>
        <v>0</v>
      </c>
      <c r="AT140" s="100">
        <f t="shared" si="177"/>
        <v>0</v>
      </c>
      <c r="AU140" s="100">
        <f t="shared" si="178"/>
        <v>0</v>
      </c>
      <c r="AV140" s="100">
        <f t="shared" si="179"/>
        <v>0</v>
      </c>
      <c r="AW140" s="100">
        <f t="shared" si="180"/>
        <v>0</v>
      </c>
      <c r="AX140">
        <f t="shared" si="181"/>
        <v>41</v>
      </c>
      <c r="AY140" s="98">
        <f t="shared" si="182"/>
        <v>0</v>
      </c>
      <c r="AZ140" s="98">
        <f t="shared" si="183"/>
        <v>0</v>
      </c>
      <c r="BA140" s="98">
        <f t="shared" si="146"/>
        <v>0</v>
      </c>
      <c r="BB140" s="98">
        <f t="shared" si="184"/>
        <v>0</v>
      </c>
      <c r="BC140" s="98">
        <f t="shared" si="147"/>
        <v>0</v>
      </c>
      <c r="BD140" s="98">
        <f t="shared" si="148"/>
        <v>0</v>
      </c>
      <c r="BE140" s="98">
        <f t="shared" si="149"/>
        <v>1154.3259197250002</v>
      </c>
      <c r="BF140" s="98">
        <f t="shared" si="185"/>
        <v>0</v>
      </c>
      <c r="BG140" s="98">
        <f t="shared" si="186"/>
        <v>0</v>
      </c>
      <c r="BH140" s="98">
        <f t="shared" si="150"/>
        <v>0</v>
      </c>
      <c r="BI140" s="98">
        <f t="shared" si="151"/>
        <v>0</v>
      </c>
      <c r="BJ140" s="98">
        <f t="shared" si="152"/>
        <v>0</v>
      </c>
      <c r="BK140" s="98">
        <f t="shared" si="153"/>
        <v>0</v>
      </c>
      <c r="BL140" s="98">
        <f t="shared" si="187"/>
        <v>0</v>
      </c>
      <c r="BM140" s="98">
        <f t="shared" si="154"/>
        <v>0</v>
      </c>
      <c r="BN140" s="98">
        <f t="shared" si="155"/>
        <v>0</v>
      </c>
      <c r="BO140" s="98">
        <f t="shared" si="188"/>
        <v>0</v>
      </c>
      <c r="BP140" s="98">
        <f t="shared" si="156"/>
        <v>0</v>
      </c>
      <c r="BQ140" s="98">
        <f t="shared" si="189"/>
        <v>0</v>
      </c>
      <c r="BR140" s="98">
        <f t="shared" si="157"/>
        <v>0</v>
      </c>
    </row>
    <row r="141" spans="1:70" x14ac:dyDescent="0.25">
      <c r="A141" t="s">
        <v>74</v>
      </c>
      <c r="B141" t="s">
        <v>11</v>
      </c>
      <c r="C141">
        <v>2024</v>
      </c>
      <c r="D141" s="98">
        <f>INDEX('Reference Sheet'!$G$9:$J$100, MATCH(A141,'Reference Sheet'!$F$9:$F$100,0), MATCH(C141,'Reference Sheet'!$G$8:$J$8,0))/2080</f>
        <v>23.63325</v>
      </c>
      <c r="E141" s="99">
        <f>VLOOKUP(C141,'Reference Sheet'!$A$2:$B$5,2)</f>
        <v>0.1913</v>
      </c>
      <c r="F141" s="98">
        <f t="shared" si="159"/>
        <v>28.154290725000003</v>
      </c>
      <c r="G141" s="98"/>
      <c r="H141" s="98"/>
      <c r="I141" s="32"/>
      <c r="J141" s="32"/>
      <c r="K141" s="32"/>
      <c r="L141" s="32"/>
      <c r="M141" s="32">
        <v>44</v>
      </c>
      <c r="N141" s="32"/>
      <c r="O141" s="32"/>
      <c r="P141" s="32"/>
      <c r="Q141" s="32"/>
      <c r="R141" s="32"/>
      <c r="S141" s="32"/>
      <c r="T141" s="32"/>
      <c r="U141" s="32"/>
      <c r="V141" s="32"/>
      <c r="W141" s="32"/>
      <c r="X141" s="32"/>
      <c r="Y141" s="32"/>
      <c r="Z141" s="32"/>
      <c r="AA141" s="98">
        <f t="shared" si="158"/>
        <v>44</v>
      </c>
      <c r="AB141" s="98">
        <f t="shared" si="207"/>
        <v>44</v>
      </c>
      <c r="AC141" s="98">
        <f t="shared" si="160"/>
        <v>0</v>
      </c>
      <c r="AD141" s="100">
        <f t="shared" si="161"/>
        <v>0</v>
      </c>
      <c r="AE141" s="100">
        <f t="shared" si="162"/>
        <v>0</v>
      </c>
      <c r="AF141" s="100">
        <f t="shared" si="163"/>
        <v>0</v>
      </c>
      <c r="AG141" s="100">
        <f t="shared" si="164"/>
        <v>0</v>
      </c>
      <c r="AH141" s="100">
        <f t="shared" si="165"/>
        <v>0</v>
      </c>
      <c r="AI141" s="100">
        <f t="shared" si="166"/>
        <v>0</v>
      </c>
      <c r="AJ141" s="100">
        <f t="shared" si="167"/>
        <v>44</v>
      </c>
      <c r="AK141" s="100">
        <f t="shared" si="168"/>
        <v>0</v>
      </c>
      <c r="AL141" s="100">
        <f t="shared" si="169"/>
        <v>0</v>
      </c>
      <c r="AM141" s="100">
        <f t="shared" si="170"/>
        <v>0</v>
      </c>
      <c r="AN141" s="100">
        <f t="shared" si="171"/>
        <v>0</v>
      </c>
      <c r="AO141" s="100">
        <f t="shared" si="172"/>
        <v>0</v>
      </c>
      <c r="AP141" s="100">
        <f t="shared" si="173"/>
        <v>0</v>
      </c>
      <c r="AQ141" s="100">
        <f t="shared" si="174"/>
        <v>0</v>
      </c>
      <c r="AR141" s="100">
        <f t="shared" si="175"/>
        <v>0</v>
      </c>
      <c r="AS141" s="100">
        <f t="shared" si="176"/>
        <v>0</v>
      </c>
      <c r="AT141" s="100">
        <f t="shared" si="177"/>
        <v>0</v>
      </c>
      <c r="AU141" s="100">
        <f t="shared" si="178"/>
        <v>0</v>
      </c>
      <c r="AV141" s="100">
        <f t="shared" si="179"/>
        <v>0</v>
      </c>
      <c r="AW141" s="100">
        <f t="shared" si="180"/>
        <v>0</v>
      </c>
      <c r="AX141">
        <f t="shared" si="181"/>
        <v>44</v>
      </c>
      <c r="AY141" s="98">
        <f t="shared" si="182"/>
        <v>0</v>
      </c>
      <c r="AZ141" s="98">
        <f t="shared" si="183"/>
        <v>0</v>
      </c>
      <c r="BA141" s="98">
        <f t="shared" si="146"/>
        <v>0</v>
      </c>
      <c r="BB141" s="98">
        <f t="shared" si="184"/>
        <v>0</v>
      </c>
      <c r="BC141" s="98">
        <f t="shared" si="147"/>
        <v>0</v>
      </c>
      <c r="BD141" s="98">
        <f t="shared" si="148"/>
        <v>0</v>
      </c>
      <c r="BE141" s="98">
        <f t="shared" si="149"/>
        <v>1238.7887919000002</v>
      </c>
      <c r="BF141" s="98">
        <f t="shared" si="185"/>
        <v>0</v>
      </c>
      <c r="BG141" s="98">
        <f t="shared" si="186"/>
        <v>0</v>
      </c>
      <c r="BH141" s="98">
        <f t="shared" si="150"/>
        <v>0</v>
      </c>
      <c r="BI141" s="98">
        <f t="shared" si="151"/>
        <v>0</v>
      </c>
      <c r="BJ141" s="98">
        <f t="shared" si="152"/>
        <v>0</v>
      </c>
      <c r="BK141" s="98">
        <f t="shared" si="153"/>
        <v>0</v>
      </c>
      <c r="BL141" s="98">
        <f t="shared" si="187"/>
        <v>0</v>
      </c>
      <c r="BM141" s="98">
        <f t="shared" si="154"/>
        <v>0</v>
      </c>
      <c r="BN141" s="98">
        <f t="shared" si="155"/>
        <v>0</v>
      </c>
      <c r="BO141" s="98">
        <f t="shared" si="188"/>
        <v>0</v>
      </c>
      <c r="BP141" s="98">
        <f t="shared" si="156"/>
        <v>0</v>
      </c>
      <c r="BQ141" s="98">
        <f t="shared" si="189"/>
        <v>0</v>
      </c>
      <c r="BR141" s="98">
        <f t="shared" si="157"/>
        <v>0</v>
      </c>
    </row>
    <row r="142" spans="1:70" x14ac:dyDescent="0.25">
      <c r="A142" t="s">
        <v>74</v>
      </c>
      <c r="B142" t="s">
        <v>9</v>
      </c>
      <c r="C142">
        <v>2024</v>
      </c>
      <c r="D142" s="98">
        <f>INDEX('Reference Sheet'!$G$9:$J$100, MATCH(A142,'Reference Sheet'!$F$9:$F$100,0), MATCH(C142,'Reference Sheet'!$G$8:$J$8,0))/2080</f>
        <v>23.63325</v>
      </c>
      <c r="E142" s="99">
        <f>VLOOKUP(C142,'Reference Sheet'!$A$2:$B$5,2)</f>
        <v>0.1913</v>
      </c>
      <c r="F142" s="98">
        <f t="shared" si="159"/>
        <v>28.154290725000003</v>
      </c>
      <c r="G142" s="98"/>
      <c r="H142" s="98"/>
      <c r="I142" s="32"/>
      <c r="J142" s="32"/>
      <c r="K142" s="32"/>
      <c r="L142" s="32"/>
      <c r="M142" s="32">
        <v>45</v>
      </c>
      <c r="N142" s="32"/>
      <c r="O142" s="32"/>
      <c r="P142" s="32"/>
      <c r="Q142" s="32"/>
      <c r="R142" s="32"/>
      <c r="S142" s="32"/>
      <c r="T142" s="32"/>
      <c r="U142" s="32"/>
      <c r="V142" s="32"/>
      <c r="W142" s="32"/>
      <c r="X142" s="32"/>
      <c r="Y142" s="32"/>
      <c r="Z142" s="32"/>
      <c r="AA142" s="98">
        <f t="shared" si="158"/>
        <v>45</v>
      </c>
      <c r="AB142" s="98">
        <f t="shared" si="207"/>
        <v>45</v>
      </c>
      <c r="AC142" s="98">
        <f t="shared" si="160"/>
        <v>0</v>
      </c>
      <c r="AD142" s="100">
        <f t="shared" si="161"/>
        <v>0</v>
      </c>
      <c r="AE142" s="100">
        <f t="shared" si="162"/>
        <v>0</v>
      </c>
      <c r="AF142" s="100">
        <f t="shared" si="163"/>
        <v>0</v>
      </c>
      <c r="AG142" s="100">
        <f t="shared" si="164"/>
        <v>0</v>
      </c>
      <c r="AH142" s="100">
        <f t="shared" si="165"/>
        <v>0</v>
      </c>
      <c r="AI142" s="100">
        <f t="shared" si="166"/>
        <v>0</v>
      </c>
      <c r="AJ142" s="100">
        <f t="shared" si="167"/>
        <v>45</v>
      </c>
      <c r="AK142" s="100">
        <f t="shared" si="168"/>
        <v>0</v>
      </c>
      <c r="AL142" s="100">
        <f t="shared" si="169"/>
        <v>0</v>
      </c>
      <c r="AM142" s="100">
        <f t="shared" si="170"/>
        <v>0</v>
      </c>
      <c r="AN142" s="100">
        <f t="shared" si="171"/>
        <v>0</v>
      </c>
      <c r="AO142" s="100">
        <f t="shared" si="172"/>
        <v>0</v>
      </c>
      <c r="AP142" s="100">
        <f t="shared" si="173"/>
        <v>0</v>
      </c>
      <c r="AQ142" s="100">
        <f t="shared" si="174"/>
        <v>0</v>
      </c>
      <c r="AR142" s="100">
        <f t="shared" si="175"/>
        <v>0</v>
      </c>
      <c r="AS142" s="100">
        <f t="shared" si="176"/>
        <v>0</v>
      </c>
      <c r="AT142" s="100">
        <f t="shared" si="177"/>
        <v>0</v>
      </c>
      <c r="AU142" s="100">
        <f t="shared" si="178"/>
        <v>0</v>
      </c>
      <c r="AV142" s="100">
        <f t="shared" si="179"/>
        <v>0</v>
      </c>
      <c r="AW142" s="100">
        <f t="shared" si="180"/>
        <v>0</v>
      </c>
      <c r="AX142">
        <f t="shared" si="181"/>
        <v>45</v>
      </c>
      <c r="AY142" s="98">
        <f t="shared" si="182"/>
        <v>0</v>
      </c>
      <c r="AZ142" s="98">
        <f t="shared" si="183"/>
        <v>0</v>
      </c>
      <c r="BA142" s="98">
        <f t="shared" si="146"/>
        <v>0</v>
      </c>
      <c r="BB142" s="98">
        <f t="shared" si="184"/>
        <v>0</v>
      </c>
      <c r="BC142" s="98">
        <f t="shared" si="147"/>
        <v>0</v>
      </c>
      <c r="BD142" s="98">
        <f t="shared" si="148"/>
        <v>0</v>
      </c>
      <c r="BE142" s="98">
        <f t="shared" si="149"/>
        <v>1266.9430826250002</v>
      </c>
      <c r="BF142" s="98">
        <f t="shared" si="185"/>
        <v>0</v>
      </c>
      <c r="BG142" s="98">
        <f t="shared" si="186"/>
        <v>0</v>
      </c>
      <c r="BH142" s="98">
        <f t="shared" si="150"/>
        <v>0</v>
      </c>
      <c r="BI142" s="98">
        <f t="shared" si="151"/>
        <v>0</v>
      </c>
      <c r="BJ142" s="98">
        <f t="shared" si="152"/>
        <v>0</v>
      </c>
      <c r="BK142" s="98">
        <f t="shared" si="153"/>
        <v>0</v>
      </c>
      <c r="BL142" s="98">
        <f t="shared" si="187"/>
        <v>0</v>
      </c>
      <c r="BM142" s="98">
        <f t="shared" si="154"/>
        <v>0</v>
      </c>
      <c r="BN142" s="98">
        <f t="shared" si="155"/>
        <v>0</v>
      </c>
      <c r="BO142" s="98">
        <f t="shared" si="188"/>
        <v>0</v>
      </c>
      <c r="BP142" s="98">
        <f t="shared" si="156"/>
        <v>0</v>
      </c>
      <c r="BQ142" s="98">
        <f t="shared" si="189"/>
        <v>0</v>
      </c>
      <c r="BR142" s="98">
        <f t="shared" si="157"/>
        <v>0</v>
      </c>
    </row>
    <row r="143" spans="1:70" x14ac:dyDescent="0.25">
      <c r="A143" t="s">
        <v>74</v>
      </c>
      <c r="B143" t="s">
        <v>14</v>
      </c>
      <c r="C143">
        <v>2024</v>
      </c>
      <c r="D143" s="98">
        <f>INDEX('Reference Sheet'!$G$9:$J$100, MATCH(A143,'Reference Sheet'!$F$9:$F$100,0), MATCH(C143,'Reference Sheet'!$G$8:$J$8,0))/2080</f>
        <v>23.63325</v>
      </c>
      <c r="E143" s="99">
        <f>VLOOKUP(C143,'Reference Sheet'!$A$2:$B$5,2)</f>
        <v>0.1913</v>
      </c>
      <c r="F143" s="98">
        <f t="shared" si="159"/>
        <v>28.154290725000003</v>
      </c>
      <c r="G143" s="98"/>
      <c r="H143" s="98"/>
      <c r="I143" s="32"/>
      <c r="J143" s="32"/>
      <c r="K143" s="32"/>
      <c r="L143" s="32"/>
      <c r="M143" s="32">
        <v>45</v>
      </c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Z143" s="32"/>
      <c r="AA143" s="98">
        <f t="shared" si="158"/>
        <v>45</v>
      </c>
      <c r="AB143" s="98">
        <f t="shared" si="207"/>
        <v>45</v>
      </c>
      <c r="AC143" s="98">
        <f t="shared" si="160"/>
        <v>0</v>
      </c>
      <c r="AD143" s="100">
        <f t="shared" si="161"/>
        <v>0</v>
      </c>
      <c r="AE143" s="100">
        <f t="shared" si="162"/>
        <v>0</v>
      </c>
      <c r="AF143" s="100">
        <f t="shared" si="163"/>
        <v>0</v>
      </c>
      <c r="AG143" s="100">
        <f t="shared" si="164"/>
        <v>0</v>
      </c>
      <c r="AH143" s="100">
        <f t="shared" si="165"/>
        <v>0</v>
      </c>
      <c r="AI143" s="100">
        <f t="shared" si="166"/>
        <v>0</v>
      </c>
      <c r="AJ143" s="100">
        <f t="shared" si="167"/>
        <v>45</v>
      </c>
      <c r="AK143" s="100">
        <f t="shared" si="168"/>
        <v>0</v>
      </c>
      <c r="AL143" s="100">
        <f t="shared" si="169"/>
        <v>0</v>
      </c>
      <c r="AM143" s="100">
        <f t="shared" si="170"/>
        <v>0</v>
      </c>
      <c r="AN143" s="100">
        <f t="shared" si="171"/>
        <v>0</v>
      </c>
      <c r="AO143" s="100">
        <f t="shared" si="172"/>
        <v>0</v>
      </c>
      <c r="AP143" s="100">
        <f t="shared" si="173"/>
        <v>0</v>
      </c>
      <c r="AQ143" s="100">
        <f t="shared" si="174"/>
        <v>0</v>
      </c>
      <c r="AR143" s="100">
        <f t="shared" si="175"/>
        <v>0</v>
      </c>
      <c r="AS143" s="100">
        <f t="shared" si="176"/>
        <v>0</v>
      </c>
      <c r="AT143" s="100">
        <f t="shared" si="177"/>
        <v>0</v>
      </c>
      <c r="AU143" s="100">
        <f t="shared" si="178"/>
        <v>0</v>
      </c>
      <c r="AV143" s="100">
        <f t="shared" si="179"/>
        <v>0</v>
      </c>
      <c r="AW143" s="100">
        <f t="shared" si="180"/>
        <v>0</v>
      </c>
      <c r="AX143">
        <f t="shared" si="181"/>
        <v>45</v>
      </c>
      <c r="AY143" s="98">
        <f t="shared" si="182"/>
        <v>0</v>
      </c>
      <c r="AZ143" s="98">
        <f t="shared" si="183"/>
        <v>0</v>
      </c>
      <c r="BA143" s="98">
        <f t="shared" si="146"/>
        <v>0</v>
      </c>
      <c r="BB143" s="98">
        <f t="shared" si="184"/>
        <v>0</v>
      </c>
      <c r="BC143" s="98">
        <f t="shared" si="147"/>
        <v>0</v>
      </c>
      <c r="BD143" s="98">
        <f t="shared" si="148"/>
        <v>0</v>
      </c>
      <c r="BE143" s="98">
        <f t="shared" si="149"/>
        <v>1266.9430826250002</v>
      </c>
      <c r="BF143" s="98">
        <f t="shared" si="185"/>
        <v>0</v>
      </c>
      <c r="BG143" s="98">
        <f t="shared" si="186"/>
        <v>0</v>
      </c>
      <c r="BH143" s="98">
        <f t="shared" si="150"/>
        <v>0</v>
      </c>
      <c r="BI143" s="98">
        <f t="shared" si="151"/>
        <v>0</v>
      </c>
      <c r="BJ143" s="98">
        <f t="shared" si="152"/>
        <v>0</v>
      </c>
      <c r="BK143" s="98">
        <f t="shared" si="153"/>
        <v>0</v>
      </c>
      <c r="BL143" s="98">
        <f t="shared" si="187"/>
        <v>0</v>
      </c>
      <c r="BM143" s="98">
        <f t="shared" si="154"/>
        <v>0</v>
      </c>
      <c r="BN143" s="98">
        <f t="shared" si="155"/>
        <v>0</v>
      </c>
      <c r="BO143" s="98">
        <f t="shared" si="188"/>
        <v>0</v>
      </c>
      <c r="BP143" s="98">
        <f t="shared" si="156"/>
        <v>0</v>
      </c>
      <c r="BQ143" s="98">
        <f t="shared" si="189"/>
        <v>0</v>
      </c>
      <c r="BR143" s="98">
        <f t="shared" si="157"/>
        <v>0</v>
      </c>
    </row>
    <row r="144" spans="1:70" x14ac:dyDescent="0.25">
      <c r="A144" t="s">
        <v>74</v>
      </c>
      <c r="B144" t="s">
        <v>13</v>
      </c>
      <c r="C144">
        <v>2024</v>
      </c>
      <c r="D144" s="98">
        <f>INDEX('Reference Sheet'!$G$9:$J$100, MATCH(A144,'Reference Sheet'!$F$9:$F$100,0), MATCH(C144,'Reference Sheet'!$G$8:$J$8,0))/2080</f>
        <v>23.63325</v>
      </c>
      <c r="E144" s="99">
        <f>VLOOKUP(C144,'Reference Sheet'!$A$2:$B$5,2)</f>
        <v>0.1913</v>
      </c>
      <c r="F144" s="98">
        <f t="shared" si="159"/>
        <v>28.154290725000003</v>
      </c>
      <c r="G144" s="98"/>
      <c r="H144" s="98"/>
      <c r="I144" s="32"/>
      <c r="J144" s="32"/>
      <c r="K144" s="32"/>
      <c r="L144" s="32"/>
      <c r="M144" s="32">
        <v>48</v>
      </c>
      <c r="N144" s="32"/>
      <c r="O144" s="32"/>
      <c r="P144" s="32"/>
      <c r="Q144" s="32"/>
      <c r="R144" s="32"/>
      <c r="S144" s="32"/>
      <c r="T144" s="32"/>
      <c r="U144" s="32"/>
      <c r="V144" s="32"/>
      <c r="W144" s="32"/>
      <c r="X144" s="32"/>
      <c r="Y144" s="32"/>
      <c r="Z144" s="32"/>
      <c r="AA144" s="98">
        <f t="shared" si="158"/>
        <v>48</v>
      </c>
      <c r="AB144" s="98">
        <f t="shared" si="207"/>
        <v>48</v>
      </c>
      <c r="AC144" s="98">
        <f t="shared" si="160"/>
        <v>0</v>
      </c>
      <c r="AD144" s="100">
        <f t="shared" si="161"/>
        <v>0</v>
      </c>
      <c r="AE144" s="100">
        <f t="shared" si="162"/>
        <v>0</v>
      </c>
      <c r="AF144" s="100">
        <f t="shared" si="163"/>
        <v>0</v>
      </c>
      <c r="AG144" s="100">
        <f t="shared" si="164"/>
        <v>0</v>
      </c>
      <c r="AH144" s="100">
        <f t="shared" si="165"/>
        <v>0</v>
      </c>
      <c r="AI144" s="100">
        <f t="shared" si="166"/>
        <v>0</v>
      </c>
      <c r="AJ144" s="100">
        <f t="shared" si="167"/>
        <v>48</v>
      </c>
      <c r="AK144" s="100">
        <f t="shared" si="168"/>
        <v>0</v>
      </c>
      <c r="AL144" s="100">
        <f t="shared" si="169"/>
        <v>0</v>
      </c>
      <c r="AM144" s="100">
        <f t="shared" si="170"/>
        <v>0</v>
      </c>
      <c r="AN144" s="100">
        <f t="shared" si="171"/>
        <v>0</v>
      </c>
      <c r="AO144" s="100">
        <f t="shared" si="172"/>
        <v>0</v>
      </c>
      <c r="AP144" s="100">
        <f t="shared" si="173"/>
        <v>0</v>
      </c>
      <c r="AQ144" s="100">
        <f t="shared" si="174"/>
        <v>0</v>
      </c>
      <c r="AR144" s="100">
        <f t="shared" si="175"/>
        <v>0</v>
      </c>
      <c r="AS144" s="100">
        <f t="shared" si="176"/>
        <v>0</v>
      </c>
      <c r="AT144" s="100">
        <f t="shared" si="177"/>
        <v>0</v>
      </c>
      <c r="AU144" s="100">
        <f t="shared" si="178"/>
        <v>0</v>
      </c>
      <c r="AV144" s="100">
        <f t="shared" si="179"/>
        <v>0</v>
      </c>
      <c r="AW144" s="100">
        <f t="shared" si="180"/>
        <v>0</v>
      </c>
      <c r="AX144">
        <f t="shared" si="181"/>
        <v>48</v>
      </c>
      <c r="AY144" s="98">
        <f t="shared" si="182"/>
        <v>0</v>
      </c>
      <c r="AZ144" s="98">
        <f t="shared" si="183"/>
        <v>0</v>
      </c>
      <c r="BA144" s="98">
        <f t="shared" si="146"/>
        <v>0</v>
      </c>
      <c r="BB144" s="98">
        <f t="shared" si="184"/>
        <v>0</v>
      </c>
      <c r="BC144" s="98">
        <f t="shared" si="147"/>
        <v>0</v>
      </c>
      <c r="BD144" s="98">
        <f t="shared" si="148"/>
        <v>0</v>
      </c>
      <c r="BE144" s="98">
        <f t="shared" si="149"/>
        <v>1351.4059548</v>
      </c>
      <c r="BF144" s="98">
        <f t="shared" si="185"/>
        <v>0</v>
      </c>
      <c r="BG144" s="98">
        <f t="shared" si="186"/>
        <v>0</v>
      </c>
      <c r="BH144" s="98">
        <f t="shared" si="150"/>
        <v>0</v>
      </c>
      <c r="BI144" s="98">
        <f t="shared" si="151"/>
        <v>0</v>
      </c>
      <c r="BJ144" s="98">
        <f t="shared" si="152"/>
        <v>0</v>
      </c>
      <c r="BK144" s="98">
        <f t="shared" si="153"/>
        <v>0</v>
      </c>
      <c r="BL144" s="98">
        <f t="shared" si="187"/>
        <v>0</v>
      </c>
      <c r="BM144" s="98">
        <f t="shared" si="154"/>
        <v>0</v>
      </c>
      <c r="BN144" s="98">
        <f t="shared" si="155"/>
        <v>0</v>
      </c>
      <c r="BO144" s="98">
        <f t="shared" si="188"/>
        <v>0</v>
      </c>
      <c r="BP144" s="98">
        <f t="shared" si="156"/>
        <v>0</v>
      </c>
      <c r="BQ144" s="98">
        <f t="shared" si="189"/>
        <v>0</v>
      </c>
      <c r="BR144" s="98">
        <f t="shared" si="157"/>
        <v>0</v>
      </c>
    </row>
    <row r="145" spans="1:70" x14ac:dyDescent="0.25">
      <c r="A145" t="s">
        <v>74</v>
      </c>
      <c r="B145" t="s">
        <v>10</v>
      </c>
      <c r="C145">
        <v>2024</v>
      </c>
      <c r="D145" s="98">
        <f>INDEX('Reference Sheet'!$G$9:$J$100, MATCH(A145,'Reference Sheet'!$F$9:$F$100,0), MATCH(C145,'Reference Sheet'!$G$8:$J$8,0))/2080</f>
        <v>23.63325</v>
      </c>
      <c r="E145" s="99">
        <f>VLOOKUP(C145,'Reference Sheet'!$A$2:$B$5,2)</f>
        <v>0.1913</v>
      </c>
      <c r="F145" s="98">
        <f t="shared" si="159"/>
        <v>28.154290725000003</v>
      </c>
      <c r="G145" s="98"/>
      <c r="H145" s="98"/>
      <c r="I145" s="32"/>
      <c r="J145" s="32"/>
      <c r="K145" s="32"/>
      <c r="L145" s="32"/>
      <c r="M145" s="32">
        <v>57</v>
      </c>
      <c r="N145" s="32"/>
      <c r="O145" s="32"/>
      <c r="P145" s="32"/>
      <c r="Q145" s="32"/>
      <c r="R145" s="32"/>
      <c r="S145" s="32"/>
      <c r="T145" s="32"/>
      <c r="U145" s="32"/>
      <c r="V145" s="32"/>
      <c r="W145" s="32"/>
      <c r="X145" s="32"/>
      <c r="Y145" s="32"/>
      <c r="Z145" s="32"/>
      <c r="AA145" s="98">
        <f t="shared" si="158"/>
        <v>57</v>
      </c>
      <c r="AB145" s="98">
        <f t="shared" si="207"/>
        <v>57</v>
      </c>
      <c r="AC145" s="98">
        <f t="shared" si="160"/>
        <v>0</v>
      </c>
      <c r="AD145" s="100">
        <f t="shared" si="161"/>
        <v>0</v>
      </c>
      <c r="AE145" s="100">
        <f t="shared" si="162"/>
        <v>0</v>
      </c>
      <c r="AF145" s="100">
        <f t="shared" si="163"/>
        <v>0</v>
      </c>
      <c r="AG145" s="100">
        <f t="shared" si="164"/>
        <v>0</v>
      </c>
      <c r="AH145" s="100">
        <f t="shared" si="165"/>
        <v>0</v>
      </c>
      <c r="AI145" s="100">
        <f t="shared" si="166"/>
        <v>0</v>
      </c>
      <c r="AJ145" s="100">
        <f t="shared" si="167"/>
        <v>57</v>
      </c>
      <c r="AK145" s="100">
        <f t="shared" si="168"/>
        <v>0</v>
      </c>
      <c r="AL145" s="100">
        <f t="shared" si="169"/>
        <v>0</v>
      </c>
      <c r="AM145" s="100">
        <f t="shared" si="170"/>
        <v>0</v>
      </c>
      <c r="AN145" s="100">
        <f t="shared" si="171"/>
        <v>0</v>
      </c>
      <c r="AO145" s="100">
        <f t="shared" si="172"/>
        <v>0</v>
      </c>
      <c r="AP145" s="100">
        <f t="shared" si="173"/>
        <v>0</v>
      </c>
      <c r="AQ145" s="100">
        <f t="shared" si="174"/>
        <v>0</v>
      </c>
      <c r="AR145" s="100">
        <f t="shared" si="175"/>
        <v>0</v>
      </c>
      <c r="AS145" s="100">
        <f t="shared" si="176"/>
        <v>0</v>
      </c>
      <c r="AT145" s="100">
        <f t="shared" si="177"/>
        <v>0</v>
      </c>
      <c r="AU145" s="100">
        <f t="shared" si="178"/>
        <v>0</v>
      </c>
      <c r="AV145" s="100">
        <f t="shared" si="179"/>
        <v>0</v>
      </c>
      <c r="AW145" s="100">
        <f t="shared" si="180"/>
        <v>0</v>
      </c>
      <c r="AX145">
        <f t="shared" si="181"/>
        <v>57</v>
      </c>
      <c r="AY145" s="98">
        <f t="shared" si="182"/>
        <v>0</v>
      </c>
      <c r="AZ145" s="98">
        <f t="shared" si="183"/>
        <v>0</v>
      </c>
      <c r="BA145" s="98">
        <f t="shared" si="146"/>
        <v>0</v>
      </c>
      <c r="BB145" s="98">
        <f t="shared" si="184"/>
        <v>0</v>
      </c>
      <c r="BC145" s="98">
        <f t="shared" si="147"/>
        <v>0</v>
      </c>
      <c r="BD145" s="98">
        <f t="shared" si="148"/>
        <v>0</v>
      </c>
      <c r="BE145" s="98">
        <f t="shared" si="149"/>
        <v>1604.7945713250001</v>
      </c>
      <c r="BF145" s="98">
        <f t="shared" si="185"/>
        <v>0</v>
      </c>
      <c r="BG145" s="98">
        <f t="shared" si="186"/>
        <v>0</v>
      </c>
      <c r="BH145" s="98">
        <f t="shared" si="150"/>
        <v>0</v>
      </c>
      <c r="BI145" s="98">
        <f t="shared" si="151"/>
        <v>0</v>
      </c>
      <c r="BJ145" s="98">
        <f t="shared" si="152"/>
        <v>0</v>
      </c>
      <c r="BK145" s="98">
        <f t="shared" si="153"/>
        <v>0</v>
      </c>
      <c r="BL145" s="98">
        <f t="shared" si="187"/>
        <v>0</v>
      </c>
      <c r="BM145" s="98">
        <f t="shared" si="154"/>
        <v>0</v>
      </c>
      <c r="BN145" s="98">
        <f t="shared" si="155"/>
        <v>0</v>
      </c>
      <c r="BO145" s="98">
        <f t="shared" si="188"/>
        <v>0</v>
      </c>
      <c r="BP145" s="98">
        <f t="shared" si="156"/>
        <v>0</v>
      </c>
      <c r="BQ145" s="98">
        <f t="shared" si="189"/>
        <v>0</v>
      </c>
      <c r="BR145" s="98">
        <f t="shared" si="157"/>
        <v>0</v>
      </c>
    </row>
    <row r="146" spans="1:70" x14ac:dyDescent="0.25">
      <c r="A146" t="s">
        <v>74</v>
      </c>
      <c r="B146" t="s">
        <v>7</v>
      </c>
      <c r="C146">
        <v>2025</v>
      </c>
      <c r="D146" s="98">
        <f>INDEX('Reference Sheet'!$G$9:$J$100, MATCH(A146,'Reference Sheet'!$F$9:$F$100,0), MATCH(C146,'Reference Sheet'!$G$8:$J$8,0))/2080</f>
        <v>28.77403846153846</v>
      </c>
      <c r="E146" s="99">
        <f>VLOOKUP(C146,'Reference Sheet'!$A$2:$B$5,2)</f>
        <v>0.22450000000000001</v>
      </c>
      <c r="F146" s="98">
        <f t="shared" si="159"/>
        <v>35.233810096153839</v>
      </c>
      <c r="G146" s="98"/>
      <c r="H146" s="98"/>
      <c r="I146" s="32"/>
      <c r="J146" s="32"/>
      <c r="K146" s="32"/>
      <c r="L146" s="32"/>
      <c r="M146" s="32">
        <v>37</v>
      </c>
      <c r="N146" s="32">
        <v>197.58</v>
      </c>
      <c r="O146" s="32"/>
      <c r="P146" s="32"/>
      <c r="Q146" s="32"/>
      <c r="R146" s="32"/>
      <c r="S146" s="32"/>
      <c r="T146" s="32"/>
      <c r="U146" s="32"/>
      <c r="V146" s="32">
        <v>4</v>
      </c>
      <c r="W146" s="32"/>
      <c r="X146" s="32"/>
      <c r="Y146" s="32"/>
      <c r="Z146" s="32"/>
      <c r="AA146" s="98">
        <f t="shared" si="158"/>
        <v>238.58</v>
      </c>
      <c r="AB146" s="98">
        <f>IF(OR(B146="",C146=""),"",SUMIFS('Reference Sheet'!$D$9:$D$42,'Reference Sheet'!$A$9:$A$42,C146,'Reference Sheet'!$B$9:$B$42,B146))</f>
        <v>160</v>
      </c>
      <c r="AC146" s="98">
        <f t="shared" si="160"/>
        <v>-78.580000000000013</v>
      </c>
      <c r="AD146" s="100">
        <f t="shared" si="161"/>
        <v>0</v>
      </c>
      <c r="AE146" s="100">
        <f t="shared" si="162"/>
        <v>0</v>
      </c>
      <c r="AF146" s="100">
        <f t="shared" si="163"/>
        <v>0</v>
      </c>
      <c r="AG146" s="100">
        <f t="shared" si="164"/>
        <v>0</v>
      </c>
      <c r="AH146" s="100">
        <f t="shared" si="165"/>
        <v>0</v>
      </c>
      <c r="AI146" s="100">
        <f t="shared" si="166"/>
        <v>0</v>
      </c>
      <c r="AJ146" s="100">
        <f t="shared" si="167"/>
        <v>24.813479755218374</v>
      </c>
      <c r="AK146" s="100">
        <f t="shared" ref="AK146:AL152" si="208">(N146/$AA146)*$AB146</f>
        <v>132.50398189286611</v>
      </c>
      <c r="AL146" s="100">
        <f t="shared" si="208"/>
        <v>0</v>
      </c>
      <c r="AM146" s="100">
        <f t="shared" si="170"/>
        <v>0</v>
      </c>
      <c r="AN146" s="100">
        <f t="shared" si="171"/>
        <v>0</v>
      </c>
      <c r="AO146" s="100">
        <f t="shared" si="172"/>
        <v>0</v>
      </c>
      <c r="AP146" s="100">
        <f t="shared" si="173"/>
        <v>0</v>
      </c>
      <c r="AQ146" s="100">
        <f t="shared" si="174"/>
        <v>0</v>
      </c>
      <c r="AR146" s="100">
        <f t="shared" si="175"/>
        <v>0</v>
      </c>
      <c r="AS146" s="100">
        <f t="shared" si="176"/>
        <v>2.6825383519154999</v>
      </c>
      <c r="AT146" s="100">
        <f t="shared" si="177"/>
        <v>0</v>
      </c>
      <c r="AU146" s="100">
        <f t="shared" si="178"/>
        <v>0</v>
      </c>
      <c r="AV146" s="100">
        <f t="shared" si="179"/>
        <v>0</v>
      </c>
      <c r="AW146" s="100">
        <f t="shared" si="180"/>
        <v>0</v>
      </c>
      <c r="AX146">
        <f t="shared" si="181"/>
        <v>159.99999999999997</v>
      </c>
      <c r="AY146" s="98">
        <f t="shared" si="182"/>
        <v>0</v>
      </c>
      <c r="AZ146" s="98">
        <f t="shared" si="183"/>
        <v>0</v>
      </c>
      <c r="BA146" s="98">
        <f t="shared" si="146"/>
        <v>0</v>
      </c>
      <c r="BB146" s="98">
        <f t="shared" si="184"/>
        <v>0</v>
      </c>
      <c r="BC146" s="98">
        <f t="shared" si="147"/>
        <v>0</v>
      </c>
      <c r="BD146" s="98">
        <f t="shared" si="148"/>
        <v>0</v>
      </c>
      <c r="BE146" s="98">
        <f t="shared" si="149"/>
        <v>874.27343352012201</v>
      </c>
      <c r="BF146" s="98">
        <f t="shared" si="185"/>
        <v>4668.6201349974517</v>
      </c>
      <c r="BG146" s="98">
        <f t="shared" si="186"/>
        <v>0</v>
      </c>
      <c r="BH146" s="98">
        <f t="shared" si="150"/>
        <v>0</v>
      </c>
      <c r="BI146" s="98">
        <f t="shared" si="151"/>
        <v>0</v>
      </c>
      <c r="BJ146" s="98">
        <f t="shared" si="152"/>
        <v>0</v>
      </c>
      <c r="BK146" s="98">
        <f t="shared" si="153"/>
        <v>0</v>
      </c>
      <c r="BL146" s="98">
        <f t="shared" si="187"/>
        <v>0</v>
      </c>
      <c r="BM146" s="98">
        <f t="shared" si="154"/>
        <v>0</v>
      </c>
      <c r="BN146" s="98">
        <f t="shared" si="155"/>
        <v>94.516046867040217</v>
      </c>
      <c r="BO146" s="98">
        <f t="shared" si="188"/>
        <v>0</v>
      </c>
      <c r="BP146" s="98">
        <f t="shared" si="156"/>
        <v>0</v>
      </c>
      <c r="BQ146" s="98">
        <f t="shared" si="189"/>
        <v>0</v>
      </c>
      <c r="BR146" s="98">
        <f t="shared" si="157"/>
        <v>0</v>
      </c>
    </row>
    <row r="147" spans="1:70" x14ac:dyDescent="0.25">
      <c r="A147" t="s">
        <v>74</v>
      </c>
      <c r="B147" t="s">
        <v>6</v>
      </c>
      <c r="C147">
        <v>2025</v>
      </c>
      <c r="D147" s="98">
        <f>INDEX('Reference Sheet'!$G$9:$J$100, MATCH(A147,'Reference Sheet'!$F$9:$F$100,0), MATCH(C147,'Reference Sheet'!$G$8:$J$8,0))/2080</f>
        <v>28.77403846153846</v>
      </c>
      <c r="E147" s="99">
        <f>VLOOKUP(C147,'Reference Sheet'!$A$2:$B$5,2)</f>
        <v>0.22450000000000001</v>
      </c>
      <c r="F147" s="98">
        <f t="shared" si="159"/>
        <v>35.233810096153839</v>
      </c>
      <c r="G147" s="98"/>
      <c r="H147" s="98"/>
      <c r="I147" s="32"/>
      <c r="J147" s="32"/>
      <c r="K147" s="32"/>
      <c r="L147" s="32"/>
      <c r="M147" s="32">
        <v>42</v>
      </c>
      <c r="N147" s="32">
        <v>197.57</v>
      </c>
      <c r="O147" s="32"/>
      <c r="P147" s="32"/>
      <c r="Q147" s="32"/>
      <c r="R147" s="32"/>
      <c r="S147" s="32"/>
      <c r="T147" s="32"/>
      <c r="U147" s="32"/>
      <c r="V147" s="32">
        <v>8</v>
      </c>
      <c r="W147" s="32"/>
      <c r="X147" s="32"/>
      <c r="Y147" s="32"/>
      <c r="Z147" s="32"/>
      <c r="AA147" s="98">
        <f t="shared" si="158"/>
        <v>247.57</v>
      </c>
      <c r="AB147" s="98">
        <f>IF(OR(B147="",C147=""),"",SUMIFS('Reference Sheet'!$D$9:$D$42,'Reference Sheet'!$A$9:$A$42,C147,'Reference Sheet'!$B$9:$B$42,B147))</f>
        <v>184</v>
      </c>
      <c r="AC147" s="98">
        <f t="shared" si="160"/>
        <v>-63.569999999999993</v>
      </c>
      <c r="AD147" s="100">
        <f t="shared" si="161"/>
        <v>0</v>
      </c>
      <c r="AE147" s="100">
        <f t="shared" si="162"/>
        <v>0</v>
      </c>
      <c r="AF147" s="100">
        <f t="shared" si="163"/>
        <v>0</v>
      </c>
      <c r="AG147" s="100">
        <f t="shared" si="164"/>
        <v>0</v>
      </c>
      <c r="AH147" s="100">
        <f t="shared" si="165"/>
        <v>0</v>
      </c>
      <c r="AI147" s="100">
        <f t="shared" si="166"/>
        <v>0</v>
      </c>
      <c r="AJ147" s="100">
        <f t="shared" si="167"/>
        <v>31.215413822353277</v>
      </c>
      <c r="AK147" s="100">
        <f t="shared" si="208"/>
        <v>146.83879306862704</v>
      </c>
      <c r="AL147" s="100">
        <f t="shared" si="208"/>
        <v>0</v>
      </c>
      <c r="AM147" s="100">
        <f t="shared" si="170"/>
        <v>0</v>
      </c>
      <c r="AN147" s="100">
        <f t="shared" si="171"/>
        <v>0</v>
      </c>
      <c r="AO147" s="100">
        <f t="shared" si="172"/>
        <v>0</v>
      </c>
      <c r="AP147" s="100">
        <f t="shared" si="173"/>
        <v>0</v>
      </c>
      <c r="AQ147" s="100">
        <f t="shared" si="174"/>
        <v>0</v>
      </c>
      <c r="AR147" s="100">
        <f t="shared" si="175"/>
        <v>0</v>
      </c>
      <c r="AS147" s="100">
        <f t="shared" si="176"/>
        <v>5.9457931090196716</v>
      </c>
      <c r="AT147" s="100">
        <f t="shared" si="177"/>
        <v>0</v>
      </c>
      <c r="AU147" s="100">
        <f t="shared" si="178"/>
        <v>0</v>
      </c>
      <c r="AV147" s="100">
        <f t="shared" si="179"/>
        <v>0</v>
      </c>
      <c r="AW147" s="100">
        <f t="shared" si="180"/>
        <v>0</v>
      </c>
      <c r="AX147">
        <f t="shared" si="181"/>
        <v>183.99999999999997</v>
      </c>
      <c r="AY147" s="98">
        <f t="shared" si="182"/>
        <v>0</v>
      </c>
      <c r="AZ147" s="98">
        <f t="shared" si="183"/>
        <v>0</v>
      </c>
      <c r="BA147" s="98">
        <f t="shared" si="146"/>
        <v>0</v>
      </c>
      <c r="BB147" s="98">
        <f t="shared" si="184"/>
        <v>0</v>
      </c>
      <c r="BC147" s="98">
        <f t="shared" si="147"/>
        <v>0</v>
      </c>
      <c r="BD147" s="98">
        <f t="shared" si="148"/>
        <v>0</v>
      </c>
      <c r="BE147" s="98">
        <f t="shared" si="149"/>
        <v>1099.837962689651</v>
      </c>
      <c r="BF147" s="98">
        <f t="shared" si="185"/>
        <v>5173.6901497284362</v>
      </c>
      <c r="BG147" s="98">
        <f t="shared" si="186"/>
        <v>0</v>
      </c>
      <c r="BH147" s="98">
        <f t="shared" si="150"/>
        <v>0</v>
      </c>
      <c r="BI147" s="98">
        <f t="shared" si="151"/>
        <v>0</v>
      </c>
      <c r="BJ147" s="98">
        <f t="shared" si="152"/>
        <v>0</v>
      </c>
      <c r="BK147" s="98">
        <f t="shared" si="153"/>
        <v>0</v>
      </c>
      <c r="BL147" s="98">
        <f t="shared" si="187"/>
        <v>0</v>
      </c>
      <c r="BM147" s="98">
        <f t="shared" si="154"/>
        <v>0</v>
      </c>
      <c r="BN147" s="98">
        <f t="shared" si="155"/>
        <v>209.49294527421924</v>
      </c>
      <c r="BO147" s="98">
        <f t="shared" si="188"/>
        <v>0</v>
      </c>
      <c r="BP147" s="98">
        <f t="shared" si="156"/>
        <v>0</v>
      </c>
      <c r="BQ147" s="98">
        <f t="shared" si="189"/>
        <v>0</v>
      </c>
      <c r="BR147" s="98">
        <f t="shared" si="157"/>
        <v>0</v>
      </c>
    </row>
    <row r="148" spans="1:70" x14ac:dyDescent="0.25">
      <c r="A148" t="s">
        <v>74</v>
      </c>
      <c r="B148" t="s">
        <v>8</v>
      </c>
      <c r="C148">
        <v>2025</v>
      </c>
      <c r="D148" s="98">
        <f>INDEX('Reference Sheet'!$G$9:$J$100, MATCH(A148,'Reference Sheet'!$F$9:$F$100,0), MATCH(C148,'Reference Sheet'!$G$8:$J$8,0))/2080</f>
        <v>28.77403846153846</v>
      </c>
      <c r="E148" s="99">
        <f>VLOOKUP(C148,'Reference Sheet'!$A$2:$B$5,2)</f>
        <v>0.22450000000000001</v>
      </c>
      <c r="F148" s="98">
        <f t="shared" si="159"/>
        <v>35.233810096153839</v>
      </c>
      <c r="G148" s="98"/>
      <c r="H148" s="98"/>
      <c r="I148" s="32"/>
      <c r="J148" s="32"/>
      <c r="K148" s="32"/>
      <c r="L148" s="32"/>
      <c r="M148" s="32">
        <v>44</v>
      </c>
      <c r="N148" s="32">
        <v>197.57</v>
      </c>
      <c r="O148" s="32"/>
      <c r="P148" s="32">
        <v>35</v>
      </c>
      <c r="Q148" s="32"/>
      <c r="R148" s="32"/>
      <c r="S148" s="32"/>
      <c r="T148" s="32"/>
      <c r="U148" s="32"/>
      <c r="V148" s="32">
        <v>4</v>
      </c>
      <c r="W148" s="32"/>
      <c r="X148" s="32"/>
      <c r="Y148" s="32"/>
      <c r="Z148" s="32"/>
      <c r="AA148" s="98">
        <f t="shared" si="158"/>
        <v>280.57</v>
      </c>
      <c r="AB148" s="98">
        <f>IF(OR(B148="",C148=""),"",SUMIFS('Reference Sheet'!$D$9:$D$42,'Reference Sheet'!$A$9:$A$42,C148,'Reference Sheet'!$B$9:$B$42,B148))</f>
        <v>168</v>
      </c>
      <c r="AC148" s="98">
        <f t="shared" si="160"/>
        <v>-112.57</v>
      </c>
      <c r="AD148" s="100">
        <f t="shared" si="161"/>
        <v>0</v>
      </c>
      <c r="AE148" s="100">
        <f t="shared" si="162"/>
        <v>0</v>
      </c>
      <c r="AF148" s="100">
        <f t="shared" si="163"/>
        <v>0</v>
      </c>
      <c r="AG148" s="100">
        <f t="shared" si="164"/>
        <v>0</v>
      </c>
      <c r="AH148" s="100">
        <f t="shared" si="165"/>
        <v>0</v>
      </c>
      <c r="AI148" s="100">
        <f t="shared" si="166"/>
        <v>0</v>
      </c>
      <c r="AJ148" s="100">
        <f t="shared" si="167"/>
        <v>26.346366325694124</v>
      </c>
      <c r="AK148" s="100">
        <f t="shared" si="208"/>
        <v>118.30117261289517</v>
      </c>
      <c r="AL148" s="100">
        <f t="shared" si="208"/>
        <v>0</v>
      </c>
      <c r="AM148" s="100">
        <f t="shared" si="170"/>
        <v>20.957336849983964</v>
      </c>
      <c r="AN148" s="100">
        <f t="shared" si="171"/>
        <v>0</v>
      </c>
      <c r="AO148" s="100">
        <f t="shared" si="172"/>
        <v>0</v>
      </c>
      <c r="AP148" s="100">
        <f t="shared" si="173"/>
        <v>0</v>
      </c>
      <c r="AQ148" s="100">
        <f t="shared" si="174"/>
        <v>0</v>
      </c>
      <c r="AR148" s="100">
        <f t="shared" si="175"/>
        <v>0</v>
      </c>
      <c r="AS148" s="100">
        <f t="shared" si="176"/>
        <v>2.3951242114267384</v>
      </c>
      <c r="AT148" s="100">
        <f t="shared" si="177"/>
        <v>0</v>
      </c>
      <c r="AU148" s="100">
        <f t="shared" si="178"/>
        <v>0</v>
      </c>
      <c r="AV148" s="100">
        <f t="shared" si="179"/>
        <v>0</v>
      </c>
      <c r="AW148" s="100">
        <f t="shared" si="180"/>
        <v>0</v>
      </c>
      <c r="AX148">
        <f t="shared" si="181"/>
        <v>168</v>
      </c>
      <c r="AY148" s="98">
        <f t="shared" si="182"/>
        <v>0</v>
      </c>
      <c r="AZ148" s="98">
        <f t="shared" si="183"/>
        <v>0</v>
      </c>
      <c r="BA148" s="98">
        <f t="shared" si="146"/>
        <v>0</v>
      </c>
      <c r="BB148" s="98">
        <f t="shared" si="184"/>
        <v>0</v>
      </c>
      <c r="BC148" s="98">
        <f t="shared" si="147"/>
        <v>0</v>
      </c>
      <c r="BD148" s="98">
        <f t="shared" si="148"/>
        <v>0</v>
      </c>
      <c r="BE148" s="98">
        <f t="shared" si="149"/>
        <v>928.28286784320915</v>
      </c>
      <c r="BF148" s="98">
        <f t="shared" si="185"/>
        <v>4168.2010499950638</v>
      </c>
      <c r="BG148" s="98">
        <f t="shared" si="186"/>
        <v>0</v>
      </c>
      <c r="BH148" s="98">
        <f t="shared" si="150"/>
        <v>738.40682669346188</v>
      </c>
      <c r="BI148" s="98">
        <f t="shared" si="151"/>
        <v>0</v>
      </c>
      <c r="BJ148" s="98">
        <f t="shared" si="152"/>
        <v>0</v>
      </c>
      <c r="BK148" s="98">
        <f t="shared" si="153"/>
        <v>0</v>
      </c>
      <c r="BL148" s="98">
        <f t="shared" si="187"/>
        <v>0</v>
      </c>
      <c r="BM148" s="98">
        <f t="shared" si="154"/>
        <v>0</v>
      </c>
      <c r="BN148" s="98">
        <f t="shared" si="155"/>
        <v>84.389351622109913</v>
      </c>
      <c r="BO148" s="98">
        <f t="shared" si="188"/>
        <v>0</v>
      </c>
      <c r="BP148" s="98">
        <f t="shared" si="156"/>
        <v>0</v>
      </c>
      <c r="BQ148" s="98">
        <f t="shared" si="189"/>
        <v>0</v>
      </c>
      <c r="BR148" s="98">
        <f t="shared" si="157"/>
        <v>0</v>
      </c>
    </row>
    <row r="149" spans="1:70" x14ac:dyDescent="0.25">
      <c r="A149" t="s">
        <v>74</v>
      </c>
      <c r="B149" t="s">
        <v>9</v>
      </c>
      <c r="C149">
        <v>2025</v>
      </c>
      <c r="D149" s="98">
        <f>INDEX('Reference Sheet'!$G$9:$J$100, MATCH(A149,'Reference Sheet'!$F$9:$F$100,0), MATCH(C149,'Reference Sheet'!$G$8:$J$8,0))/2080</f>
        <v>28.77403846153846</v>
      </c>
      <c r="E149" s="99">
        <f>VLOOKUP(C149,'Reference Sheet'!$A$2:$B$5,2)</f>
        <v>0.22450000000000001</v>
      </c>
      <c r="F149" s="98">
        <f t="shared" si="159"/>
        <v>35.233810096153839</v>
      </c>
      <c r="G149" s="98"/>
      <c r="H149" s="98"/>
      <c r="I149" s="32"/>
      <c r="J149" s="32"/>
      <c r="K149" s="32"/>
      <c r="L149" s="32"/>
      <c r="M149" s="32">
        <v>50</v>
      </c>
      <c r="N149" s="32">
        <v>197.57</v>
      </c>
      <c r="O149" s="32"/>
      <c r="P149" s="32">
        <v>35</v>
      </c>
      <c r="Q149" s="32"/>
      <c r="R149" s="32"/>
      <c r="S149" s="32"/>
      <c r="T149" s="32"/>
      <c r="U149" s="32"/>
      <c r="V149" s="32">
        <v>7</v>
      </c>
      <c r="W149" s="32"/>
      <c r="X149" s="32"/>
      <c r="Y149" s="32"/>
      <c r="Z149" s="32"/>
      <c r="AA149" s="98">
        <f t="shared" si="158"/>
        <v>289.57</v>
      </c>
      <c r="AB149" s="98">
        <f>IF(OR(B149="",C149=""),"",SUMIFS('Reference Sheet'!$D$9:$D$42,'Reference Sheet'!$A$9:$A$42,C149,'Reference Sheet'!$B$9:$B$42,B149))</f>
        <v>176</v>
      </c>
      <c r="AC149" s="98">
        <f t="shared" si="160"/>
        <v>-113.57</v>
      </c>
      <c r="AD149" s="100">
        <f t="shared" si="161"/>
        <v>0</v>
      </c>
      <c r="AE149" s="100">
        <f t="shared" si="162"/>
        <v>0</v>
      </c>
      <c r="AF149" s="100">
        <f t="shared" si="163"/>
        <v>0</v>
      </c>
      <c r="AG149" s="100">
        <f t="shared" si="164"/>
        <v>0</v>
      </c>
      <c r="AH149" s="100">
        <f t="shared" si="165"/>
        <v>0</v>
      </c>
      <c r="AI149" s="100">
        <f t="shared" si="166"/>
        <v>0</v>
      </c>
      <c r="AJ149" s="100">
        <f t="shared" si="167"/>
        <v>30.389888455295786</v>
      </c>
      <c r="AK149" s="100">
        <f t="shared" si="208"/>
        <v>120.08260524225575</v>
      </c>
      <c r="AL149" s="100">
        <f t="shared" si="208"/>
        <v>0</v>
      </c>
      <c r="AM149" s="100">
        <f t="shared" si="170"/>
        <v>21.272921918707048</v>
      </c>
      <c r="AN149" s="100">
        <f t="shared" si="171"/>
        <v>0</v>
      </c>
      <c r="AO149" s="100">
        <f t="shared" si="172"/>
        <v>0</v>
      </c>
      <c r="AP149" s="100">
        <f t="shared" si="173"/>
        <v>0</v>
      </c>
      <c r="AQ149" s="100">
        <f t="shared" si="174"/>
        <v>0</v>
      </c>
      <c r="AR149" s="100">
        <f t="shared" si="175"/>
        <v>0</v>
      </c>
      <c r="AS149" s="100">
        <f t="shared" si="176"/>
        <v>4.2545843837414097</v>
      </c>
      <c r="AT149" s="100">
        <f t="shared" si="177"/>
        <v>0</v>
      </c>
      <c r="AU149" s="100">
        <f t="shared" si="178"/>
        <v>0</v>
      </c>
      <c r="AV149" s="100">
        <f t="shared" si="179"/>
        <v>0</v>
      </c>
      <c r="AW149" s="100">
        <f t="shared" si="180"/>
        <v>0</v>
      </c>
      <c r="AX149">
        <f t="shared" si="181"/>
        <v>176</v>
      </c>
      <c r="AY149" s="98">
        <f t="shared" si="182"/>
        <v>0</v>
      </c>
      <c r="AZ149" s="98">
        <f t="shared" si="183"/>
        <v>0</v>
      </c>
      <c r="BA149" s="98">
        <f t="shared" si="146"/>
        <v>0</v>
      </c>
      <c r="BB149" s="98">
        <f t="shared" si="184"/>
        <v>0</v>
      </c>
      <c r="BC149" s="98">
        <f t="shared" si="147"/>
        <v>0</v>
      </c>
      <c r="BD149" s="98">
        <f t="shared" si="148"/>
        <v>0</v>
      </c>
      <c r="BE149" s="98">
        <f t="shared" si="149"/>
        <v>1070.7515586771897</v>
      </c>
      <c r="BF149" s="98">
        <f t="shared" si="185"/>
        <v>4230.9677089570469</v>
      </c>
      <c r="BG149" s="98">
        <f t="shared" si="186"/>
        <v>0</v>
      </c>
      <c r="BH149" s="98">
        <f t="shared" si="150"/>
        <v>749.52609107403271</v>
      </c>
      <c r="BI149" s="98">
        <f t="shared" si="151"/>
        <v>0</v>
      </c>
      <c r="BJ149" s="98">
        <f t="shared" si="152"/>
        <v>0</v>
      </c>
      <c r="BK149" s="98">
        <f t="shared" si="153"/>
        <v>0</v>
      </c>
      <c r="BL149" s="98">
        <f t="shared" si="187"/>
        <v>0</v>
      </c>
      <c r="BM149" s="98">
        <f t="shared" si="154"/>
        <v>0</v>
      </c>
      <c r="BN149" s="98">
        <f t="shared" si="155"/>
        <v>149.90521821480655</v>
      </c>
      <c r="BO149" s="98">
        <f t="shared" si="188"/>
        <v>0</v>
      </c>
      <c r="BP149" s="98">
        <f t="shared" si="156"/>
        <v>0</v>
      </c>
      <c r="BQ149" s="98">
        <f t="shared" si="189"/>
        <v>0</v>
      </c>
      <c r="BR149" s="98">
        <f t="shared" si="157"/>
        <v>0</v>
      </c>
    </row>
    <row r="150" spans="1:70" x14ac:dyDescent="0.25">
      <c r="A150" t="s">
        <v>74</v>
      </c>
      <c r="B150" t="s">
        <v>10</v>
      </c>
      <c r="C150">
        <v>2025</v>
      </c>
      <c r="D150" s="98">
        <f>INDEX('Reference Sheet'!$G$9:$J$100, MATCH(A150,'Reference Sheet'!$F$9:$F$100,0), MATCH(C150,'Reference Sheet'!$G$8:$J$8,0))/2080</f>
        <v>28.77403846153846</v>
      </c>
      <c r="E150" s="99">
        <f>VLOOKUP(C150,'Reference Sheet'!$A$2:$B$5,2)</f>
        <v>0.22450000000000001</v>
      </c>
      <c r="F150" s="98">
        <f t="shared" si="159"/>
        <v>35.233810096153839</v>
      </c>
      <c r="G150" s="98"/>
      <c r="H150" s="98"/>
      <c r="I150" s="32"/>
      <c r="J150" s="32"/>
      <c r="K150" s="32"/>
      <c r="L150" s="32"/>
      <c r="M150" s="32">
        <v>50</v>
      </c>
      <c r="N150" s="32">
        <v>197.57</v>
      </c>
      <c r="O150" s="32"/>
      <c r="P150" s="32">
        <v>35</v>
      </c>
      <c r="Q150" s="32"/>
      <c r="R150" s="32"/>
      <c r="S150" s="32"/>
      <c r="T150" s="32"/>
      <c r="U150" s="32"/>
      <c r="V150" s="32"/>
      <c r="W150" s="32"/>
      <c r="X150" s="32"/>
      <c r="Y150" s="32"/>
      <c r="Z150" s="32"/>
      <c r="AA150" s="98">
        <f t="shared" si="158"/>
        <v>282.57</v>
      </c>
      <c r="AB150" s="98">
        <f>IF(OR(B150="",C150=""),"",SUMIFS('Reference Sheet'!$D$9:$D$42,'Reference Sheet'!$A$9:$A$42,C150,'Reference Sheet'!$B$9:$B$42,B150))</f>
        <v>176</v>
      </c>
      <c r="AC150" s="98">
        <f t="shared" si="160"/>
        <v>-106.57</v>
      </c>
      <c r="AD150" s="100">
        <f t="shared" si="161"/>
        <v>0</v>
      </c>
      <c r="AE150" s="100">
        <f t="shared" si="162"/>
        <v>0</v>
      </c>
      <c r="AF150" s="100">
        <f t="shared" si="163"/>
        <v>0</v>
      </c>
      <c r="AG150" s="100">
        <f t="shared" si="164"/>
        <v>0</v>
      </c>
      <c r="AH150" s="100">
        <f t="shared" si="165"/>
        <v>0</v>
      </c>
      <c r="AI150" s="100">
        <f t="shared" si="166"/>
        <v>0</v>
      </c>
      <c r="AJ150" s="100">
        <f t="shared" si="167"/>
        <v>31.142725696287645</v>
      </c>
      <c r="AK150" s="100">
        <f t="shared" si="208"/>
        <v>123.057366316311</v>
      </c>
      <c r="AL150" s="100">
        <f t="shared" si="208"/>
        <v>0</v>
      </c>
      <c r="AM150" s="100">
        <f t="shared" si="170"/>
        <v>21.799907987401355</v>
      </c>
      <c r="AN150" s="100">
        <f t="shared" si="171"/>
        <v>0</v>
      </c>
      <c r="AO150" s="100">
        <f t="shared" si="172"/>
        <v>0</v>
      </c>
      <c r="AP150" s="100">
        <f t="shared" si="173"/>
        <v>0</v>
      </c>
      <c r="AQ150" s="100">
        <f t="shared" si="174"/>
        <v>0</v>
      </c>
      <c r="AR150" s="100">
        <f t="shared" si="175"/>
        <v>0</v>
      </c>
      <c r="AS150" s="100">
        <f t="shared" si="176"/>
        <v>0</v>
      </c>
      <c r="AT150" s="100">
        <f t="shared" si="177"/>
        <v>0</v>
      </c>
      <c r="AU150" s="100">
        <f t="shared" si="178"/>
        <v>0</v>
      </c>
      <c r="AV150" s="100">
        <f t="shared" si="179"/>
        <v>0</v>
      </c>
      <c r="AW150" s="100">
        <f t="shared" si="180"/>
        <v>0</v>
      </c>
      <c r="AX150">
        <f t="shared" si="181"/>
        <v>176</v>
      </c>
      <c r="AY150" s="98">
        <f t="shared" si="182"/>
        <v>0</v>
      </c>
      <c r="AZ150" s="98">
        <f t="shared" si="183"/>
        <v>0</v>
      </c>
      <c r="BA150" s="98">
        <f t="shared" si="146"/>
        <v>0</v>
      </c>
      <c r="BB150" s="98">
        <f t="shared" si="184"/>
        <v>0</v>
      </c>
      <c r="BC150" s="98">
        <f t="shared" si="147"/>
        <v>0</v>
      </c>
      <c r="BD150" s="98">
        <f t="shared" si="148"/>
        <v>0</v>
      </c>
      <c r="BE150" s="98">
        <f t="shared" si="149"/>
        <v>1097.2768830596092</v>
      </c>
      <c r="BF150" s="98">
        <f t="shared" si="185"/>
        <v>4335.7798757217397</v>
      </c>
      <c r="BG150" s="98">
        <f t="shared" si="186"/>
        <v>0</v>
      </c>
      <c r="BH150" s="98">
        <f t="shared" si="150"/>
        <v>768.09381814172662</v>
      </c>
      <c r="BI150" s="98">
        <f t="shared" si="151"/>
        <v>0</v>
      </c>
      <c r="BJ150" s="98">
        <f t="shared" si="152"/>
        <v>0</v>
      </c>
      <c r="BK150" s="98">
        <f t="shared" si="153"/>
        <v>0</v>
      </c>
      <c r="BL150" s="98">
        <f t="shared" si="187"/>
        <v>0</v>
      </c>
      <c r="BM150" s="98">
        <f t="shared" si="154"/>
        <v>0</v>
      </c>
      <c r="BN150" s="98">
        <f t="shared" si="155"/>
        <v>0</v>
      </c>
      <c r="BO150" s="98">
        <f t="shared" si="188"/>
        <v>0</v>
      </c>
      <c r="BP150" s="98">
        <f t="shared" si="156"/>
        <v>0</v>
      </c>
      <c r="BQ150" s="98">
        <f t="shared" si="189"/>
        <v>0</v>
      </c>
      <c r="BR150" s="98">
        <f t="shared" si="157"/>
        <v>0</v>
      </c>
    </row>
    <row r="151" spans="1:70" x14ac:dyDescent="0.25">
      <c r="A151" t="s">
        <v>74</v>
      </c>
      <c r="B151" t="s">
        <v>11</v>
      </c>
      <c r="C151">
        <v>2025</v>
      </c>
      <c r="D151" s="98">
        <f>INDEX('Reference Sheet'!$G$9:$J$100, MATCH(A151,'Reference Sheet'!$F$9:$F$100,0), MATCH(C151,'Reference Sheet'!$G$8:$J$8,0))/2080</f>
        <v>28.77403846153846</v>
      </c>
      <c r="E151" s="99">
        <f>VLOOKUP(C151,'Reference Sheet'!$A$2:$B$5,2)</f>
        <v>0.22450000000000001</v>
      </c>
      <c r="F151" s="98">
        <f t="shared" ref="F151:F152" si="209">D151*(1+E151)</f>
        <v>35.233810096153839</v>
      </c>
      <c r="G151" s="98"/>
      <c r="H151" s="98"/>
      <c r="I151" s="32"/>
      <c r="J151" s="32"/>
      <c r="K151" s="32"/>
      <c r="L151" s="32"/>
      <c r="M151" s="32"/>
      <c r="N151" s="32">
        <v>197.57</v>
      </c>
      <c r="O151" s="32"/>
      <c r="P151" s="32">
        <v>35</v>
      </c>
      <c r="Q151" s="32"/>
      <c r="R151" s="32"/>
      <c r="S151" s="32"/>
      <c r="T151" s="32"/>
      <c r="U151" s="32"/>
      <c r="V151" s="32">
        <v>13</v>
      </c>
      <c r="W151" s="32"/>
      <c r="X151" s="32"/>
      <c r="Y151" s="32"/>
      <c r="Z151" s="32"/>
      <c r="AA151" s="98">
        <f t="shared" si="158"/>
        <v>245.57</v>
      </c>
      <c r="AB151" s="98">
        <f>IF(OR(B151="",C151=""),"",SUMIFS('Reference Sheet'!$D$9:$D$42,'Reference Sheet'!$A$9:$A$42,C151,'Reference Sheet'!$B$9:$B$42,B151))</f>
        <v>168</v>
      </c>
      <c r="AC151" s="98">
        <f t="shared" ref="AC151:AC152" si="210">AB151-AA151</f>
        <v>-77.569999999999993</v>
      </c>
      <c r="AD151" s="100">
        <f t="shared" si="161"/>
        <v>0</v>
      </c>
      <c r="AE151" s="100">
        <f t="shared" si="162"/>
        <v>0</v>
      </c>
      <c r="AF151" s="100">
        <f t="shared" si="163"/>
        <v>0</v>
      </c>
      <c r="AG151" s="100">
        <f t="shared" si="164"/>
        <v>0</v>
      </c>
      <c r="AH151" s="100">
        <f t="shared" si="165"/>
        <v>0</v>
      </c>
      <c r="AI151" s="100">
        <f t="shared" si="166"/>
        <v>0</v>
      </c>
      <c r="AJ151" s="100">
        <f t="shared" si="167"/>
        <v>0</v>
      </c>
      <c r="AK151" s="100">
        <f t="shared" si="208"/>
        <v>135.1621126359083</v>
      </c>
      <c r="AL151" s="100">
        <f t="shared" si="208"/>
        <v>0</v>
      </c>
      <c r="AM151" s="100">
        <f t="shared" si="170"/>
        <v>23.944292869650202</v>
      </c>
      <c r="AN151" s="100">
        <f t="shared" si="171"/>
        <v>0</v>
      </c>
      <c r="AO151" s="100">
        <f t="shared" si="172"/>
        <v>0</v>
      </c>
      <c r="AP151" s="100">
        <f t="shared" si="173"/>
        <v>0</v>
      </c>
      <c r="AQ151" s="100">
        <f t="shared" si="174"/>
        <v>0</v>
      </c>
      <c r="AR151" s="100">
        <f t="shared" si="175"/>
        <v>0</v>
      </c>
      <c r="AS151" s="100">
        <f t="shared" si="176"/>
        <v>8.8935944944415031</v>
      </c>
      <c r="AT151" s="100">
        <f t="shared" si="177"/>
        <v>0</v>
      </c>
      <c r="AU151" s="100">
        <f t="shared" ref="AU151:AU152" si="211">(X151/$AA151)*$AB151</f>
        <v>0</v>
      </c>
      <c r="AV151" s="100">
        <f t="shared" si="179"/>
        <v>0</v>
      </c>
      <c r="AW151" s="100">
        <f t="shared" ref="AW151:AW152" si="212">(Z151/$AA151)*$AB151</f>
        <v>0</v>
      </c>
      <c r="AX151">
        <f t="shared" ref="AX151:AX152" si="213">SUM(AF151:AW151)</f>
        <v>168.00000000000003</v>
      </c>
      <c r="AY151" s="98">
        <f t="shared" si="182"/>
        <v>0</v>
      </c>
      <c r="AZ151" s="98">
        <f t="shared" si="183"/>
        <v>0</v>
      </c>
      <c r="BA151" s="98">
        <f t="shared" ref="BA151:BA152" si="214">$F151*AF151</f>
        <v>0</v>
      </c>
      <c r="BB151" s="98">
        <f t="shared" si="184"/>
        <v>0</v>
      </c>
      <c r="BC151" s="98">
        <f t="shared" ref="BC151:BC152" si="215">$F151*AH151</f>
        <v>0</v>
      </c>
      <c r="BD151" s="98">
        <f t="shared" ref="BD151:BD152" si="216">$F151*AI151</f>
        <v>0</v>
      </c>
      <c r="BE151" s="98">
        <f t="shared" ref="BE151:BE152" si="217">$F151*AJ151</f>
        <v>0</v>
      </c>
      <c r="BF151" s="98">
        <f t="shared" si="185"/>
        <v>4762.2762088085483</v>
      </c>
      <c r="BG151" s="98">
        <f t="shared" si="186"/>
        <v>0</v>
      </c>
      <c r="BH151" s="98">
        <f t="shared" ref="BH151:BH152" si="218">$F151*AM151</f>
        <v>843.64866785594563</v>
      </c>
      <c r="BI151" s="98">
        <f t="shared" ref="BI151:BI152" si="219">$F151*AN151</f>
        <v>0</v>
      </c>
      <c r="BJ151" s="98">
        <f t="shared" ref="BJ151:BJ152" si="220">$F151*AO151</f>
        <v>0</v>
      </c>
      <c r="BK151" s="98">
        <f t="shared" ref="BK151:BK152" si="221">$F151*AP151</f>
        <v>0</v>
      </c>
      <c r="BL151" s="98">
        <f t="shared" si="187"/>
        <v>0</v>
      </c>
      <c r="BM151" s="98">
        <f t="shared" ref="BM151:BM152" si="222">$F151*AR151</f>
        <v>0</v>
      </c>
      <c r="BN151" s="98">
        <f t="shared" ref="BN151:BN152" si="223">$F151*AS151</f>
        <v>313.35521948935121</v>
      </c>
      <c r="BO151" s="98">
        <f t="shared" si="188"/>
        <v>0</v>
      </c>
      <c r="BP151" s="98">
        <f t="shared" ref="BP151:BP152" si="224">$F151*AU151</f>
        <v>0</v>
      </c>
      <c r="BQ151" s="98">
        <f t="shared" si="189"/>
        <v>0</v>
      </c>
      <c r="BR151" s="98">
        <f t="shared" ref="BR151:BR152" si="225">$F151*AW151</f>
        <v>0</v>
      </c>
    </row>
    <row r="152" spans="1:70" x14ac:dyDescent="0.25">
      <c r="A152" t="s">
        <v>74</v>
      </c>
      <c r="B152" t="s">
        <v>12</v>
      </c>
      <c r="C152">
        <v>2025</v>
      </c>
      <c r="D152" s="98">
        <f>INDEX('Reference Sheet'!$G$9:$J$100, MATCH(A152,'Reference Sheet'!$F$9:$F$100,0), MATCH(C152,'Reference Sheet'!$G$8:$J$8,0))/2080</f>
        <v>28.77403846153846</v>
      </c>
      <c r="E152" s="99">
        <f>VLOOKUP(C152,'Reference Sheet'!$A$2:$B$5,2)</f>
        <v>0.22450000000000001</v>
      </c>
      <c r="F152" s="98">
        <f t="shared" si="209"/>
        <v>35.233810096153839</v>
      </c>
      <c r="G152" s="98"/>
      <c r="H152" s="98"/>
      <c r="I152" s="32"/>
      <c r="J152" s="32"/>
      <c r="K152" s="32"/>
      <c r="L152" s="32"/>
      <c r="M152" s="32"/>
      <c r="N152" s="32">
        <v>197.57</v>
      </c>
      <c r="O152" s="32"/>
      <c r="P152" s="32">
        <v>35</v>
      </c>
      <c r="Q152" s="32"/>
      <c r="R152" s="32"/>
      <c r="S152" s="32"/>
      <c r="T152" s="32"/>
      <c r="U152" s="32"/>
      <c r="V152" s="32">
        <v>4</v>
      </c>
      <c r="W152" s="32"/>
      <c r="X152" s="32"/>
      <c r="Y152" s="32"/>
      <c r="Z152" s="32"/>
      <c r="AA152" s="98">
        <f t="shared" si="158"/>
        <v>236.57</v>
      </c>
      <c r="AB152" s="98">
        <f>IF(OR(B152="",C152=""),"",SUMIFS('Reference Sheet'!$D$9:$D$42,'Reference Sheet'!$A$9:$A$42,C152,'Reference Sheet'!$B$9:$B$42,B152))</f>
        <v>184</v>
      </c>
      <c r="AC152" s="98">
        <f t="shared" si="210"/>
        <v>-52.569999999999993</v>
      </c>
      <c r="AD152" s="100">
        <f t="shared" si="161"/>
        <v>0</v>
      </c>
      <c r="AE152" s="100">
        <f t="shared" si="162"/>
        <v>0</v>
      </c>
      <c r="AF152" s="100">
        <f t="shared" si="163"/>
        <v>0</v>
      </c>
      <c r="AG152" s="100">
        <f t="shared" si="164"/>
        <v>0</v>
      </c>
      <c r="AH152" s="100">
        <f t="shared" si="165"/>
        <v>0</v>
      </c>
      <c r="AI152" s="100">
        <f t="shared" si="166"/>
        <v>0</v>
      </c>
      <c r="AJ152" s="100">
        <f t="shared" si="167"/>
        <v>0</v>
      </c>
      <c r="AK152" s="100">
        <f t="shared" si="208"/>
        <v>153.6664834932578</v>
      </c>
      <c r="AL152" s="100">
        <f t="shared" si="208"/>
        <v>0</v>
      </c>
      <c r="AM152" s="100">
        <f t="shared" si="170"/>
        <v>27.222386608614787</v>
      </c>
      <c r="AN152" s="100">
        <f t="shared" si="171"/>
        <v>0</v>
      </c>
      <c r="AO152" s="100">
        <f t="shared" si="172"/>
        <v>0</v>
      </c>
      <c r="AP152" s="100">
        <f t="shared" si="173"/>
        <v>0</v>
      </c>
      <c r="AQ152" s="100">
        <f t="shared" si="174"/>
        <v>0</v>
      </c>
      <c r="AR152" s="100">
        <f t="shared" si="175"/>
        <v>0</v>
      </c>
      <c r="AS152" s="100">
        <f t="shared" si="176"/>
        <v>3.1111298981274045</v>
      </c>
      <c r="AT152" s="100">
        <f t="shared" si="177"/>
        <v>0</v>
      </c>
      <c r="AU152" s="100">
        <f t="shared" si="211"/>
        <v>0</v>
      </c>
      <c r="AV152" s="100">
        <f t="shared" si="179"/>
        <v>0</v>
      </c>
      <c r="AW152" s="100">
        <f t="shared" si="212"/>
        <v>0</v>
      </c>
      <c r="AX152">
        <f t="shared" si="213"/>
        <v>184</v>
      </c>
      <c r="AY152" s="98">
        <f t="shared" si="182"/>
        <v>0</v>
      </c>
      <c r="AZ152" s="98">
        <f t="shared" si="183"/>
        <v>0</v>
      </c>
      <c r="BA152" s="98">
        <f t="shared" si="214"/>
        <v>0</v>
      </c>
      <c r="BB152" s="98">
        <f t="shared" si="184"/>
        <v>0</v>
      </c>
      <c r="BC152" s="98">
        <f t="shared" si="215"/>
        <v>0</v>
      </c>
      <c r="BD152" s="98">
        <f t="shared" si="216"/>
        <v>0</v>
      </c>
      <c r="BE152" s="98">
        <f t="shared" si="217"/>
        <v>0</v>
      </c>
      <c r="BF152" s="98">
        <f t="shared" si="185"/>
        <v>5414.2556975452035</v>
      </c>
      <c r="BG152" s="98">
        <f t="shared" si="186"/>
        <v>0</v>
      </c>
      <c r="BH152" s="98">
        <f t="shared" si="218"/>
        <v>959.14840013201479</v>
      </c>
      <c r="BI152" s="98">
        <f t="shared" si="219"/>
        <v>0</v>
      </c>
      <c r="BJ152" s="98">
        <f t="shared" si="220"/>
        <v>0</v>
      </c>
      <c r="BK152" s="98">
        <f t="shared" si="221"/>
        <v>0</v>
      </c>
      <c r="BL152" s="98">
        <f t="shared" si="187"/>
        <v>0</v>
      </c>
      <c r="BM152" s="98">
        <f t="shared" si="222"/>
        <v>0</v>
      </c>
      <c r="BN152" s="98">
        <f t="shared" si="223"/>
        <v>109.61696001508741</v>
      </c>
      <c r="BO152" s="98">
        <f t="shared" si="188"/>
        <v>0</v>
      </c>
      <c r="BP152" s="98">
        <f t="shared" si="224"/>
        <v>0</v>
      </c>
      <c r="BQ152" s="98">
        <f t="shared" si="189"/>
        <v>0</v>
      </c>
      <c r="BR152" s="98">
        <f t="shared" si="225"/>
        <v>0</v>
      </c>
    </row>
    <row r="153" spans="1:70" x14ac:dyDescent="0.25">
      <c r="A153" t="s">
        <v>56</v>
      </c>
      <c r="B153" t="s">
        <v>17</v>
      </c>
      <c r="C153">
        <v>2023</v>
      </c>
      <c r="D153" s="98">
        <f>INDEX('Reference Sheet'!$G$9:$J$100, MATCH(A153,'Reference Sheet'!$F$9:$F$100,0), MATCH(C153,'Reference Sheet'!$G$8:$J$8,0))/2080</f>
        <v>33.718557692307698</v>
      </c>
      <c r="E153" s="99">
        <f>VLOOKUP(C153,'Reference Sheet'!$A$2:$B$5,2)</f>
        <v>0.21360000000000001</v>
      </c>
      <c r="F153" s="98">
        <f t="shared" si="159"/>
        <v>40.920841615384624</v>
      </c>
      <c r="G153" s="98"/>
      <c r="H153" s="98"/>
      <c r="I153" s="32"/>
      <c r="J153" s="32"/>
      <c r="K153" s="32"/>
      <c r="L153" s="32"/>
      <c r="M153" s="32"/>
      <c r="N153" s="32"/>
      <c r="O153" s="32"/>
      <c r="P153" s="32"/>
      <c r="Q153" s="32">
        <v>107</v>
      </c>
      <c r="R153" s="32">
        <v>61</v>
      </c>
      <c r="S153" s="32"/>
      <c r="T153" s="32"/>
      <c r="U153" s="32"/>
      <c r="V153" s="32"/>
      <c r="W153" s="32"/>
      <c r="X153" s="32"/>
      <c r="Y153" s="32"/>
      <c r="Z153" s="32"/>
      <c r="AA153" s="98">
        <f t="shared" si="158"/>
        <v>168</v>
      </c>
      <c r="AB153" s="98">
        <f>IF(OR(B153="",C153=""),"",SUMIFS('Reference Sheet'!$D$9:$D$42,'Reference Sheet'!$A$9:$A$42,C153,'Reference Sheet'!$B$9:$B$42,B153))</f>
        <v>168</v>
      </c>
      <c r="AC153" s="98">
        <f t="shared" si="160"/>
        <v>0</v>
      </c>
      <c r="AD153" s="100">
        <f t="shared" si="161"/>
        <v>0</v>
      </c>
      <c r="AE153" s="100">
        <f t="shared" si="162"/>
        <v>0</v>
      </c>
      <c r="AF153" s="100">
        <f t="shared" si="163"/>
        <v>0</v>
      </c>
      <c r="AG153" s="100">
        <f t="shared" si="164"/>
        <v>0</v>
      </c>
      <c r="AH153" s="100">
        <f t="shared" si="165"/>
        <v>0</v>
      </c>
      <c r="AI153" s="100">
        <f t="shared" si="166"/>
        <v>0</v>
      </c>
      <c r="AJ153" s="100">
        <f t="shared" si="167"/>
        <v>0</v>
      </c>
      <c r="AK153" s="100">
        <f t="shared" si="168"/>
        <v>0</v>
      </c>
      <c r="AL153" s="100">
        <f t="shared" si="169"/>
        <v>0</v>
      </c>
      <c r="AM153" s="100">
        <f t="shared" si="170"/>
        <v>0</v>
      </c>
      <c r="AN153" s="100">
        <f t="shared" si="171"/>
        <v>107</v>
      </c>
      <c r="AO153" s="100">
        <f t="shared" si="172"/>
        <v>61</v>
      </c>
      <c r="AP153" s="100">
        <f t="shared" si="173"/>
        <v>0</v>
      </c>
      <c r="AQ153" s="100">
        <f t="shared" si="174"/>
        <v>0</v>
      </c>
      <c r="AR153" s="100">
        <f t="shared" si="175"/>
        <v>0</v>
      </c>
      <c r="AS153" s="100">
        <f t="shared" si="176"/>
        <v>0</v>
      </c>
      <c r="AT153" s="100">
        <f t="shared" si="177"/>
        <v>0</v>
      </c>
      <c r="AU153" s="100">
        <f t="shared" si="178"/>
        <v>0</v>
      </c>
      <c r="AV153" s="100">
        <f t="shared" si="179"/>
        <v>0</v>
      </c>
      <c r="AW153" s="100">
        <f t="shared" si="180"/>
        <v>0</v>
      </c>
      <c r="AX153">
        <f t="shared" si="181"/>
        <v>168</v>
      </c>
      <c r="AY153" s="98">
        <f t="shared" si="182"/>
        <v>0</v>
      </c>
      <c r="AZ153" s="98">
        <f t="shared" si="183"/>
        <v>0</v>
      </c>
      <c r="BA153" s="98">
        <f t="shared" si="146"/>
        <v>0</v>
      </c>
      <c r="BB153" s="98">
        <f t="shared" si="184"/>
        <v>0</v>
      </c>
      <c r="BC153" s="98">
        <f t="shared" si="147"/>
        <v>0</v>
      </c>
      <c r="BD153" s="98">
        <f t="shared" si="148"/>
        <v>0</v>
      </c>
      <c r="BE153" s="98">
        <f t="shared" si="149"/>
        <v>0</v>
      </c>
      <c r="BF153" s="98">
        <f t="shared" si="185"/>
        <v>0</v>
      </c>
      <c r="BG153" s="98">
        <f t="shared" si="186"/>
        <v>0</v>
      </c>
      <c r="BH153" s="98">
        <f t="shared" si="150"/>
        <v>0</v>
      </c>
      <c r="BI153" s="98">
        <f t="shared" si="151"/>
        <v>4378.5300528461548</v>
      </c>
      <c r="BJ153" s="98">
        <f t="shared" si="152"/>
        <v>2496.1713385384619</v>
      </c>
      <c r="BK153" s="98">
        <f t="shared" si="153"/>
        <v>0</v>
      </c>
      <c r="BL153" s="98">
        <f t="shared" si="187"/>
        <v>0</v>
      </c>
      <c r="BM153" s="98">
        <f t="shared" si="154"/>
        <v>0</v>
      </c>
      <c r="BN153" s="98">
        <f t="shared" si="155"/>
        <v>0</v>
      </c>
      <c r="BO153" s="98">
        <f t="shared" si="188"/>
        <v>0</v>
      </c>
      <c r="BP153" s="98">
        <f t="shared" si="156"/>
        <v>0</v>
      </c>
      <c r="BQ153" s="98">
        <f t="shared" si="189"/>
        <v>0</v>
      </c>
      <c r="BR153" s="98">
        <f t="shared" si="157"/>
        <v>0</v>
      </c>
    </row>
    <row r="154" spans="1:70" x14ac:dyDescent="0.25">
      <c r="A154" t="s">
        <v>56</v>
      </c>
      <c r="B154" t="s">
        <v>15</v>
      </c>
      <c r="C154">
        <v>2023</v>
      </c>
      <c r="D154" s="98">
        <f>INDEX('Reference Sheet'!$G$9:$J$100, MATCH(A154,'Reference Sheet'!$F$9:$F$100,0), MATCH(C154,'Reference Sheet'!$G$8:$J$8,0))/2080</f>
        <v>33.718557692307698</v>
      </c>
      <c r="E154" s="99">
        <f>VLOOKUP(C154,'Reference Sheet'!$A$2:$B$5,2)</f>
        <v>0.21360000000000001</v>
      </c>
      <c r="F154" s="98">
        <f t="shared" si="159"/>
        <v>40.920841615384624</v>
      </c>
      <c r="G154" s="98"/>
      <c r="H154" s="98"/>
      <c r="I154" s="32"/>
      <c r="J154" s="32"/>
      <c r="K154" s="32"/>
      <c r="L154" s="32"/>
      <c r="M154" s="32"/>
      <c r="N154" s="32"/>
      <c r="O154" s="32"/>
      <c r="P154" s="32"/>
      <c r="Q154" s="32">
        <v>110</v>
      </c>
      <c r="R154" s="32">
        <v>66</v>
      </c>
      <c r="S154" s="32"/>
      <c r="T154" s="32"/>
      <c r="U154" s="32"/>
      <c r="V154" s="32"/>
      <c r="W154" s="32"/>
      <c r="X154" s="32"/>
      <c r="Y154" s="32"/>
      <c r="Z154" s="32"/>
      <c r="AA154" s="98">
        <f t="shared" si="158"/>
        <v>176</v>
      </c>
      <c r="AB154" s="98">
        <f>IF(OR(B154="",C154=""),"",SUMIFS('Reference Sheet'!$D$9:$D$42,'Reference Sheet'!$A$9:$A$42,C154,'Reference Sheet'!$B$9:$B$42,B154))</f>
        <v>176</v>
      </c>
      <c r="AC154" s="98">
        <f t="shared" si="160"/>
        <v>0</v>
      </c>
      <c r="AD154" s="100">
        <f t="shared" si="161"/>
        <v>0</v>
      </c>
      <c r="AE154" s="100">
        <f t="shared" si="162"/>
        <v>0</v>
      </c>
      <c r="AF154" s="100">
        <f t="shared" si="163"/>
        <v>0</v>
      </c>
      <c r="AG154" s="100">
        <f t="shared" si="164"/>
        <v>0</v>
      </c>
      <c r="AH154" s="100">
        <f t="shared" si="165"/>
        <v>0</v>
      </c>
      <c r="AI154" s="100">
        <f t="shared" si="166"/>
        <v>0</v>
      </c>
      <c r="AJ154" s="100">
        <f t="shared" si="167"/>
        <v>0</v>
      </c>
      <c r="AK154" s="100">
        <f t="shared" si="168"/>
        <v>0</v>
      </c>
      <c r="AL154" s="100">
        <f t="shared" si="169"/>
        <v>0</v>
      </c>
      <c r="AM154" s="100">
        <f t="shared" si="170"/>
        <v>0</v>
      </c>
      <c r="AN154" s="100">
        <f t="shared" si="171"/>
        <v>110</v>
      </c>
      <c r="AO154" s="100">
        <f t="shared" si="172"/>
        <v>66</v>
      </c>
      <c r="AP154" s="100">
        <f t="shared" si="173"/>
        <v>0</v>
      </c>
      <c r="AQ154" s="100">
        <f t="shared" si="174"/>
        <v>0</v>
      </c>
      <c r="AR154" s="100">
        <f t="shared" si="175"/>
        <v>0</v>
      </c>
      <c r="AS154" s="100">
        <f t="shared" si="176"/>
        <v>0</v>
      </c>
      <c r="AT154" s="100">
        <f t="shared" si="177"/>
        <v>0</v>
      </c>
      <c r="AU154" s="100">
        <f t="shared" si="178"/>
        <v>0</v>
      </c>
      <c r="AV154" s="100">
        <f t="shared" si="179"/>
        <v>0</v>
      </c>
      <c r="AW154" s="100">
        <f t="shared" si="180"/>
        <v>0</v>
      </c>
      <c r="AX154">
        <f t="shared" si="181"/>
        <v>176</v>
      </c>
      <c r="AY154" s="98">
        <f t="shared" si="182"/>
        <v>0</v>
      </c>
      <c r="AZ154" s="98">
        <f t="shared" si="183"/>
        <v>0</v>
      </c>
      <c r="BA154" s="98">
        <f t="shared" si="146"/>
        <v>0</v>
      </c>
      <c r="BB154" s="98">
        <f t="shared" si="184"/>
        <v>0</v>
      </c>
      <c r="BC154" s="98">
        <f t="shared" si="147"/>
        <v>0</v>
      </c>
      <c r="BD154" s="98">
        <f t="shared" si="148"/>
        <v>0</v>
      </c>
      <c r="BE154" s="98">
        <f t="shared" si="149"/>
        <v>0</v>
      </c>
      <c r="BF154" s="98">
        <f t="shared" si="185"/>
        <v>0</v>
      </c>
      <c r="BG154" s="98">
        <f t="shared" si="186"/>
        <v>0</v>
      </c>
      <c r="BH154" s="98">
        <f t="shared" si="150"/>
        <v>0</v>
      </c>
      <c r="BI154" s="98">
        <f t="shared" si="151"/>
        <v>4501.2925776923084</v>
      </c>
      <c r="BJ154" s="98">
        <f t="shared" si="152"/>
        <v>2700.7755466153853</v>
      </c>
      <c r="BK154" s="98">
        <f t="shared" si="153"/>
        <v>0</v>
      </c>
      <c r="BL154" s="98">
        <f t="shared" si="187"/>
        <v>0</v>
      </c>
      <c r="BM154" s="98">
        <f t="shared" si="154"/>
        <v>0</v>
      </c>
      <c r="BN154" s="98">
        <f t="shared" si="155"/>
        <v>0</v>
      </c>
      <c r="BO154" s="98">
        <f t="shared" si="188"/>
        <v>0</v>
      </c>
      <c r="BP154" s="98">
        <f t="shared" si="156"/>
        <v>0</v>
      </c>
      <c r="BQ154" s="98">
        <f t="shared" si="189"/>
        <v>0</v>
      </c>
      <c r="BR154" s="98">
        <f t="shared" si="157"/>
        <v>0</v>
      </c>
    </row>
    <row r="155" spans="1:70" x14ac:dyDescent="0.25">
      <c r="A155" t="s">
        <v>56</v>
      </c>
      <c r="B155" t="s">
        <v>16</v>
      </c>
      <c r="C155">
        <v>2023</v>
      </c>
      <c r="D155" s="98">
        <f>INDEX('Reference Sheet'!$G$9:$J$100, MATCH(A155,'Reference Sheet'!$F$9:$F$100,0), MATCH(C155,'Reference Sheet'!$G$8:$J$8,0))/2080</f>
        <v>33.718557692307698</v>
      </c>
      <c r="E155" s="99">
        <f>VLOOKUP(C155,'Reference Sheet'!$A$2:$B$5,2)</f>
        <v>0.21360000000000001</v>
      </c>
      <c r="F155" s="98">
        <f t="shared" si="159"/>
        <v>40.920841615384624</v>
      </c>
      <c r="G155" s="98"/>
      <c r="H155" s="98"/>
      <c r="I155" s="32"/>
      <c r="J155" s="32"/>
      <c r="K155" s="32"/>
      <c r="L155" s="32"/>
      <c r="M155" s="32"/>
      <c r="N155" s="32"/>
      <c r="O155" s="32"/>
      <c r="P155" s="32"/>
      <c r="Q155" s="32">
        <v>99</v>
      </c>
      <c r="R155" s="32">
        <v>77</v>
      </c>
      <c r="S155" s="32"/>
      <c r="T155" s="32"/>
      <c r="U155" s="32"/>
      <c r="V155" s="32"/>
      <c r="W155" s="32"/>
      <c r="X155" s="32"/>
      <c r="Y155" s="32"/>
      <c r="Z155" s="32"/>
      <c r="AA155" s="98">
        <f t="shared" si="158"/>
        <v>176</v>
      </c>
      <c r="AB155" s="98">
        <f>IF(OR(B155="",C155=""),"",SUMIFS('Reference Sheet'!$D$9:$D$42,'Reference Sheet'!$A$9:$A$42,C155,'Reference Sheet'!$B$9:$B$42,B155))</f>
        <v>176</v>
      </c>
      <c r="AC155" s="98">
        <f t="shared" si="160"/>
        <v>0</v>
      </c>
      <c r="AD155" s="100">
        <f t="shared" si="161"/>
        <v>0</v>
      </c>
      <c r="AE155" s="100">
        <f t="shared" si="162"/>
        <v>0</v>
      </c>
      <c r="AF155" s="100">
        <f t="shared" si="163"/>
        <v>0</v>
      </c>
      <c r="AG155" s="100">
        <f t="shared" si="164"/>
        <v>0</v>
      </c>
      <c r="AH155" s="100">
        <f t="shared" si="165"/>
        <v>0</v>
      </c>
      <c r="AI155" s="100">
        <f t="shared" si="166"/>
        <v>0</v>
      </c>
      <c r="AJ155" s="100">
        <f t="shared" si="167"/>
        <v>0</v>
      </c>
      <c r="AK155" s="100">
        <f t="shared" si="168"/>
        <v>0</v>
      </c>
      <c r="AL155" s="100">
        <f t="shared" si="169"/>
        <v>0</v>
      </c>
      <c r="AM155" s="100">
        <f t="shared" si="170"/>
        <v>0</v>
      </c>
      <c r="AN155" s="100">
        <f t="shared" si="171"/>
        <v>99</v>
      </c>
      <c r="AO155" s="100">
        <f t="shared" si="172"/>
        <v>77</v>
      </c>
      <c r="AP155" s="100">
        <f t="shared" si="173"/>
        <v>0</v>
      </c>
      <c r="AQ155" s="100">
        <f t="shared" si="174"/>
        <v>0</v>
      </c>
      <c r="AR155" s="100">
        <f t="shared" si="175"/>
        <v>0</v>
      </c>
      <c r="AS155" s="100">
        <f t="shared" si="176"/>
        <v>0</v>
      </c>
      <c r="AT155" s="100">
        <f t="shared" si="177"/>
        <v>0</v>
      </c>
      <c r="AU155" s="100">
        <f t="shared" si="178"/>
        <v>0</v>
      </c>
      <c r="AV155" s="100">
        <f t="shared" si="179"/>
        <v>0</v>
      </c>
      <c r="AW155" s="100">
        <f t="shared" si="180"/>
        <v>0</v>
      </c>
      <c r="AX155">
        <f t="shared" si="181"/>
        <v>176</v>
      </c>
      <c r="AY155" s="98">
        <f t="shared" si="182"/>
        <v>0</v>
      </c>
      <c r="AZ155" s="98">
        <f t="shared" si="183"/>
        <v>0</v>
      </c>
      <c r="BA155" s="98">
        <f t="shared" si="146"/>
        <v>0</v>
      </c>
      <c r="BB155" s="98">
        <f t="shared" si="184"/>
        <v>0</v>
      </c>
      <c r="BC155" s="98">
        <f t="shared" si="147"/>
        <v>0</v>
      </c>
      <c r="BD155" s="98">
        <f t="shared" si="148"/>
        <v>0</v>
      </c>
      <c r="BE155" s="98">
        <f t="shared" si="149"/>
        <v>0</v>
      </c>
      <c r="BF155" s="98">
        <f t="shared" si="185"/>
        <v>0</v>
      </c>
      <c r="BG155" s="98">
        <f t="shared" si="186"/>
        <v>0</v>
      </c>
      <c r="BH155" s="98">
        <f t="shared" si="150"/>
        <v>0</v>
      </c>
      <c r="BI155" s="98">
        <f t="shared" si="151"/>
        <v>4051.1633199230778</v>
      </c>
      <c r="BJ155" s="98">
        <f t="shared" si="152"/>
        <v>3150.904804384616</v>
      </c>
      <c r="BK155" s="98">
        <f t="shared" si="153"/>
        <v>0</v>
      </c>
      <c r="BL155" s="98">
        <f t="shared" si="187"/>
        <v>0</v>
      </c>
      <c r="BM155" s="98">
        <f t="shared" si="154"/>
        <v>0</v>
      </c>
      <c r="BN155" s="98">
        <f t="shared" si="155"/>
        <v>0</v>
      </c>
      <c r="BO155" s="98">
        <f t="shared" si="188"/>
        <v>0</v>
      </c>
      <c r="BP155" s="98">
        <f t="shared" si="156"/>
        <v>0</v>
      </c>
      <c r="BQ155" s="98">
        <f t="shared" si="189"/>
        <v>0</v>
      </c>
      <c r="BR155" s="98">
        <f t="shared" si="157"/>
        <v>0</v>
      </c>
    </row>
    <row r="156" spans="1:70" x14ac:dyDescent="0.25">
      <c r="A156" t="s">
        <v>56</v>
      </c>
      <c r="B156" t="s">
        <v>11</v>
      </c>
      <c r="C156">
        <v>2024</v>
      </c>
      <c r="D156" s="98">
        <f>INDEX('Reference Sheet'!$G$9:$J$100, MATCH(A156,'Reference Sheet'!$F$9:$F$100,0), MATCH(C156,'Reference Sheet'!$G$8:$J$8,0))/2080</f>
        <v>42.982610576923079</v>
      </c>
      <c r="E156" s="99">
        <f>VLOOKUP(C156,'Reference Sheet'!$A$2:$B$5,2)</f>
        <v>0.1913</v>
      </c>
      <c r="F156" s="98">
        <f t="shared" si="159"/>
        <v>51.205183980288467</v>
      </c>
      <c r="G156" s="98"/>
      <c r="H156" s="98"/>
      <c r="I156" s="21"/>
      <c r="J156" s="21"/>
      <c r="K156" s="21">
        <v>43</v>
      </c>
      <c r="L156" s="21"/>
      <c r="M156" s="21"/>
      <c r="N156" s="21"/>
      <c r="O156" s="21"/>
      <c r="P156" s="21"/>
      <c r="Q156" s="21">
        <v>73</v>
      </c>
      <c r="R156" s="21">
        <v>44</v>
      </c>
      <c r="S156" s="21"/>
      <c r="T156" s="21"/>
      <c r="U156" s="21"/>
      <c r="V156" s="21"/>
      <c r="W156" s="21"/>
      <c r="X156" s="21"/>
      <c r="Y156" s="21"/>
      <c r="Z156" s="21"/>
      <c r="AA156" s="98">
        <f t="shared" si="158"/>
        <v>160</v>
      </c>
      <c r="AB156" s="98">
        <f>IF(OR(B156="",C156=""),"",SUMIFS('Reference Sheet'!$D$9:$D$42,'Reference Sheet'!$A$9:$A$42,C156,'Reference Sheet'!$B$9:$B$42,B156))</f>
        <v>160</v>
      </c>
      <c r="AC156" s="98">
        <f t="shared" si="160"/>
        <v>0</v>
      </c>
      <c r="AD156" s="100">
        <f t="shared" si="161"/>
        <v>0</v>
      </c>
      <c r="AE156" s="100">
        <f t="shared" si="162"/>
        <v>0</v>
      </c>
      <c r="AF156" s="100">
        <f t="shared" si="163"/>
        <v>0</v>
      </c>
      <c r="AG156" s="100">
        <f t="shared" si="164"/>
        <v>0</v>
      </c>
      <c r="AH156" s="100">
        <f t="shared" si="165"/>
        <v>43</v>
      </c>
      <c r="AI156" s="100">
        <f t="shared" si="166"/>
        <v>0</v>
      </c>
      <c r="AJ156" s="100">
        <f t="shared" si="167"/>
        <v>0</v>
      </c>
      <c r="AK156" s="100">
        <f t="shared" si="168"/>
        <v>0</v>
      </c>
      <c r="AL156" s="100">
        <f t="shared" si="169"/>
        <v>0</v>
      </c>
      <c r="AM156" s="100">
        <f t="shared" si="170"/>
        <v>0</v>
      </c>
      <c r="AN156" s="100">
        <f t="shared" si="171"/>
        <v>73</v>
      </c>
      <c r="AO156" s="100">
        <f t="shared" si="172"/>
        <v>44</v>
      </c>
      <c r="AP156" s="100">
        <f t="shared" si="173"/>
        <v>0</v>
      </c>
      <c r="AQ156" s="100">
        <f t="shared" si="174"/>
        <v>0</v>
      </c>
      <c r="AR156" s="100">
        <f t="shared" si="175"/>
        <v>0</v>
      </c>
      <c r="AS156" s="100">
        <f t="shared" si="176"/>
        <v>0</v>
      </c>
      <c r="AT156" s="100">
        <f t="shared" si="177"/>
        <v>0</v>
      </c>
      <c r="AU156" s="100">
        <f t="shared" si="178"/>
        <v>0</v>
      </c>
      <c r="AV156" s="100">
        <f t="shared" si="179"/>
        <v>0</v>
      </c>
      <c r="AW156" s="100">
        <f t="shared" si="180"/>
        <v>0</v>
      </c>
      <c r="AX156">
        <f t="shared" si="181"/>
        <v>160</v>
      </c>
      <c r="AY156" s="98">
        <f t="shared" si="182"/>
        <v>0</v>
      </c>
      <c r="AZ156" s="98">
        <f t="shared" si="183"/>
        <v>0</v>
      </c>
      <c r="BA156" s="98">
        <f t="shared" si="146"/>
        <v>0</v>
      </c>
      <c r="BB156" s="98">
        <f t="shared" si="184"/>
        <v>0</v>
      </c>
      <c r="BC156" s="98">
        <f t="shared" si="147"/>
        <v>2201.8229111524042</v>
      </c>
      <c r="BD156" s="98">
        <f t="shared" si="148"/>
        <v>0</v>
      </c>
      <c r="BE156" s="98">
        <f t="shared" si="149"/>
        <v>0</v>
      </c>
      <c r="BF156" s="98">
        <f t="shared" si="185"/>
        <v>0</v>
      </c>
      <c r="BG156" s="98">
        <f t="shared" si="186"/>
        <v>0</v>
      </c>
      <c r="BH156" s="98">
        <f t="shared" si="150"/>
        <v>0</v>
      </c>
      <c r="BI156" s="98">
        <f t="shared" si="151"/>
        <v>3737.9784305610583</v>
      </c>
      <c r="BJ156" s="98">
        <f t="shared" si="152"/>
        <v>2253.0280951326927</v>
      </c>
      <c r="BK156" s="98">
        <f t="shared" si="153"/>
        <v>0</v>
      </c>
      <c r="BL156" s="98">
        <f t="shared" si="187"/>
        <v>0</v>
      </c>
      <c r="BM156" s="98">
        <f t="shared" si="154"/>
        <v>0</v>
      </c>
      <c r="BN156" s="98">
        <f t="shared" si="155"/>
        <v>0</v>
      </c>
      <c r="BO156" s="98">
        <f t="shared" si="188"/>
        <v>0</v>
      </c>
      <c r="BP156" s="98">
        <f t="shared" si="156"/>
        <v>0</v>
      </c>
      <c r="BQ156" s="98">
        <f t="shared" si="189"/>
        <v>0</v>
      </c>
      <c r="BR156" s="98">
        <f t="shared" si="157"/>
        <v>0</v>
      </c>
    </row>
    <row r="157" spans="1:70" x14ac:dyDescent="0.25">
      <c r="A157" t="s">
        <v>56</v>
      </c>
      <c r="B157" t="s">
        <v>7</v>
      </c>
      <c r="C157">
        <v>2024</v>
      </c>
      <c r="D157" s="98">
        <f>INDEX('Reference Sheet'!$G$9:$J$100, MATCH(A157,'Reference Sheet'!$F$9:$F$100,0), MATCH(C157,'Reference Sheet'!$G$8:$J$8,0))/2080</f>
        <v>42.982610576923079</v>
      </c>
      <c r="E157" s="99">
        <f>VLOOKUP(C157,'Reference Sheet'!$A$2:$B$5,2)</f>
        <v>0.1913</v>
      </c>
      <c r="F157" s="98">
        <f t="shared" si="159"/>
        <v>51.205183980288467</v>
      </c>
      <c r="G157" s="98"/>
      <c r="H157" s="98"/>
      <c r="I157" s="21"/>
      <c r="J157" s="21"/>
      <c r="K157" s="21"/>
      <c r="L157" s="21"/>
      <c r="M157" s="21"/>
      <c r="N157" s="21"/>
      <c r="O157" s="21"/>
      <c r="P157" s="21"/>
      <c r="Q157" s="21">
        <v>51.5</v>
      </c>
      <c r="R157" s="21">
        <v>46.5</v>
      </c>
      <c r="S157" s="21"/>
      <c r="T157" s="21"/>
      <c r="U157" s="21">
        <v>70</v>
      </c>
      <c r="V157" s="21"/>
      <c r="W157" s="21"/>
      <c r="X157" s="21"/>
      <c r="Y157" s="21"/>
      <c r="Z157" s="21"/>
      <c r="AA157" s="98">
        <f t="shared" si="158"/>
        <v>168</v>
      </c>
      <c r="AB157" s="98">
        <f>IF(OR(B157="",C157=""),"",SUMIFS('Reference Sheet'!$D$9:$D$42,'Reference Sheet'!$A$9:$A$42,C157,'Reference Sheet'!$B$9:$B$42,B157))</f>
        <v>168</v>
      </c>
      <c r="AC157" s="98">
        <f t="shared" si="160"/>
        <v>0</v>
      </c>
      <c r="AD157" s="100">
        <f t="shared" si="161"/>
        <v>0</v>
      </c>
      <c r="AE157" s="100">
        <f t="shared" si="162"/>
        <v>0</v>
      </c>
      <c r="AF157" s="100">
        <f t="shared" si="163"/>
        <v>0</v>
      </c>
      <c r="AG157" s="100">
        <f t="shared" si="164"/>
        <v>0</v>
      </c>
      <c r="AH157" s="100">
        <f t="shared" si="165"/>
        <v>0</v>
      </c>
      <c r="AI157" s="100">
        <f t="shared" si="166"/>
        <v>0</v>
      </c>
      <c r="AJ157" s="100">
        <f t="shared" si="167"/>
        <v>0</v>
      </c>
      <c r="AK157" s="100">
        <f t="shared" si="168"/>
        <v>0</v>
      </c>
      <c r="AL157" s="100">
        <f t="shared" si="169"/>
        <v>0</v>
      </c>
      <c r="AM157" s="100">
        <f t="shared" si="170"/>
        <v>0</v>
      </c>
      <c r="AN157" s="100">
        <f t="shared" si="171"/>
        <v>51.5</v>
      </c>
      <c r="AO157" s="100">
        <f t="shared" si="172"/>
        <v>46.5</v>
      </c>
      <c r="AP157" s="100">
        <f t="shared" si="173"/>
        <v>0</v>
      </c>
      <c r="AQ157" s="100">
        <f t="shared" si="174"/>
        <v>0</v>
      </c>
      <c r="AR157" s="100">
        <f t="shared" si="175"/>
        <v>70</v>
      </c>
      <c r="AS157" s="100">
        <f t="shared" si="176"/>
        <v>0</v>
      </c>
      <c r="AT157" s="100">
        <f t="shared" si="177"/>
        <v>0</v>
      </c>
      <c r="AU157" s="100">
        <f t="shared" si="178"/>
        <v>0</v>
      </c>
      <c r="AV157" s="100">
        <f t="shared" si="179"/>
        <v>0</v>
      </c>
      <c r="AW157" s="100">
        <f t="shared" si="180"/>
        <v>0</v>
      </c>
      <c r="AX157">
        <f t="shared" si="181"/>
        <v>168</v>
      </c>
      <c r="AY157" s="98">
        <f t="shared" si="182"/>
        <v>0</v>
      </c>
      <c r="AZ157" s="98">
        <f t="shared" si="183"/>
        <v>0</v>
      </c>
      <c r="BA157" s="98">
        <f t="shared" si="146"/>
        <v>0</v>
      </c>
      <c r="BB157" s="98">
        <f t="shared" si="184"/>
        <v>0</v>
      </c>
      <c r="BC157" s="98">
        <f t="shared" si="147"/>
        <v>0</v>
      </c>
      <c r="BD157" s="98">
        <f t="shared" si="148"/>
        <v>0</v>
      </c>
      <c r="BE157" s="98">
        <f t="shared" si="149"/>
        <v>0</v>
      </c>
      <c r="BF157" s="98">
        <f t="shared" si="185"/>
        <v>0</v>
      </c>
      <c r="BG157" s="98">
        <f t="shared" si="186"/>
        <v>0</v>
      </c>
      <c r="BH157" s="98">
        <f t="shared" si="150"/>
        <v>0</v>
      </c>
      <c r="BI157" s="98">
        <f t="shared" si="151"/>
        <v>2637.0669749848562</v>
      </c>
      <c r="BJ157" s="98">
        <f t="shared" si="152"/>
        <v>2381.0410550834135</v>
      </c>
      <c r="BK157" s="98">
        <f t="shared" si="153"/>
        <v>0</v>
      </c>
      <c r="BL157" s="98">
        <f t="shared" si="187"/>
        <v>0</v>
      </c>
      <c r="BM157" s="98">
        <f t="shared" si="154"/>
        <v>3584.3628786201925</v>
      </c>
      <c r="BN157" s="98">
        <f t="shared" si="155"/>
        <v>0</v>
      </c>
      <c r="BO157" s="98">
        <f t="shared" si="188"/>
        <v>0</v>
      </c>
      <c r="BP157" s="98">
        <f t="shared" si="156"/>
        <v>0</v>
      </c>
      <c r="BQ157" s="98">
        <f t="shared" si="189"/>
        <v>0</v>
      </c>
      <c r="BR157" s="98">
        <f t="shared" si="157"/>
        <v>0</v>
      </c>
    </row>
    <row r="158" spans="1:70" x14ac:dyDescent="0.25">
      <c r="A158" t="s">
        <v>56</v>
      </c>
      <c r="B158" t="s">
        <v>8</v>
      </c>
      <c r="C158">
        <v>2024</v>
      </c>
      <c r="D158" s="98">
        <f>INDEX('Reference Sheet'!$G$9:$J$100, MATCH(A158,'Reference Sheet'!$F$9:$F$100,0), MATCH(C158,'Reference Sheet'!$G$8:$J$8,0))/2080</f>
        <v>42.982610576923079</v>
      </c>
      <c r="E158" s="99">
        <f>VLOOKUP(C158,'Reference Sheet'!$A$2:$B$5,2)</f>
        <v>0.1913</v>
      </c>
      <c r="F158" s="98">
        <f t="shared" si="159"/>
        <v>51.205183980288467</v>
      </c>
      <c r="G158" s="98"/>
      <c r="H158" s="98"/>
      <c r="I158" s="21"/>
      <c r="J158" s="21"/>
      <c r="K158" s="21"/>
      <c r="L158" s="21"/>
      <c r="M158" s="21"/>
      <c r="N158" s="21"/>
      <c r="O158" s="21"/>
      <c r="P158" s="21"/>
      <c r="Q158" s="21">
        <v>27</v>
      </c>
      <c r="R158" s="21">
        <v>98</v>
      </c>
      <c r="S158" s="21"/>
      <c r="T158" s="21"/>
      <c r="U158" s="21">
        <v>43</v>
      </c>
      <c r="V158" s="21"/>
      <c r="W158" s="21"/>
      <c r="X158" s="21"/>
      <c r="Y158" s="21"/>
      <c r="Z158" s="21"/>
      <c r="AA158" s="98">
        <f t="shared" si="158"/>
        <v>168</v>
      </c>
      <c r="AB158" s="98">
        <f>IF(OR(B158="",C158=""),"",SUMIFS('Reference Sheet'!$D$9:$D$42,'Reference Sheet'!$A$9:$A$42,C158,'Reference Sheet'!$B$9:$B$42,B158))</f>
        <v>168</v>
      </c>
      <c r="AC158" s="98">
        <f t="shared" si="160"/>
        <v>0</v>
      </c>
      <c r="AD158" s="100">
        <f t="shared" si="161"/>
        <v>0</v>
      </c>
      <c r="AE158" s="100">
        <f t="shared" si="162"/>
        <v>0</v>
      </c>
      <c r="AF158" s="100">
        <f t="shared" si="163"/>
        <v>0</v>
      </c>
      <c r="AG158" s="100">
        <f t="shared" si="164"/>
        <v>0</v>
      </c>
      <c r="AH158" s="100">
        <f t="shared" si="165"/>
        <v>0</v>
      </c>
      <c r="AI158" s="100">
        <f t="shared" si="166"/>
        <v>0</v>
      </c>
      <c r="AJ158" s="100">
        <f t="shared" si="167"/>
        <v>0</v>
      </c>
      <c r="AK158" s="100">
        <f t="shared" si="168"/>
        <v>0</v>
      </c>
      <c r="AL158" s="100">
        <f t="shared" si="169"/>
        <v>0</v>
      </c>
      <c r="AM158" s="100">
        <f t="shared" si="170"/>
        <v>0</v>
      </c>
      <c r="AN158" s="100">
        <f t="shared" si="171"/>
        <v>27.000000000000004</v>
      </c>
      <c r="AO158" s="100">
        <f t="shared" si="172"/>
        <v>98</v>
      </c>
      <c r="AP158" s="100">
        <f t="shared" si="173"/>
        <v>0</v>
      </c>
      <c r="AQ158" s="100">
        <f t="shared" si="174"/>
        <v>0</v>
      </c>
      <c r="AR158" s="100">
        <f t="shared" si="175"/>
        <v>43</v>
      </c>
      <c r="AS158" s="100">
        <f t="shared" si="176"/>
        <v>0</v>
      </c>
      <c r="AT158" s="100">
        <f t="shared" si="177"/>
        <v>0</v>
      </c>
      <c r="AU158" s="100">
        <f t="shared" si="178"/>
        <v>0</v>
      </c>
      <c r="AV158" s="100">
        <f t="shared" si="179"/>
        <v>0</v>
      </c>
      <c r="AW158" s="100">
        <f t="shared" si="180"/>
        <v>0</v>
      </c>
      <c r="AX158">
        <f t="shared" si="181"/>
        <v>168</v>
      </c>
      <c r="AY158" s="98">
        <f t="shared" si="182"/>
        <v>0</v>
      </c>
      <c r="AZ158" s="98">
        <f t="shared" si="183"/>
        <v>0</v>
      </c>
      <c r="BA158" s="98">
        <f t="shared" si="146"/>
        <v>0</v>
      </c>
      <c r="BB158" s="98">
        <f t="shared" si="184"/>
        <v>0</v>
      </c>
      <c r="BC158" s="98">
        <f t="shared" si="147"/>
        <v>0</v>
      </c>
      <c r="BD158" s="98">
        <f t="shared" si="148"/>
        <v>0</v>
      </c>
      <c r="BE158" s="98">
        <f t="shared" si="149"/>
        <v>0</v>
      </c>
      <c r="BF158" s="98">
        <f t="shared" si="185"/>
        <v>0</v>
      </c>
      <c r="BG158" s="98">
        <f t="shared" si="186"/>
        <v>0</v>
      </c>
      <c r="BH158" s="98">
        <f t="shared" si="150"/>
        <v>0</v>
      </c>
      <c r="BI158" s="98">
        <f t="shared" si="151"/>
        <v>1382.5399674677888</v>
      </c>
      <c r="BJ158" s="98">
        <f t="shared" si="152"/>
        <v>5018.1080300682697</v>
      </c>
      <c r="BK158" s="98">
        <f t="shared" si="153"/>
        <v>0</v>
      </c>
      <c r="BL158" s="98">
        <f t="shared" si="187"/>
        <v>0</v>
      </c>
      <c r="BM158" s="98">
        <f t="shared" si="154"/>
        <v>2201.8229111524042</v>
      </c>
      <c r="BN158" s="98">
        <f t="shared" si="155"/>
        <v>0</v>
      </c>
      <c r="BO158" s="98">
        <f t="shared" si="188"/>
        <v>0</v>
      </c>
      <c r="BP158" s="98">
        <f t="shared" si="156"/>
        <v>0</v>
      </c>
      <c r="BQ158" s="98">
        <f t="shared" si="189"/>
        <v>0</v>
      </c>
      <c r="BR158" s="98">
        <f t="shared" si="157"/>
        <v>0</v>
      </c>
    </row>
    <row r="159" spans="1:70" x14ac:dyDescent="0.25">
      <c r="A159" t="s">
        <v>56</v>
      </c>
      <c r="B159" t="s">
        <v>14</v>
      </c>
      <c r="C159">
        <v>2024</v>
      </c>
      <c r="D159" s="98">
        <f>INDEX('Reference Sheet'!$G$9:$J$100, MATCH(A159,'Reference Sheet'!$F$9:$F$100,0), MATCH(C159,'Reference Sheet'!$G$8:$J$8,0))/2080</f>
        <v>42.982610576923079</v>
      </c>
      <c r="E159" s="99">
        <f>VLOOKUP(C159,'Reference Sheet'!$A$2:$B$5,2)</f>
        <v>0.1913</v>
      </c>
      <c r="F159" s="98">
        <f t="shared" si="159"/>
        <v>51.205183980288467</v>
      </c>
      <c r="G159" s="98"/>
      <c r="H159" s="98"/>
      <c r="I159" s="21"/>
      <c r="J159" s="21"/>
      <c r="K159" s="21">
        <v>61</v>
      </c>
      <c r="L159" s="21"/>
      <c r="M159" s="21"/>
      <c r="N159" s="21"/>
      <c r="O159" s="21"/>
      <c r="P159" s="21"/>
      <c r="Q159" s="21">
        <v>65</v>
      </c>
      <c r="R159" s="21">
        <v>42</v>
      </c>
      <c r="S159" s="21"/>
      <c r="T159" s="21"/>
      <c r="U159" s="21"/>
      <c r="V159" s="21"/>
      <c r="W159" s="21"/>
      <c r="X159" s="21"/>
      <c r="Y159" s="21"/>
      <c r="Z159" s="21"/>
      <c r="AA159" s="98">
        <f t="shared" si="158"/>
        <v>168</v>
      </c>
      <c r="AB159" s="98">
        <f>IF(OR(B159="",C159=""),"",SUMIFS('Reference Sheet'!$D$9:$D$42,'Reference Sheet'!$A$9:$A$42,C159,'Reference Sheet'!$B$9:$B$42,B159))</f>
        <v>168</v>
      </c>
      <c r="AC159" s="98">
        <f t="shared" si="160"/>
        <v>0</v>
      </c>
      <c r="AD159" s="100">
        <f t="shared" si="161"/>
        <v>0</v>
      </c>
      <c r="AE159" s="100">
        <f t="shared" si="162"/>
        <v>0</v>
      </c>
      <c r="AF159" s="100">
        <f t="shared" si="163"/>
        <v>0</v>
      </c>
      <c r="AG159" s="100">
        <f t="shared" si="164"/>
        <v>0</v>
      </c>
      <c r="AH159" s="100">
        <f t="shared" si="165"/>
        <v>61</v>
      </c>
      <c r="AI159" s="100">
        <f t="shared" si="166"/>
        <v>0</v>
      </c>
      <c r="AJ159" s="100">
        <f t="shared" si="167"/>
        <v>0</v>
      </c>
      <c r="AK159" s="100">
        <f t="shared" si="168"/>
        <v>0</v>
      </c>
      <c r="AL159" s="100">
        <f t="shared" si="169"/>
        <v>0</v>
      </c>
      <c r="AM159" s="100">
        <f t="shared" si="170"/>
        <v>0</v>
      </c>
      <c r="AN159" s="100">
        <f t="shared" si="171"/>
        <v>65</v>
      </c>
      <c r="AO159" s="100">
        <f t="shared" si="172"/>
        <v>42</v>
      </c>
      <c r="AP159" s="100">
        <f t="shared" si="173"/>
        <v>0</v>
      </c>
      <c r="AQ159" s="100">
        <f t="shared" si="174"/>
        <v>0</v>
      </c>
      <c r="AR159" s="100">
        <f t="shared" si="175"/>
        <v>0</v>
      </c>
      <c r="AS159" s="100">
        <f t="shared" si="176"/>
        <v>0</v>
      </c>
      <c r="AT159" s="100">
        <f t="shared" si="177"/>
        <v>0</v>
      </c>
      <c r="AU159" s="100">
        <f t="shared" si="178"/>
        <v>0</v>
      </c>
      <c r="AV159" s="100">
        <f t="shared" si="179"/>
        <v>0</v>
      </c>
      <c r="AW159" s="100">
        <f t="shared" si="180"/>
        <v>0</v>
      </c>
      <c r="AX159">
        <f t="shared" si="181"/>
        <v>168</v>
      </c>
      <c r="AY159" s="98">
        <f t="shared" si="182"/>
        <v>0</v>
      </c>
      <c r="AZ159" s="98">
        <f t="shared" si="183"/>
        <v>0</v>
      </c>
      <c r="BA159" s="98">
        <f t="shared" si="146"/>
        <v>0</v>
      </c>
      <c r="BB159" s="98">
        <f t="shared" si="184"/>
        <v>0</v>
      </c>
      <c r="BC159" s="98">
        <f t="shared" si="147"/>
        <v>3123.5162227975966</v>
      </c>
      <c r="BD159" s="98">
        <f t="shared" si="148"/>
        <v>0</v>
      </c>
      <c r="BE159" s="98">
        <f t="shared" si="149"/>
        <v>0</v>
      </c>
      <c r="BF159" s="98">
        <f t="shared" si="185"/>
        <v>0</v>
      </c>
      <c r="BG159" s="98">
        <f t="shared" si="186"/>
        <v>0</v>
      </c>
      <c r="BH159" s="98">
        <f t="shared" si="150"/>
        <v>0</v>
      </c>
      <c r="BI159" s="98">
        <f t="shared" si="151"/>
        <v>3328.3369587187503</v>
      </c>
      <c r="BJ159" s="98">
        <f t="shared" si="152"/>
        <v>2150.6177271721158</v>
      </c>
      <c r="BK159" s="98">
        <f t="shared" si="153"/>
        <v>0</v>
      </c>
      <c r="BL159" s="98">
        <f t="shared" si="187"/>
        <v>0</v>
      </c>
      <c r="BM159" s="98">
        <f t="shared" si="154"/>
        <v>0</v>
      </c>
      <c r="BN159" s="98">
        <f t="shared" si="155"/>
        <v>0</v>
      </c>
      <c r="BO159" s="98">
        <f t="shared" si="188"/>
        <v>0</v>
      </c>
      <c r="BP159" s="98">
        <f t="shared" si="156"/>
        <v>0</v>
      </c>
      <c r="BQ159" s="98">
        <f t="shared" si="189"/>
        <v>0</v>
      </c>
      <c r="BR159" s="98">
        <f t="shared" si="157"/>
        <v>0</v>
      </c>
    </row>
    <row r="160" spans="1:70" x14ac:dyDescent="0.25">
      <c r="A160" t="s">
        <v>56</v>
      </c>
      <c r="B160" t="s">
        <v>16</v>
      </c>
      <c r="C160">
        <v>2024</v>
      </c>
      <c r="D160" s="98">
        <f>INDEX('Reference Sheet'!$G$9:$J$100, MATCH(A160,'Reference Sheet'!$F$9:$F$100,0), MATCH(C160,'Reference Sheet'!$G$8:$J$8,0))/2080</f>
        <v>42.982610576923079</v>
      </c>
      <c r="E160" s="99">
        <f>VLOOKUP(C160,'Reference Sheet'!$A$2:$B$5,2)</f>
        <v>0.1913</v>
      </c>
      <c r="F160" s="98">
        <f t="shared" si="159"/>
        <v>51.205183980288467</v>
      </c>
      <c r="G160" s="98"/>
      <c r="H160" s="98"/>
      <c r="I160" s="21"/>
      <c r="J160" s="21"/>
      <c r="K160" s="21">
        <v>22</v>
      </c>
      <c r="L160" s="21"/>
      <c r="M160" s="21"/>
      <c r="N160" s="21"/>
      <c r="O160" s="21"/>
      <c r="P160" s="21"/>
      <c r="Q160" s="21">
        <v>86</v>
      </c>
      <c r="R160" s="21">
        <v>24</v>
      </c>
      <c r="S160" s="21"/>
      <c r="T160" s="21"/>
      <c r="U160" s="21"/>
      <c r="V160" s="21">
        <v>36</v>
      </c>
      <c r="W160" s="21"/>
      <c r="X160" s="21"/>
      <c r="Y160" s="21"/>
      <c r="Z160" s="21"/>
      <c r="AA160" s="98">
        <f t="shared" si="158"/>
        <v>168</v>
      </c>
      <c r="AB160" s="98">
        <f>IF(OR(B160="",C160=""),"",SUMIFS('Reference Sheet'!$D$9:$D$42,'Reference Sheet'!$A$9:$A$42,C160,'Reference Sheet'!$B$9:$B$42,B160))</f>
        <v>168</v>
      </c>
      <c r="AC160" s="98">
        <f t="shared" si="160"/>
        <v>0</v>
      </c>
      <c r="AD160" s="100">
        <f t="shared" si="161"/>
        <v>0</v>
      </c>
      <c r="AE160" s="100">
        <f t="shared" si="162"/>
        <v>0</v>
      </c>
      <c r="AF160" s="100">
        <f t="shared" si="163"/>
        <v>0</v>
      </c>
      <c r="AG160" s="100">
        <f t="shared" si="164"/>
        <v>0</v>
      </c>
      <c r="AH160" s="100">
        <f t="shared" si="165"/>
        <v>22</v>
      </c>
      <c r="AI160" s="100">
        <f t="shared" si="166"/>
        <v>0</v>
      </c>
      <c r="AJ160" s="100">
        <f t="shared" si="167"/>
        <v>0</v>
      </c>
      <c r="AK160" s="100">
        <f t="shared" si="168"/>
        <v>0</v>
      </c>
      <c r="AL160" s="100">
        <f t="shared" si="169"/>
        <v>0</v>
      </c>
      <c r="AM160" s="100">
        <f t="shared" si="170"/>
        <v>0</v>
      </c>
      <c r="AN160" s="100">
        <f t="shared" si="171"/>
        <v>86</v>
      </c>
      <c r="AO160" s="100">
        <f t="shared" si="172"/>
        <v>24</v>
      </c>
      <c r="AP160" s="100">
        <f t="shared" si="173"/>
        <v>0</v>
      </c>
      <c r="AQ160" s="100">
        <f t="shared" si="174"/>
        <v>0</v>
      </c>
      <c r="AR160" s="100">
        <f t="shared" si="175"/>
        <v>0</v>
      </c>
      <c r="AS160" s="100">
        <f t="shared" si="176"/>
        <v>36</v>
      </c>
      <c r="AT160" s="100">
        <f t="shared" si="177"/>
        <v>0</v>
      </c>
      <c r="AU160" s="100">
        <f t="shared" si="178"/>
        <v>0</v>
      </c>
      <c r="AV160" s="100">
        <f t="shared" si="179"/>
        <v>0</v>
      </c>
      <c r="AW160" s="100">
        <f t="shared" si="180"/>
        <v>0</v>
      </c>
      <c r="AX160">
        <f t="shared" si="181"/>
        <v>168</v>
      </c>
      <c r="AY160" s="98">
        <f t="shared" si="182"/>
        <v>0</v>
      </c>
      <c r="AZ160" s="98">
        <f t="shared" si="183"/>
        <v>0</v>
      </c>
      <c r="BA160" s="98">
        <f t="shared" si="146"/>
        <v>0</v>
      </c>
      <c r="BB160" s="98">
        <f t="shared" si="184"/>
        <v>0</v>
      </c>
      <c r="BC160" s="98">
        <f t="shared" si="147"/>
        <v>1126.5140475663463</v>
      </c>
      <c r="BD160" s="98">
        <f t="shared" si="148"/>
        <v>0</v>
      </c>
      <c r="BE160" s="98">
        <f t="shared" si="149"/>
        <v>0</v>
      </c>
      <c r="BF160" s="98">
        <f t="shared" si="185"/>
        <v>0</v>
      </c>
      <c r="BG160" s="98">
        <f t="shared" si="186"/>
        <v>0</v>
      </c>
      <c r="BH160" s="98">
        <f t="shared" si="150"/>
        <v>0</v>
      </c>
      <c r="BI160" s="98">
        <f t="shared" si="151"/>
        <v>4403.6458223048085</v>
      </c>
      <c r="BJ160" s="98">
        <f t="shared" si="152"/>
        <v>1228.9244155269232</v>
      </c>
      <c r="BK160" s="98">
        <f t="shared" si="153"/>
        <v>0</v>
      </c>
      <c r="BL160" s="98">
        <f t="shared" si="187"/>
        <v>0</v>
      </c>
      <c r="BM160" s="98">
        <f t="shared" si="154"/>
        <v>0</v>
      </c>
      <c r="BN160" s="98">
        <f t="shared" si="155"/>
        <v>1843.3866232903847</v>
      </c>
      <c r="BO160" s="98">
        <f t="shared" si="188"/>
        <v>0</v>
      </c>
      <c r="BP160" s="98">
        <f t="shared" si="156"/>
        <v>0</v>
      </c>
      <c r="BQ160" s="98">
        <f t="shared" si="189"/>
        <v>0</v>
      </c>
      <c r="BR160" s="98">
        <f t="shared" si="157"/>
        <v>0</v>
      </c>
    </row>
    <row r="161" spans="1:70" x14ac:dyDescent="0.25">
      <c r="A161" t="s">
        <v>56</v>
      </c>
      <c r="B161" t="s">
        <v>13</v>
      </c>
      <c r="C161">
        <v>2024</v>
      </c>
      <c r="D161" s="98">
        <f>INDEX('Reference Sheet'!$G$9:$J$100, MATCH(A161,'Reference Sheet'!$F$9:$F$100,0), MATCH(C161,'Reference Sheet'!$G$8:$J$8,0))/2080</f>
        <v>42.982610576923079</v>
      </c>
      <c r="E161" s="99">
        <f>VLOOKUP(C161,'Reference Sheet'!$A$2:$B$5,2)</f>
        <v>0.1913</v>
      </c>
      <c r="F161" s="98">
        <f t="shared" si="159"/>
        <v>51.205183980288467</v>
      </c>
      <c r="G161" s="98"/>
      <c r="H161" s="98"/>
      <c r="I161" s="21"/>
      <c r="J161" s="21"/>
      <c r="K161" s="21">
        <v>79</v>
      </c>
      <c r="L161" s="21"/>
      <c r="M161" s="21"/>
      <c r="N161" s="21"/>
      <c r="O161" s="21"/>
      <c r="P161" s="21"/>
      <c r="Q161" s="21">
        <v>61</v>
      </c>
      <c r="R161" s="21">
        <v>36</v>
      </c>
      <c r="S161" s="21"/>
      <c r="T161" s="21"/>
      <c r="U161" s="21"/>
      <c r="V161" s="21"/>
      <c r="W161" s="21"/>
      <c r="X161" s="21"/>
      <c r="Y161" s="21"/>
      <c r="Z161" s="21"/>
      <c r="AA161" s="98">
        <f t="shared" si="158"/>
        <v>176</v>
      </c>
      <c r="AB161" s="98">
        <f>IF(OR(B161="",C161=""),"",SUMIFS('Reference Sheet'!$D$9:$D$42,'Reference Sheet'!$A$9:$A$42,C161,'Reference Sheet'!$B$9:$B$42,B161))</f>
        <v>176</v>
      </c>
      <c r="AC161" s="98">
        <f t="shared" si="160"/>
        <v>0</v>
      </c>
      <c r="AD161" s="100">
        <f t="shared" si="161"/>
        <v>0</v>
      </c>
      <c r="AE161" s="100">
        <f t="shared" si="162"/>
        <v>0</v>
      </c>
      <c r="AF161" s="100">
        <f t="shared" si="163"/>
        <v>0</v>
      </c>
      <c r="AG161" s="100">
        <f t="shared" si="164"/>
        <v>0</v>
      </c>
      <c r="AH161" s="100">
        <f t="shared" si="165"/>
        <v>79</v>
      </c>
      <c r="AI161" s="100">
        <f t="shared" si="166"/>
        <v>0</v>
      </c>
      <c r="AJ161" s="100">
        <f t="shared" si="167"/>
        <v>0</v>
      </c>
      <c r="AK161" s="100">
        <f t="shared" si="168"/>
        <v>0</v>
      </c>
      <c r="AL161" s="100">
        <f t="shared" si="169"/>
        <v>0</v>
      </c>
      <c r="AM161" s="100">
        <f t="shared" si="170"/>
        <v>0</v>
      </c>
      <c r="AN161" s="100">
        <f t="shared" si="171"/>
        <v>61.000000000000007</v>
      </c>
      <c r="AO161" s="100">
        <f t="shared" si="172"/>
        <v>36</v>
      </c>
      <c r="AP161" s="100">
        <f t="shared" si="173"/>
        <v>0</v>
      </c>
      <c r="AQ161" s="100">
        <f t="shared" si="174"/>
        <v>0</v>
      </c>
      <c r="AR161" s="100">
        <f t="shared" si="175"/>
        <v>0</v>
      </c>
      <c r="AS161" s="100">
        <f t="shared" si="176"/>
        <v>0</v>
      </c>
      <c r="AT161" s="100">
        <f t="shared" si="177"/>
        <v>0</v>
      </c>
      <c r="AU161" s="100">
        <f t="shared" si="178"/>
        <v>0</v>
      </c>
      <c r="AV161" s="100">
        <f t="shared" si="179"/>
        <v>0</v>
      </c>
      <c r="AW161" s="100">
        <f t="shared" si="180"/>
        <v>0</v>
      </c>
      <c r="AX161">
        <f t="shared" si="181"/>
        <v>176</v>
      </c>
      <c r="AY161" s="98">
        <f t="shared" si="182"/>
        <v>0</v>
      </c>
      <c r="AZ161" s="98">
        <f t="shared" si="183"/>
        <v>0</v>
      </c>
      <c r="BA161" s="98">
        <f t="shared" si="146"/>
        <v>0</v>
      </c>
      <c r="BB161" s="98">
        <f t="shared" si="184"/>
        <v>0</v>
      </c>
      <c r="BC161" s="98">
        <f t="shared" si="147"/>
        <v>4045.2095344427889</v>
      </c>
      <c r="BD161" s="98">
        <f t="shared" si="148"/>
        <v>0</v>
      </c>
      <c r="BE161" s="98">
        <f t="shared" si="149"/>
        <v>0</v>
      </c>
      <c r="BF161" s="98">
        <f t="shared" si="185"/>
        <v>0</v>
      </c>
      <c r="BG161" s="98">
        <f t="shared" si="186"/>
        <v>0</v>
      </c>
      <c r="BH161" s="98">
        <f t="shared" si="150"/>
        <v>0</v>
      </c>
      <c r="BI161" s="98">
        <f t="shared" si="151"/>
        <v>3123.516222797597</v>
      </c>
      <c r="BJ161" s="98">
        <f t="shared" si="152"/>
        <v>1843.3866232903847</v>
      </c>
      <c r="BK161" s="98">
        <f t="shared" si="153"/>
        <v>0</v>
      </c>
      <c r="BL161" s="98">
        <f t="shared" si="187"/>
        <v>0</v>
      </c>
      <c r="BM161" s="98">
        <f t="shared" si="154"/>
        <v>0</v>
      </c>
      <c r="BN161" s="98">
        <f t="shared" si="155"/>
        <v>0</v>
      </c>
      <c r="BO161" s="98">
        <f t="shared" si="188"/>
        <v>0</v>
      </c>
      <c r="BP161" s="98">
        <f t="shared" si="156"/>
        <v>0</v>
      </c>
      <c r="BQ161" s="98">
        <f t="shared" si="189"/>
        <v>0</v>
      </c>
      <c r="BR161" s="98">
        <f t="shared" si="157"/>
        <v>0</v>
      </c>
    </row>
    <row r="162" spans="1:70" x14ac:dyDescent="0.25">
      <c r="A162" t="s">
        <v>56</v>
      </c>
      <c r="B162" t="s">
        <v>17</v>
      </c>
      <c r="C162">
        <v>2024</v>
      </c>
      <c r="D162" s="98">
        <f>INDEX('Reference Sheet'!$G$9:$J$100, MATCH(A162,'Reference Sheet'!$F$9:$F$100,0), MATCH(C162,'Reference Sheet'!$G$8:$J$8,0))/2080</f>
        <v>42.982610576923079</v>
      </c>
      <c r="E162" s="99">
        <f>VLOOKUP(C162,'Reference Sheet'!$A$2:$B$5,2)</f>
        <v>0.1913</v>
      </c>
      <c r="F162" s="98">
        <f t="shared" si="159"/>
        <v>51.205183980288467</v>
      </c>
      <c r="G162" s="98"/>
      <c r="H162" s="98"/>
      <c r="I162" s="21"/>
      <c r="J162" s="21"/>
      <c r="K162" s="21">
        <v>26</v>
      </c>
      <c r="L162" s="21"/>
      <c r="M162" s="21"/>
      <c r="N162" s="21"/>
      <c r="O162" s="21"/>
      <c r="P162" s="21"/>
      <c r="Q162" s="21">
        <v>93</v>
      </c>
      <c r="R162" s="21">
        <v>22</v>
      </c>
      <c r="S162" s="21"/>
      <c r="T162" s="21"/>
      <c r="U162" s="21"/>
      <c r="V162" s="21">
        <v>35</v>
      </c>
      <c r="W162" s="21"/>
      <c r="X162" s="21"/>
      <c r="Y162" s="21"/>
      <c r="Z162" s="21"/>
      <c r="AA162" s="98">
        <f t="shared" si="158"/>
        <v>176</v>
      </c>
      <c r="AB162" s="98">
        <f>IF(OR(B162="",C162=""),"",SUMIFS('Reference Sheet'!$D$9:$D$42,'Reference Sheet'!$A$9:$A$42,C162,'Reference Sheet'!$B$9:$B$42,B162))</f>
        <v>176</v>
      </c>
      <c r="AC162" s="98">
        <f t="shared" si="160"/>
        <v>0</v>
      </c>
      <c r="AD162" s="100">
        <f t="shared" si="161"/>
        <v>0</v>
      </c>
      <c r="AE162" s="100">
        <f t="shared" si="162"/>
        <v>0</v>
      </c>
      <c r="AF162" s="100">
        <f t="shared" si="163"/>
        <v>0</v>
      </c>
      <c r="AG162" s="100">
        <f t="shared" si="164"/>
        <v>0</v>
      </c>
      <c r="AH162" s="100">
        <f t="shared" si="165"/>
        <v>26</v>
      </c>
      <c r="AI162" s="100">
        <f t="shared" si="166"/>
        <v>0</v>
      </c>
      <c r="AJ162" s="100">
        <f t="shared" si="167"/>
        <v>0</v>
      </c>
      <c r="AK162" s="100">
        <f t="shared" si="168"/>
        <v>0</v>
      </c>
      <c r="AL162" s="100">
        <f t="shared" si="169"/>
        <v>0</v>
      </c>
      <c r="AM162" s="100">
        <f t="shared" si="170"/>
        <v>0</v>
      </c>
      <c r="AN162" s="100">
        <f t="shared" si="171"/>
        <v>93</v>
      </c>
      <c r="AO162" s="100">
        <f t="shared" si="172"/>
        <v>22</v>
      </c>
      <c r="AP162" s="100">
        <f t="shared" si="173"/>
        <v>0</v>
      </c>
      <c r="AQ162" s="100">
        <f t="shared" si="174"/>
        <v>0</v>
      </c>
      <c r="AR162" s="100">
        <f t="shared" si="175"/>
        <v>0</v>
      </c>
      <c r="AS162" s="100">
        <f t="shared" si="176"/>
        <v>35</v>
      </c>
      <c r="AT162" s="100">
        <f t="shared" si="177"/>
        <v>0</v>
      </c>
      <c r="AU162" s="100">
        <f t="shared" si="178"/>
        <v>0</v>
      </c>
      <c r="AV162" s="100">
        <f t="shared" si="179"/>
        <v>0</v>
      </c>
      <c r="AW162" s="100">
        <f t="shared" si="180"/>
        <v>0</v>
      </c>
      <c r="AX162">
        <f t="shared" si="181"/>
        <v>176</v>
      </c>
      <c r="AY162" s="98">
        <f t="shared" si="182"/>
        <v>0</v>
      </c>
      <c r="AZ162" s="98">
        <f t="shared" si="183"/>
        <v>0</v>
      </c>
      <c r="BA162" s="98">
        <f t="shared" si="146"/>
        <v>0</v>
      </c>
      <c r="BB162" s="98">
        <f t="shared" si="184"/>
        <v>0</v>
      </c>
      <c r="BC162" s="98">
        <f t="shared" si="147"/>
        <v>1331.3347834875001</v>
      </c>
      <c r="BD162" s="98">
        <f t="shared" si="148"/>
        <v>0</v>
      </c>
      <c r="BE162" s="98">
        <f t="shared" si="149"/>
        <v>0</v>
      </c>
      <c r="BF162" s="98">
        <f t="shared" si="185"/>
        <v>0</v>
      </c>
      <c r="BG162" s="98">
        <f t="shared" si="186"/>
        <v>0</v>
      </c>
      <c r="BH162" s="98">
        <f t="shared" si="150"/>
        <v>0</v>
      </c>
      <c r="BI162" s="98">
        <f t="shared" si="151"/>
        <v>4762.0821101668271</v>
      </c>
      <c r="BJ162" s="98">
        <f t="shared" si="152"/>
        <v>1126.5140475663463</v>
      </c>
      <c r="BK162" s="98">
        <f t="shared" si="153"/>
        <v>0</v>
      </c>
      <c r="BL162" s="98">
        <f t="shared" si="187"/>
        <v>0</v>
      </c>
      <c r="BM162" s="98">
        <f t="shared" si="154"/>
        <v>0</v>
      </c>
      <c r="BN162" s="98">
        <f t="shared" si="155"/>
        <v>1792.1814393100963</v>
      </c>
      <c r="BO162" s="98">
        <f t="shared" si="188"/>
        <v>0</v>
      </c>
      <c r="BP162" s="98">
        <f t="shared" si="156"/>
        <v>0</v>
      </c>
      <c r="BQ162" s="98">
        <f t="shared" si="189"/>
        <v>0</v>
      </c>
      <c r="BR162" s="98">
        <f t="shared" si="157"/>
        <v>0</v>
      </c>
    </row>
    <row r="163" spans="1:70" x14ac:dyDescent="0.25">
      <c r="A163" t="s">
        <v>56</v>
      </c>
      <c r="B163" t="s">
        <v>9</v>
      </c>
      <c r="C163">
        <v>2024</v>
      </c>
      <c r="D163" s="98">
        <f>INDEX('Reference Sheet'!$G$9:$J$100, MATCH(A163,'Reference Sheet'!$F$9:$F$100,0), MATCH(C163,'Reference Sheet'!$G$8:$J$8,0))/2080</f>
        <v>42.982610576923079</v>
      </c>
      <c r="E163" s="99">
        <f>VLOOKUP(C163,'Reference Sheet'!$A$2:$B$5,2)</f>
        <v>0.1913</v>
      </c>
      <c r="F163" s="98">
        <f t="shared" si="159"/>
        <v>51.205183980288467</v>
      </c>
      <c r="G163" s="98"/>
      <c r="H163" s="98"/>
      <c r="I163" s="21"/>
      <c r="J163" s="21"/>
      <c r="K163" s="21">
        <v>45</v>
      </c>
      <c r="L163" s="21"/>
      <c r="M163" s="21"/>
      <c r="N163" s="21"/>
      <c r="O163" s="21"/>
      <c r="P163" s="21"/>
      <c r="Q163" s="21">
        <v>78</v>
      </c>
      <c r="R163" s="21">
        <v>52</v>
      </c>
      <c r="S163" s="21"/>
      <c r="T163" s="21"/>
      <c r="U163" s="21">
        <v>2</v>
      </c>
      <c r="V163" s="21"/>
      <c r="W163" s="21"/>
      <c r="X163" s="21"/>
      <c r="Y163" s="21"/>
      <c r="Z163" s="21"/>
      <c r="AA163" s="98">
        <f t="shared" si="158"/>
        <v>177</v>
      </c>
      <c r="AB163" s="98">
        <f>IF(OR(B163="",C163=""),"",SUMIFS('Reference Sheet'!$D$9:$D$42,'Reference Sheet'!$A$9:$A$42,C163,'Reference Sheet'!$B$9:$B$42,B163))</f>
        <v>176</v>
      </c>
      <c r="AC163" s="98">
        <f t="shared" si="160"/>
        <v>-1</v>
      </c>
      <c r="AD163" s="100">
        <f t="shared" si="161"/>
        <v>0</v>
      </c>
      <c r="AE163" s="100">
        <f t="shared" si="162"/>
        <v>0</v>
      </c>
      <c r="AF163" s="100">
        <f t="shared" si="163"/>
        <v>0</v>
      </c>
      <c r="AG163" s="100">
        <f t="shared" si="164"/>
        <v>0</v>
      </c>
      <c r="AH163" s="100">
        <f t="shared" si="165"/>
        <v>44.745762711864401</v>
      </c>
      <c r="AI163" s="100">
        <f t="shared" si="166"/>
        <v>0</v>
      </c>
      <c r="AJ163" s="100">
        <f t="shared" si="167"/>
        <v>0</v>
      </c>
      <c r="AK163" s="100">
        <f t="shared" si="168"/>
        <v>0</v>
      </c>
      <c r="AL163" s="100">
        <f t="shared" si="169"/>
        <v>0</v>
      </c>
      <c r="AM163" s="100">
        <f t="shared" si="170"/>
        <v>0</v>
      </c>
      <c r="AN163" s="100">
        <f t="shared" si="171"/>
        <v>77.559322033898297</v>
      </c>
      <c r="AO163" s="100">
        <f t="shared" si="172"/>
        <v>51.706214689265536</v>
      </c>
      <c r="AP163" s="100">
        <f t="shared" si="173"/>
        <v>0</v>
      </c>
      <c r="AQ163" s="100">
        <f t="shared" si="174"/>
        <v>0</v>
      </c>
      <c r="AR163" s="100">
        <f t="shared" si="175"/>
        <v>1.9887005649717513</v>
      </c>
      <c r="AS163" s="100">
        <f t="shared" si="176"/>
        <v>0</v>
      </c>
      <c r="AT163" s="100">
        <f t="shared" si="177"/>
        <v>0</v>
      </c>
      <c r="AU163" s="100">
        <f t="shared" si="178"/>
        <v>0</v>
      </c>
      <c r="AV163" s="100">
        <f t="shared" si="179"/>
        <v>0</v>
      </c>
      <c r="AW163" s="100">
        <f t="shared" si="180"/>
        <v>0</v>
      </c>
      <c r="AX163">
        <f t="shared" si="181"/>
        <v>176</v>
      </c>
      <c r="AY163" s="98">
        <f t="shared" si="182"/>
        <v>0</v>
      </c>
      <c r="AZ163" s="98">
        <f t="shared" si="183"/>
        <v>0</v>
      </c>
      <c r="BA163" s="98">
        <f t="shared" si="146"/>
        <v>0</v>
      </c>
      <c r="BB163" s="98">
        <f t="shared" si="184"/>
        <v>0</v>
      </c>
      <c r="BC163" s="98">
        <f t="shared" si="147"/>
        <v>2291.215011999348</v>
      </c>
      <c r="BD163" s="98">
        <f t="shared" si="148"/>
        <v>0</v>
      </c>
      <c r="BE163" s="98">
        <f t="shared" si="149"/>
        <v>0</v>
      </c>
      <c r="BF163" s="98">
        <f t="shared" si="185"/>
        <v>0</v>
      </c>
      <c r="BG163" s="98">
        <f t="shared" si="186"/>
        <v>0</v>
      </c>
      <c r="BH163" s="98">
        <f t="shared" si="150"/>
        <v>0</v>
      </c>
      <c r="BI163" s="98">
        <f t="shared" si="151"/>
        <v>3971.4393541322033</v>
      </c>
      <c r="BJ163" s="98">
        <f t="shared" si="152"/>
        <v>2647.626236088136</v>
      </c>
      <c r="BK163" s="98">
        <f t="shared" si="153"/>
        <v>0</v>
      </c>
      <c r="BL163" s="98">
        <f t="shared" si="187"/>
        <v>0</v>
      </c>
      <c r="BM163" s="98">
        <f t="shared" si="154"/>
        <v>101.83177831108215</v>
      </c>
      <c r="BN163" s="98">
        <f t="shared" si="155"/>
        <v>0</v>
      </c>
      <c r="BO163" s="98">
        <f t="shared" si="188"/>
        <v>0</v>
      </c>
      <c r="BP163" s="98">
        <f t="shared" si="156"/>
        <v>0</v>
      </c>
      <c r="BQ163" s="98">
        <f t="shared" si="189"/>
        <v>0</v>
      </c>
      <c r="BR163" s="98">
        <f t="shared" si="157"/>
        <v>0</v>
      </c>
    </row>
    <row r="164" spans="1:70" x14ac:dyDescent="0.25">
      <c r="A164" t="s">
        <v>56</v>
      </c>
      <c r="B164" t="s">
        <v>6</v>
      </c>
      <c r="C164">
        <v>2024</v>
      </c>
      <c r="D164" s="98">
        <f>INDEX('Reference Sheet'!$G$9:$J$100, MATCH(A164,'Reference Sheet'!$F$9:$F$100,0), MATCH(C164,'Reference Sheet'!$G$8:$J$8,0))/2080</f>
        <v>42.982610576923079</v>
      </c>
      <c r="E164" s="99">
        <f>VLOOKUP(C164,'Reference Sheet'!$A$2:$B$5,2)</f>
        <v>0.1913</v>
      </c>
      <c r="F164" s="98">
        <f t="shared" si="159"/>
        <v>51.205183980288467</v>
      </c>
      <c r="G164" s="98"/>
      <c r="H164" s="98"/>
      <c r="I164" s="21"/>
      <c r="J164" s="21"/>
      <c r="K164" s="21"/>
      <c r="L164" s="21"/>
      <c r="M164" s="21"/>
      <c r="N164" s="21"/>
      <c r="O164" s="21"/>
      <c r="P164" s="21"/>
      <c r="Q164" s="21">
        <v>63.5</v>
      </c>
      <c r="R164" s="21">
        <v>53.5</v>
      </c>
      <c r="S164" s="21"/>
      <c r="T164" s="21"/>
      <c r="U164" s="21">
        <v>67</v>
      </c>
      <c r="V164" s="21"/>
      <c r="W164" s="21"/>
      <c r="X164" s="21"/>
      <c r="Y164" s="21"/>
      <c r="Z164" s="21"/>
      <c r="AA164" s="98">
        <f t="shared" si="158"/>
        <v>184</v>
      </c>
      <c r="AB164" s="98">
        <f>IF(OR(B164="",C164=""),"",SUMIFS('Reference Sheet'!$D$9:$D$42,'Reference Sheet'!$A$9:$A$42,C164,'Reference Sheet'!$B$9:$B$42,B164))</f>
        <v>184</v>
      </c>
      <c r="AC164" s="98">
        <f t="shared" si="160"/>
        <v>0</v>
      </c>
      <c r="AD164" s="100">
        <f t="shared" si="161"/>
        <v>0</v>
      </c>
      <c r="AE164" s="100">
        <f t="shared" si="162"/>
        <v>0</v>
      </c>
      <c r="AF164" s="100">
        <f t="shared" si="163"/>
        <v>0</v>
      </c>
      <c r="AG164" s="100">
        <f t="shared" si="164"/>
        <v>0</v>
      </c>
      <c r="AH164" s="100">
        <f t="shared" si="165"/>
        <v>0</v>
      </c>
      <c r="AI164" s="100">
        <f t="shared" si="166"/>
        <v>0</v>
      </c>
      <c r="AJ164" s="100">
        <f t="shared" si="167"/>
        <v>0</v>
      </c>
      <c r="AK164" s="100">
        <f t="shared" si="168"/>
        <v>0</v>
      </c>
      <c r="AL164" s="100">
        <f t="shared" si="169"/>
        <v>0</v>
      </c>
      <c r="AM164" s="100">
        <f t="shared" si="170"/>
        <v>0</v>
      </c>
      <c r="AN164" s="100">
        <f t="shared" si="171"/>
        <v>63.499999999999993</v>
      </c>
      <c r="AO164" s="100">
        <f t="shared" si="172"/>
        <v>53.5</v>
      </c>
      <c r="AP164" s="100">
        <f t="shared" si="173"/>
        <v>0</v>
      </c>
      <c r="AQ164" s="100">
        <f t="shared" si="174"/>
        <v>0</v>
      </c>
      <c r="AR164" s="100">
        <f t="shared" si="175"/>
        <v>67</v>
      </c>
      <c r="AS164" s="100">
        <f t="shared" si="176"/>
        <v>0</v>
      </c>
      <c r="AT164" s="100">
        <f t="shared" si="177"/>
        <v>0</v>
      </c>
      <c r="AU164" s="100">
        <f t="shared" si="178"/>
        <v>0</v>
      </c>
      <c r="AV164" s="100">
        <f t="shared" si="179"/>
        <v>0</v>
      </c>
      <c r="AW164" s="100">
        <f t="shared" si="180"/>
        <v>0</v>
      </c>
      <c r="AX164">
        <f t="shared" si="181"/>
        <v>184</v>
      </c>
      <c r="AY164" s="98">
        <f t="shared" si="182"/>
        <v>0</v>
      </c>
      <c r="AZ164" s="98">
        <f t="shared" si="183"/>
        <v>0</v>
      </c>
      <c r="BA164" s="98">
        <f t="shared" si="146"/>
        <v>0</v>
      </c>
      <c r="BB164" s="98">
        <f t="shared" si="184"/>
        <v>0</v>
      </c>
      <c r="BC164" s="98">
        <f t="shared" si="147"/>
        <v>0</v>
      </c>
      <c r="BD164" s="98">
        <f t="shared" si="148"/>
        <v>0</v>
      </c>
      <c r="BE164" s="98">
        <f t="shared" si="149"/>
        <v>0</v>
      </c>
      <c r="BF164" s="98">
        <f t="shared" si="185"/>
        <v>0</v>
      </c>
      <c r="BG164" s="98">
        <f t="shared" si="186"/>
        <v>0</v>
      </c>
      <c r="BH164" s="98">
        <f t="shared" si="150"/>
        <v>0</v>
      </c>
      <c r="BI164" s="98">
        <f t="shared" si="151"/>
        <v>3251.5291827483175</v>
      </c>
      <c r="BJ164" s="98">
        <f t="shared" si="152"/>
        <v>2739.4773429454331</v>
      </c>
      <c r="BK164" s="98">
        <f t="shared" si="153"/>
        <v>0</v>
      </c>
      <c r="BL164" s="98">
        <f t="shared" si="187"/>
        <v>0</v>
      </c>
      <c r="BM164" s="98">
        <f t="shared" si="154"/>
        <v>3430.7473266793272</v>
      </c>
      <c r="BN164" s="98">
        <f t="shared" si="155"/>
        <v>0</v>
      </c>
      <c r="BO164" s="98">
        <f t="shared" si="188"/>
        <v>0</v>
      </c>
      <c r="BP164" s="98">
        <f t="shared" si="156"/>
        <v>0</v>
      </c>
      <c r="BQ164" s="98">
        <f t="shared" si="189"/>
        <v>0</v>
      </c>
      <c r="BR164" s="98">
        <f t="shared" si="157"/>
        <v>0</v>
      </c>
    </row>
    <row r="165" spans="1:70" x14ac:dyDescent="0.25">
      <c r="A165" t="s">
        <v>56</v>
      </c>
      <c r="B165" t="s">
        <v>10</v>
      </c>
      <c r="C165">
        <v>2024</v>
      </c>
      <c r="D165" s="98">
        <f>INDEX('Reference Sheet'!$G$9:$J$100, MATCH(A165,'Reference Sheet'!$F$9:$F$100,0), MATCH(C165,'Reference Sheet'!$G$8:$J$8,0))/2080</f>
        <v>42.982610576923079</v>
      </c>
      <c r="E165" s="99">
        <f>VLOOKUP(C165,'Reference Sheet'!$A$2:$B$5,2)</f>
        <v>0.1913</v>
      </c>
      <c r="F165" s="98">
        <f t="shared" si="159"/>
        <v>51.205183980288467</v>
      </c>
      <c r="G165" s="98"/>
      <c r="H165" s="98"/>
      <c r="I165" s="21"/>
      <c r="J165" s="21"/>
      <c r="K165" s="21">
        <v>52</v>
      </c>
      <c r="L165" s="21"/>
      <c r="M165" s="21"/>
      <c r="N165" s="21"/>
      <c r="O165" s="21"/>
      <c r="P165" s="21"/>
      <c r="Q165" s="21">
        <v>66</v>
      </c>
      <c r="R165" s="21">
        <v>55</v>
      </c>
      <c r="S165" s="21"/>
      <c r="T165" s="21"/>
      <c r="U165" s="21">
        <v>11</v>
      </c>
      <c r="V165" s="21"/>
      <c r="W165" s="21"/>
      <c r="X165" s="21"/>
      <c r="Y165" s="21"/>
      <c r="Z165" s="21"/>
      <c r="AA165" s="98">
        <f t="shared" si="158"/>
        <v>184</v>
      </c>
      <c r="AB165" s="98">
        <f>IF(OR(B165="",C165=""),"",SUMIFS('Reference Sheet'!$D$9:$D$42,'Reference Sheet'!$A$9:$A$42,C165,'Reference Sheet'!$B$9:$B$42,B165))</f>
        <v>184</v>
      </c>
      <c r="AC165" s="98">
        <f t="shared" si="160"/>
        <v>0</v>
      </c>
      <c r="AD165" s="100">
        <f t="shared" si="161"/>
        <v>0</v>
      </c>
      <c r="AE165" s="100">
        <f t="shared" si="162"/>
        <v>0</v>
      </c>
      <c r="AF165" s="100">
        <f t="shared" si="163"/>
        <v>0</v>
      </c>
      <c r="AG165" s="100">
        <f t="shared" si="164"/>
        <v>0</v>
      </c>
      <c r="AH165" s="100">
        <f t="shared" si="165"/>
        <v>51.999999999999993</v>
      </c>
      <c r="AI165" s="100">
        <f t="shared" si="166"/>
        <v>0</v>
      </c>
      <c r="AJ165" s="100">
        <f t="shared" si="167"/>
        <v>0</v>
      </c>
      <c r="AK165" s="100">
        <f t="shared" si="168"/>
        <v>0</v>
      </c>
      <c r="AL165" s="100">
        <f t="shared" si="169"/>
        <v>0</v>
      </c>
      <c r="AM165" s="100">
        <f t="shared" si="170"/>
        <v>0</v>
      </c>
      <c r="AN165" s="100">
        <f t="shared" si="171"/>
        <v>66</v>
      </c>
      <c r="AO165" s="100">
        <f t="shared" si="172"/>
        <v>55</v>
      </c>
      <c r="AP165" s="100">
        <f t="shared" si="173"/>
        <v>0</v>
      </c>
      <c r="AQ165" s="100">
        <f t="shared" si="174"/>
        <v>0</v>
      </c>
      <c r="AR165" s="100">
        <f t="shared" si="175"/>
        <v>11</v>
      </c>
      <c r="AS165" s="100">
        <f t="shared" si="176"/>
        <v>0</v>
      </c>
      <c r="AT165" s="100">
        <f t="shared" si="177"/>
        <v>0</v>
      </c>
      <c r="AU165" s="100">
        <f t="shared" si="178"/>
        <v>0</v>
      </c>
      <c r="AV165" s="100">
        <f t="shared" si="179"/>
        <v>0</v>
      </c>
      <c r="AW165" s="100">
        <f t="shared" si="180"/>
        <v>0</v>
      </c>
      <c r="AX165">
        <f t="shared" si="181"/>
        <v>184</v>
      </c>
      <c r="AY165" s="98">
        <f t="shared" si="182"/>
        <v>0</v>
      </c>
      <c r="AZ165" s="98">
        <f t="shared" si="183"/>
        <v>0</v>
      </c>
      <c r="BA165" s="98">
        <f t="shared" si="146"/>
        <v>0</v>
      </c>
      <c r="BB165" s="98">
        <f t="shared" si="184"/>
        <v>0</v>
      </c>
      <c r="BC165" s="98">
        <f t="shared" si="147"/>
        <v>2662.6695669749997</v>
      </c>
      <c r="BD165" s="98">
        <f t="shared" si="148"/>
        <v>0</v>
      </c>
      <c r="BE165" s="98">
        <f t="shared" si="149"/>
        <v>0</v>
      </c>
      <c r="BF165" s="98">
        <f t="shared" si="185"/>
        <v>0</v>
      </c>
      <c r="BG165" s="98">
        <f t="shared" si="186"/>
        <v>0</v>
      </c>
      <c r="BH165" s="98">
        <f t="shared" si="150"/>
        <v>0</v>
      </c>
      <c r="BI165" s="98">
        <f t="shared" si="151"/>
        <v>3379.5421426990388</v>
      </c>
      <c r="BJ165" s="98">
        <f t="shared" si="152"/>
        <v>2816.2851189158655</v>
      </c>
      <c r="BK165" s="98">
        <f t="shared" si="153"/>
        <v>0</v>
      </c>
      <c r="BL165" s="98">
        <f t="shared" si="187"/>
        <v>0</v>
      </c>
      <c r="BM165" s="98">
        <f t="shared" si="154"/>
        <v>563.25702378317317</v>
      </c>
      <c r="BN165" s="98">
        <f t="shared" si="155"/>
        <v>0</v>
      </c>
      <c r="BO165" s="98">
        <f t="shared" si="188"/>
        <v>0</v>
      </c>
      <c r="BP165" s="98">
        <f t="shared" si="156"/>
        <v>0</v>
      </c>
      <c r="BQ165" s="98">
        <f t="shared" si="189"/>
        <v>0</v>
      </c>
      <c r="BR165" s="98">
        <f t="shared" si="157"/>
        <v>0</v>
      </c>
    </row>
    <row r="166" spans="1:70" x14ac:dyDescent="0.25">
      <c r="A166" t="s">
        <v>56</v>
      </c>
      <c r="B166" t="s">
        <v>15</v>
      </c>
      <c r="C166">
        <v>2024</v>
      </c>
      <c r="D166" s="98">
        <f>INDEX('Reference Sheet'!$G$9:$J$100, MATCH(A166,'Reference Sheet'!$F$9:$F$100,0), MATCH(C166,'Reference Sheet'!$G$8:$J$8,0))/2080</f>
        <v>42.982610576923079</v>
      </c>
      <c r="E166" s="99">
        <f>VLOOKUP(C166,'Reference Sheet'!$A$2:$B$5,2)</f>
        <v>0.1913</v>
      </c>
      <c r="F166" s="98">
        <f t="shared" si="159"/>
        <v>51.205183980288467</v>
      </c>
      <c r="G166" s="98"/>
      <c r="H166" s="98"/>
      <c r="I166" s="21"/>
      <c r="J166" s="21"/>
      <c r="K166" s="21">
        <v>58</v>
      </c>
      <c r="L166" s="21"/>
      <c r="M166" s="21"/>
      <c r="N166" s="21"/>
      <c r="O166" s="21"/>
      <c r="P166" s="21"/>
      <c r="Q166" s="21">
        <v>68</v>
      </c>
      <c r="R166" s="21">
        <v>33</v>
      </c>
      <c r="S166" s="21"/>
      <c r="T166" s="21"/>
      <c r="U166" s="21"/>
      <c r="V166" s="21">
        <v>25</v>
      </c>
      <c r="W166" s="21"/>
      <c r="X166" s="21"/>
      <c r="Y166" s="21"/>
      <c r="Z166" s="21"/>
      <c r="AA166" s="98">
        <f t="shared" si="158"/>
        <v>184</v>
      </c>
      <c r="AB166" s="98">
        <f>IF(OR(B166="",C166=""),"",SUMIFS('Reference Sheet'!$D$9:$D$42,'Reference Sheet'!$A$9:$A$42,C166,'Reference Sheet'!$B$9:$B$42,B166))</f>
        <v>184</v>
      </c>
      <c r="AC166" s="98">
        <f t="shared" si="160"/>
        <v>0</v>
      </c>
      <c r="AD166" s="100">
        <f t="shared" si="161"/>
        <v>0</v>
      </c>
      <c r="AE166" s="100">
        <f t="shared" si="162"/>
        <v>0</v>
      </c>
      <c r="AF166" s="100">
        <f t="shared" si="163"/>
        <v>0</v>
      </c>
      <c r="AG166" s="100">
        <f t="shared" si="164"/>
        <v>0</v>
      </c>
      <c r="AH166" s="100">
        <f t="shared" si="165"/>
        <v>58</v>
      </c>
      <c r="AI166" s="100">
        <f t="shared" si="166"/>
        <v>0</v>
      </c>
      <c r="AJ166" s="100">
        <f t="shared" si="167"/>
        <v>0</v>
      </c>
      <c r="AK166" s="100">
        <f t="shared" si="168"/>
        <v>0</v>
      </c>
      <c r="AL166" s="100">
        <f t="shared" si="169"/>
        <v>0</v>
      </c>
      <c r="AM166" s="100">
        <f t="shared" si="170"/>
        <v>0</v>
      </c>
      <c r="AN166" s="100">
        <f t="shared" si="171"/>
        <v>68</v>
      </c>
      <c r="AO166" s="100">
        <f t="shared" si="172"/>
        <v>33</v>
      </c>
      <c r="AP166" s="100">
        <f t="shared" si="173"/>
        <v>0</v>
      </c>
      <c r="AQ166" s="100">
        <f t="shared" si="174"/>
        <v>0</v>
      </c>
      <c r="AR166" s="100">
        <f t="shared" si="175"/>
        <v>0</v>
      </c>
      <c r="AS166" s="100">
        <f t="shared" si="176"/>
        <v>25</v>
      </c>
      <c r="AT166" s="100">
        <f t="shared" si="177"/>
        <v>0</v>
      </c>
      <c r="AU166" s="100">
        <f t="shared" si="178"/>
        <v>0</v>
      </c>
      <c r="AV166" s="100">
        <f t="shared" si="179"/>
        <v>0</v>
      </c>
      <c r="AW166" s="100">
        <f t="shared" si="180"/>
        <v>0</v>
      </c>
      <c r="AX166">
        <f t="shared" si="181"/>
        <v>184</v>
      </c>
      <c r="AY166" s="98">
        <f t="shared" si="182"/>
        <v>0</v>
      </c>
      <c r="AZ166" s="98">
        <f t="shared" si="183"/>
        <v>0</v>
      </c>
      <c r="BA166" s="98">
        <f t="shared" si="146"/>
        <v>0</v>
      </c>
      <c r="BB166" s="98">
        <f t="shared" si="184"/>
        <v>0</v>
      </c>
      <c r="BC166" s="98">
        <f t="shared" si="147"/>
        <v>2969.9006708567313</v>
      </c>
      <c r="BD166" s="98">
        <f t="shared" si="148"/>
        <v>0</v>
      </c>
      <c r="BE166" s="98">
        <f t="shared" si="149"/>
        <v>0</v>
      </c>
      <c r="BF166" s="98">
        <f t="shared" si="185"/>
        <v>0</v>
      </c>
      <c r="BG166" s="98">
        <f t="shared" si="186"/>
        <v>0</v>
      </c>
      <c r="BH166" s="98">
        <f t="shared" si="150"/>
        <v>0</v>
      </c>
      <c r="BI166" s="98">
        <f t="shared" si="151"/>
        <v>3481.9525106596157</v>
      </c>
      <c r="BJ166" s="98">
        <f t="shared" si="152"/>
        <v>1689.7710713495194</v>
      </c>
      <c r="BK166" s="98">
        <f t="shared" si="153"/>
        <v>0</v>
      </c>
      <c r="BL166" s="98">
        <f t="shared" si="187"/>
        <v>0</v>
      </c>
      <c r="BM166" s="98">
        <f t="shared" si="154"/>
        <v>0</v>
      </c>
      <c r="BN166" s="98">
        <f t="shared" si="155"/>
        <v>1280.1295995072117</v>
      </c>
      <c r="BO166" s="98">
        <f t="shared" si="188"/>
        <v>0</v>
      </c>
      <c r="BP166" s="98">
        <f t="shared" si="156"/>
        <v>0</v>
      </c>
      <c r="BQ166" s="98">
        <f t="shared" si="189"/>
        <v>0</v>
      </c>
      <c r="BR166" s="98">
        <f t="shared" si="157"/>
        <v>0</v>
      </c>
    </row>
    <row r="167" spans="1:70" x14ac:dyDescent="0.25">
      <c r="A167" t="s">
        <v>56</v>
      </c>
      <c r="B167" t="s">
        <v>12</v>
      </c>
      <c r="C167">
        <v>2024</v>
      </c>
      <c r="D167" s="98">
        <f>INDEX('Reference Sheet'!$G$9:$J$100, MATCH(A167,'Reference Sheet'!$F$9:$F$100,0), MATCH(C167,'Reference Sheet'!$G$8:$J$8,0))/2080</f>
        <v>42.982610576923079</v>
      </c>
      <c r="E167" s="99">
        <f>VLOOKUP(C167,'Reference Sheet'!$A$2:$B$5,2)</f>
        <v>0.1913</v>
      </c>
      <c r="F167" s="98">
        <f t="shared" si="159"/>
        <v>51.205183980288467</v>
      </c>
      <c r="G167" s="98"/>
      <c r="H167" s="98"/>
      <c r="I167" s="21"/>
      <c r="J167" s="21"/>
      <c r="K167" s="21">
        <v>72</v>
      </c>
      <c r="L167" s="21"/>
      <c r="M167" s="21"/>
      <c r="N167" s="21"/>
      <c r="O167" s="21"/>
      <c r="P167" s="21"/>
      <c r="Q167" s="21">
        <v>81</v>
      </c>
      <c r="R167" s="21">
        <v>34</v>
      </c>
      <c r="S167" s="21"/>
      <c r="T167" s="21"/>
      <c r="U167" s="21"/>
      <c r="V167" s="21"/>
      <c r="W167" s="21"/>
      <c r="X167" s="21"/>
      <c r="Y167" s="21"/>
      <c r="Z167" s="21"/>
      <c r="AA167" s="98">
        <f t="shared" si="158"/>
        <v>187</v>
      </c>
      <c r="AB167" s="98">
        <f>IF(OR(B167="",C167=""),"",SUMIFS('Reference Sheet'!$D$9:$D$42,'Reference Sheet'!$A$9:$A$42,C167,'Reference Sheet'!$B$9:$B$42,B167))</f>
        <v>184</v>
      </c>
      <c r="AC167" s="98">
        <f t="shared" si="160"/>
        <v>-3</v>
      </c>
      <c r="AD167" s="100">
        <f t="shared" si="161"/>
        <v>0</v>
      </c>
      <c r="AE167" s="100">
        <f t="shared" si="162"/>
        <v>0</v>
      </c>
      <c r="AF167" s="100">
        <f t="shared" si="163"/>
        <v>0</v>
      </c>
      <c r="AG167" s="100">
        <f t="shared" si="164"/>
        <v>0</v>
      </c>
      <c r="AH167" s="100">
        <f t="shared" si="165"/>
        <v>70.844919786096256</v>
      </c>
      <c r="AI167" s="100">
        <f t="shared" si="166"/>
        <v>0</v>
      </c>
      <c r="AJ167" s="100">
        <f t="shared" si="167"/>
        <v>0</v>
      </c>
      <c r="AK167" s="100">
        <f t="shared" si="168"/>
        <v>0</v>
      </c>
      <c r="AL167" s="100">
        <f t="shared" si="169"/>
        <v>0</v>
      </c>
      <c r="AM167" s="100">
        <f t="shared" si="170"/>
        <v>0</v>
      </c>
      <c r="AN167" s="100">
        <f t="shared" si="171"/>
        <v>79.700534759358291</v>
      </c>
      <c r="AO167" s="100">
        <f t="shared" si="172"/>
        <v>33.454545454545453</v>
      </c>
      <c r="AP167" s="100">
        <f t="shared" si="173"/>
        <v>0</v>
      </c>
      <c r="AQ167" s="100">
        <f t="shared" si="174"/>
        <v>0</v>
      </c>
      <c r="AR167" s="100">
        <f t="shared" si="175"/>
        <v>0</v>
      </c>
      <c r="AS167" s="100">
        <f t="shared" si="176"/>
        <v>0</v>
      </c>
      <c r="AT167" s="100">
        <f t="shared" si="177"/>
        <v>0</v>
      </c>
      <c r="AU167" s="100">
        <f t="shared" si="178"/>
        <v>0</v>
      </c>
      <c r="AV167" s="100">
        <f t="shared" si="179"/>
        <v>0</v>
      </c>
      <c r="AW167" s="100">
        <f t="shared" si="180"/>
        <v>0</v>
      </c>
      <c r="AX167">
        <f t="shared" si="181"/>
        <v>184</v>
      </c>
      <c r="AY167" s="98">
        <f t="shared" si="182"/>
        <v>0</v>
      </c>
      <c r="AZ167" s="98">
        <f t="shared" si="183"/>
        <v>0</v>
      </c>
      <c r="BA167" s="98">
        <f t="shared" si="146"/>
        <v>0</v>
      </c>
      <c r="BB167" s="98">
        <f t="shared" si="184"/>
        <v>0</v>
      </c>
      <c r="BC167" s="98">
        <f t="shared" si="147"/>
        <v>3627.6271517158375</v>
      </c>
      <c r="BD167" s="98">
        <f t="shared" si="148"/>
        <v>0</v>
      </c>
      <c r="BE167" s="98">
        <f t="shared" si="149"/>
        <v>0</v>
      </c>
      <c r="BF167" s="98">
        <f t="shared" si="185"/>
        <v>0</v>
      </c>
      <c r="BG167" s="98">
        <f t="shared" si="186"/>
        <v>0</v>
      </c>
      <c r="BH167" s="98">
        <f t="shared" si="150"/>
        <v>0</v>
      </c>
      <c r="BI167" s="98">
        <f t="shared" si="151"/>
        <v>4081.0805456803173</v>
      </c>
      <c r="BJ167" s="98">
        <f t="shared" si="152"/>
        <v>1713.0461549769232</v>
      </c>
      <c r="BK167" s="98">
        <f t="shared" si="153"/>
        <v>0</v>
      </c>
      <c r="BL167" s="98">
        <f t="shared" si="187"/>
        <v>0</v>
      </c>
      <c r="BM167" s="98">
        <f t="shared" si="154"/>
        <v>0</v>
      </c>
      <c r="BN167" s="98">
        <f t="shared" si="155"/>
        <v>0</v>
      </c>
      <c r="BO167" s="98">
        <f t="shared" si="188"/>
        <v>0</v>
      </c>
      <c r="BP167" s="98">
        <f t="shared" si="156"/>
        <v>0</v>
      </c>
      <c r="BQ167" s="98">
        <f t="shared" si="189"/>
        <v>0</v>
      </c>
      <c r="BR167" s="98">
        <f t="shared" si="157"/>
        <v>0</v>
      </c>
    </row>
    <row r="168" spans="1:70" x14ac:dyDescent="0.25">
      <c r="A168" t="s">
        <v>74</v>
      </c>
      <c r="B168" t="s">
        <v>13</v>
      </c>
      <c r="C168">
        <v>2025</v>
      </c>
      <c r="D168" s="98">
        <f>INDEX('Reference Sheet'!$G$9:$J$100, MATCH(A168,'Reference Sheet'!$F$9:$F$100,0), MATCH(C168,'Reference Sheet'!$G$8:$J$8,0))/2080</f>
        <v>28.77403846153846</v>
      </c>
      <c r="E168" s="99">
        <f>VLOOKUP(C168,'Reference Sheet'!$A$2:$B$5,2)</f>
        <v>0.22450000000000001</v>
      </c>
      <c r="F168" s="98">
        <f t="shared" si="159"/>
        <v>35.233810096153839</v>
      </c>
      <c r="G168" s="98"/>
      <c r="H168" s="98"/>
      <c r="I168" s="21"/>
      <c r="J168" s="21"/>
      <c r="K168" s="21"/>
      <c r="L168" s="21"/>
      <c r="M168" s="21"/>
      <c r="N168" s="21"/>
      <c r="O168" s="21"/>
      <c r="P168" s="21">
        <v>173</v>
      </c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98">
        <f t="shared" si="158"/>
        <v>173</v>
      </c>
      <c r="AB168" s="98">
        <f>IF(OR(B168="",C168=""),"",SUMIFS('Reference Sheet'!$D$9:$D$42,'Reference Sheet'!$A$9:$A$42,C168,'Reference Sheet'!$B$9:$B$42,B168))</f>
        <v>168</v>
      </c>
      <c r="AC168" s="98">
        <f t="shared" si="160"/>
        <v>-5</v>
      </c>
      <c r="AD168" s="100">
        <f t="shared" ref="AD168:AD172" si="226">(G168/$AA168)*$AB168</f>
        <v>0</v>
      </c>
      <c r="AE168" s="100">
        <f t="shared" ref="AE168:AE172" si="227">(H168/$AA168)*$AB168</f>
        <v>0</v>
      </c>
      <c r="AF168" s="100">
        <f t="shared" ref="AF168:AF172" si="228">(I168/$AA168)*$AB168</f>
        <v>0</v>
      </c>
      <c r="AG168" s="100">
        <f t="shared" ref="AG168:AG172" si="229">(J168/$AA168)*$AB168</f>
        <v>0</v>
      </c>
      <c r="AH168" s="100">
        <f t="shared" ref="AH168:AH172" si="230">(K168/$AA168)*$AB168</f>
        <v>0</v>
      </c>
      <c r="AI168" s="100">
        <f t="shared" ref="AI168:AI172" si="231">(L168/$AA168)*$AB168</f>
        <v>0</v>
      </c>
      <c r="AJ168" s="100">
        <f t="shared" ref="AJ168:AJ172" si="232">(M168/$AA168)*$AB168</f>
        <v>0</v>
      </c>
      <c r="AK168" s="100">
        <f t="shared" ref="AK168:AK172" si="233">(N168/$AA168)*$AB168</f>
        <v>0</v>
      </c>
      <c r="AL168" s="100">
        <f t="shared" ref="AL168:AL172" si="234">(O168/$AA168)*$AB168</f>
        <v>0</v>
      </c>
      <c r="AM168" s="100">
        <f t="shared" ref="AM168:AM172" si="235">(P168/$AA168)*$AB168</f>
        <v>168</v>
      </c>
      <c r="AN168" s="100">
        <f t="shared" ref="AN168:AN172" si="236">(Q168/$AA168)*$AB168</f>
        <v>0</v>
      </c>
      <c r="AO168" s="100">
        <f t="shared" ref="AO168:AO172" si="237">(R168/$AA168)*$AB168</f>
        <v>0</v>
      </c>
      <c r="AP168" s="100">
        <f t="shared" ref="AP168:AP172" si="238">(S168/$AA168)*$AB168</f>
        <v>0</v>
      </c>
      <c r="AQ168" s="100">
        <f t="shared" ref="AQ168:AQ172" si="239">(T168/$AA168)*$AB168</f>
        <v>0</v>
      </c>
      <c r="AR168" s="100">
        <f t="shared" ref="AR168:AR172" si="240">(U168/$AA168)*$AB168</f>
        <v>0</v>
      </c>
      <c r="AS168" s="100">
        <f t="shared" ref="AS168:AS172" si="241">(V168/$AA168)*$AB168</f>
        <v>0</v>
      </c>
      <c r="AT168" s="100">
        <f t="shared" ref="AT168:AT172" si="242">(W168/$AA168)*$AB168</f>
        <v>0</v>
      </c>
      <c r="AU168" s="100">
        <f t="shared" si="178"/>
        <v>0</v>
      </c>
      <c r="AV168" s="100">
        <f t="shared" ref="AV168:AV172" si="243">(Y168/$AA168)*$AB168</f>
        <v>0</v>
      </c>
      <c r="AW168" s="100">
        <f t="shared" si="180"/>
        <v>0</v>
      </c>
      <c r="AX168">
        <f t="shared" si="181"/>
        <v>168</v>
      </c>
      <c r="AY168" s="98">
        <f t="shared" ref="AY168:AY172" si="244">$F168*AD168</f>
        <v>0</v>
      </c>
      <c r="AZ168" s="98">
        <f t="shared" ref="AZ168:AZ172" si="245">$F168*AE168</f>
        <v>0</v>
      </c>
      <c r="BA168" s="98">
        <f t="shared" si="146"/>
        <v>0</v>
      </c>
      <c r="BB168" s="98">
        <f t="shared" ref="BB168:BB172" si="246">$F168*AG168</f>
        <v>0</v>
      </c>
      <c r="BC168" s="98">
        <f t="shared" si="147"/>
        <v>0</v>
      </c>
      <c r="BD168" s="98">
        <f t="shared" si="148"/>
        <v>0</v>
      </c>
      <c r="BE168" s="98">
        <f t="shared" si="149"/>
        <v>0</v>
      </c>
      <c r="BF168" s="98">
        <f t="shared" ref="BF168:BF172" si="247">$F168*AK168</f>
        <v>0</v>
      </c>
      <c r="BG168" s="98">
        <f t="shared" ref="BG168:BG172" si="248">$F168*AL168</f>
        <v>0</v>
      </c>
      <c r="BH168" s="98">
        <f t="shared" si="150"/>
        <v>5919.2800961538451</v>
      </c>
      <c r="BI168" s="98">
        <f t="shared" si="151"/>
        <v>0</v>
      </c>
      <c r="BJ168" s="98">
        <f t="shared" si="152"/>
        <v>0</v>
      </c>
      <c r="BK168" s="98">
        <f t="shared" si="153"/>
        <v>0</v>
      </c>
      <c r="BL168" s="98">
        <f t="shared" ref="BL168:BL172" si="249">$F168*AQ168</f>
        <v>0</v>
      </c>
      <c r="BM168" s="98">
        <f t="shared" si="154"/>
        <v>0</v>
      </c>
      <c r="BN168" s="98">
        <f t="shared" si="155"/>
        <v>0</v>
      </c>
      <c r="BO168" s="98">
        <f t="shared" ref="BO168:BO172" si="250">$F168*AT168</f>
        <v>0</v>
      </c>
      <c r="BP168" s="98">
        <f t="shared" si="156"/>
        <v>0</v>
      </c>
      <c r="BQ168" s="98">
        <f t="shared" ref="BQ168:BQ172" si="251">$F168*AV168</f>
        <v>0</v>
      </c>
      <c r="BR168" s="98">
        <f t="shared" si="157"/>
        <v>0</v>
      </c>
    </row>
    <row r="169" spans="1:70" x14ac:dyDescent="0.25">
      <c r="A169" t="s">
        <v>74</v>
      </c>
      <c r="B169" t="s">
        <v>14</v>
      </c>
      <c r="C169">
        <v>2025</v>
      </c>
      <c r="D169" s="98">
        <f>INDEX('Reference Sheet'!$G$9:$J$100, MATCH(A169,'Reference Sheet'!$F$9:$F$100,0), MATCH(C169,'Reference Sheet'!$G$8:$J$8,0))/2080</f>
        <v>28.77403846153846</v>
      </c>
      <c r="E169" s="99">
        <f>VLOOKUP(C169,'Reference Sheet'!$A$2:$B$5,2)</f>
        <v>0.22450000000000001</v>
      </c>
      <c r="F169" s="98">
        <f t="shared" si="159"/>
        <v>35.233810096153839</v>
      </c>
      <c r="G169" s="98"/>
      <c r="H169" s="98"/>
      <c r="I169" s="21"/>
      <c r="J169" s="21"/>
      <c r="K169" s="21"/>
      <c r="L169" s="21"/>
      <c r="M169" s="21"/>
      <c r="N169" s="21"/>
      <c r="O169" s="21"/>
      <c r="P169" s="21">
        <v>173</v>
      </c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98">
        <f t="shared" si="158"/>
        <v>173</v>
      </c>
      <c r="AB169" s="98">
        <f>IF(OR(B169="",C169=""),"",SUMIFS('Reference Sheet'!$D$9:$D$42,'Reference Sheet'!$A$9:$A$42,C169,'Reference Sheet'!$B$9:$B$42,B169))</f>
        <v>176</v>
      </c>
      <c r="AC169" s="98">
        <f t="shared" si="160"/>
        <v>3</v>
      </c>
      <c r="AD169" s="100">
        <f t="shared" si="226"/>
        <v>0</v>
      </c>
      <c r="AE169" s="100">
        <f t="shared" si="227"/>
        <v>0</v>
      </c>
      <c r="AF169" s="100">
        <f t="shared" si="228"/>
        <v>0</v>
      </c>
      <c r="AG169" s="100">
        <f t="shared" si="229"/>
        <v>0</v>
      </c>
      <c r="AH169" s="100">
        <f t="shared" si="230"/>
        <v>0</v>
      </c>
      <c r="AI169" s="100">
        <f t="shared" si="231"/>
        <v>0</v>
      </c>
      <c r="AJ169" s="100">
        <f t="shared" si="232"/>
        <v>0</v>
      </c>
      <c r="AK169" s="100">
        <f t="shared" si="233"/>
        <v>0</v>
      </c>
      <c r="AL169" s="100">
        <f t="shared" si="234"/>
        <v>0</v>
      </c>
      <c r="AM169" s="100">
        <f t="shared" si="235"/>
        <v>176</v>
      </c>
      <c r="AN169" s="100">
        <f t="shared" si="236"/>
        <v>0</v>
      </c>
      <c r="AO169" s="100">
        <f t="shared" si="237"/>
        <v>0</v>
      </c>
      <c r="AP169" s="100">
        <f t="shared" si="238"/>
        <v>0</v>
      </c>
      <c r="AQ169" s="100">
        <f t="shared" si="239"/>
        <v>0</v>
      </c>
      <c r="AR169" s="100">
        <f t="shared" si="240"/>
        <v>0</v>
      </c>
      <c r="AS169" s="100">
        <f t="shared" si="241"/>
        <v>0</v>
      </c>
      <c r="AT169" s="100">
        <f t="shared" si="242"/>
        <v>0</v>
      </c>
      <c r="AU169" s="100">
        <f t="shared" si="178"/>
        <v>0</v>
      </c>
      <c r="AV169" s="100">
        <f t="shared" si="243"/>
        <v>0</v>
      </c>
      <c r="AW169" s="100">
        <f t="shared" si="180"/>
        <v>0</v>
      </c>
      <c r="AX169">
        <f t="shared" si="181"/>
        <v>176</v>
      </c>
      <c r="AY169" s="98">
        <f t="shared" si="244"/>
        <v>0</v>
      </c>
      <c r="AZ169" s="98">
        <f t="shared" si="245"/>
        <v>0</v>
      </c>
      <c r="BA169" s="98">
        <f t="shared" si="146"/>
        <v>0</v>
      </c>
      <c r="BB169" s="98">
        <f t="shared" si="246"/>
        <v>0</v>
      </c>
      <c r="BC169" s="98">
        <f t="shared" si="147"/>
        <v>0</v>
      </c>
      <c r="BD169" s="98">
        <f t="shared" si="148"/>
        <v>0</v>
      </c>
      <c r="BE169" s="98">
        <f t="shared" si="149"/>
        <v>0</v>
      </c>
      <c r="BF169" s="98">
        <f t="shared" si="247"/>
        <v>0</v>
      </c>
      <c r="BG169" s="98">
        <f t="shared" si="248"/>
        <v>0</v>
      </c>
      <c r="BH169" s="98">
        <f t="shared" si="150"/>
        <v>6201.1505769230753</v>
      </c>
      <c r="BI169" s="98">
        <f t="shared" si="151"/>
        <v>0</v>
      </c>
      <c r="BJ169" s="98">
        <f t="shared" si="152"/>
        <v>0</v>
      </c>
      <c r="BK169" s="98">
        <f t="shared" si="153"/>
        <v>0</v>
      </c>
      <c r="BL169" s="98">
        <f t="shared" si="249"/>
        <v>0</v>
      </c>
      <c r="BM169" s="98">
        <f t="shared" si="154"/>
        <v>0</v>
      </c>
      <c r="BN169" s="98">
        <f t="shared" si="155"/>
        <v>0</v>
      </c>
      <c r="BO169" s="98">
        <f t="shared" si="250"/>
        <v>0</v>
      </c>
      <c r="BP169" s="98">
        <f t="shared" si="156"/>
        <v>0</v>
      </c>
      <c r="BQ169" s="98">
        <f t="shared" si="251"/>
        <v>0</v>
      </c>
      <c r="BR169" s="98">
        <f t="shared" si="157"/>
        <v>0</v>
      </c>
    </row>
    <row r="170" spans="1:70" x14ac:dyDescent="0.25">
      <c r="A170" t="s">
        <v>74</v>
      </c>
      <c r="B170" t="s">
        <v>15</v>
      </c>
      <c r="C170">
        <v>2025</v>
      </c>
      <c r="D170" s="98">
        <f>INDEX('Reference Sheet'!$G$9:$J$100, MATCH(A170,'Reference Sheet'!$F$9:$F$100,0), MATCH(C170,'Reference Sheet'!$G$8:$J$8,0))/2080</f>
        <v>28.77403846153846</v>
      </c>
      <c r="E170" s="99">
        <f>VLOOKUP(C170,'Reference Sheet'!$A$2:$B$5,2)</f>
        <v>0.22450000000000001</v>
      </c>
      <c r="F170" s="98">
        <f t="shared" si="159"/>
        <v>35.233810096153839</v>
      </c>
      <c r="G170" s="98"/>
      <c r="H170" s="98"/>
      <c r="I170" s="21"/>
      <c r="J170" s="21"/>
      <c r="K170" s="21"/>
      <c r="L170" s="21"/>
      <c r="M170" s="21"/>
      <c r="N170" s="21"/>
      <c r="O170" s="21"/>
      <c r="P170" s="21">
        <v>160</v>
      </c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98">
        <f t="shared" si="158"/>
        <v>160</v>
      </c>
      <c r="AB170" s="98">
        <f>IF(OR(B170="",C170=""),"",SUMIFS('Reference Sheet'!$D$9:$D$42,'Reference Sheet'!$A$9:$A$42,C170,'Reference Sheet'!$B$9:$B$42,B170))</f>
        <v>184</v>
      </c>
      <c r="AC170" s="98">
        <f t="shared" si="160"/>
        <v>24</v>
      </c>
      <c r="AD170" s="100">
        <f t="shared" si="226"/>
        <v>0</v>
      </c>
      <c r="AE170" s="100">
        <f t="shared" si="227"/>
        <v>0</v>
      </c>
      <c r="AF170" s="100">
        <f t="shared" si="228"/>
        <v>0</v>
      </c>
      <c r="AG170" s="100">
        <f t="shared" si="229"/>
        <v>0</v>
      </c>
      <c r="AH170" s="100">
        <f t="shared" si="230"/>
        <v>0</v>
      </c>
      <c r="AI170" s="100">
        <f t="shared" si="231"/>
        <v>0</v>
      </c>
      <c r="AJ170" s="100">
        <f t="shared" si="232"/>
        <v>0</v>
      </c>
      <c r="AK170" s="100">
        <f t="shared" si="233"/>
        <v>0</v>
      </c>
      <c r="AL170" s="100">
        <f t="shared" si="234"/>
        <v>0</v>
      </c>
      <c r="AM170" s="100">
        <f t="shared" si="235"/>
        <v>184</v>
      </c>
      <c r="AN170" s="100">
        <f t="shared" si="236"/>
        <v>0</v>
      </c>
      <c r="AO170" s="100">
        <f t="shared" si="237"/>
        <v>0</v>
      </c>
      <c r="AP170" s="100">
        <f t="shared" si="238"/>
        <v>0</v>
      </c>
      <c r="AQ170" s="100">
        <f t="shared" si="239"/>
        <v>0</v>
      </c>
      <c r="AR170" s="100">
        <f t="shared" si="240"/>
        <v>0</v>
      </c>
      <c r="AS170" s="100">
        <f t="shared" si="241"/>
        <v>0</v>
      </c>
      <c r="AT170" s="100">
        <f t="shared" si="242"/>
        <v>0</v>
      </c>
      <c r="AU170" s="100">
        <f t="shared" si="178"/>
        <v>0</v>
      </c>
      <c r="AV170" s="100">
        <f t="shared" si="243"/>
        <v>0</v>
      </c>
      <c r="AW170" s="100">
        <f t="shared" si="180"/>
        <v>0</v>
      </c>
      <c r="AX170">
        <f t="shared" si="181"/>
        <v>184</v>
      </c>
      <c r="AY170" s="98">
        <f t="shared" si="244"/>
        <v>0</v>
      </c>
      <c r="AZ170" s="98">
        <f t="shared" si="245"/>
        <v>0</v>
      </c>
      <c r="BA170" s="98">
        <f t="shared" si="146"/>
        <v>0</v>
      </c>
      <c r="BB170" s="98">
        <f t="shared" si="246"/>
        <v>0</v>
      </c>
      <c r="BC170" s="98">
        <f t="shared" si="147"/>
        <v>0</v>
      </c>
      <c r="BD170" s="98">
        <f t="shared" si="148"/>
        <v>0</v>
      </c>
      <c r="BE170" s="98">
        <f t="shared" si="149"/>
        <v>0</v>
      </c>
      <c r="BF170" s="98">
        <f t="shared" si="247"/>
        <v>0</v>
      </c>
      <c r="BG170" s="98">
        <f t="shared" si="248"/>
        <v>0</v>
      </c>
      <c r="BH170" s="98">
        <f t="shared" si="150"/>
        <v>6483.0210576923064</v>
      </c>
      <c r="BI170" s="98">
        <f t="shared" si="151"/>
        <v>0</v>
      </c>
      <c r="BJ170" s="98">
        <f t="shared" si="152"/>
        <v>0</v>
      </c>
      <c r="BK170" s="98">
        <f t="shared" si="153"/>
        <v>0</v>
      </c>
      <c r="BL170" s="98">
        <f t="shared" si="249"/>
        <v>0</v>
      </c>
      <c r="BM170" s="98">
        <f t="shared" si="154"/>
        <v>0</v>
      </c>
      <c r="BN170" s="98">
        <f t="shared" si="155"/>
        <v>0</v>
      </c>
      <c r="BO170" s="98">
        <f t="shared" si="250"/>
        <v>0</v>
      </c>
      <c r="BP170" s="98">
        <f t="shared" si="156"/>
        <v>0</v>
      </c>
      <c r="BQ170" s="98">
        <f t="shared" si="251"/>
        <v>0</v>
      </c>
      <c r="BR170" s="98">
        <f t="shared" si="157"/>
        <v>0</v>
      </c>
    </row>
    <row r="171" spans="1:70" x14ac:dyDescent="0.25">
      <c r="A171" t="s">
        <v>74</v>
      </c>
      <c r="B171" t="s">
        <v>16</v>
      </c>
      <c r="C171">
        <v>2025</v>
      </c>
      <c r="D171" s="98">
        <f>INDEX('Reference Sheet'!$G$9:$J$100, MATCH(A171,'Reference Sheet'!$F$9:$F$100,0), MATCH(C171,'Reference Sheet'!$G$8:$J$8,0))/2080</f>
        <v>28.77403846153846</v>
      </c>
      <c r="E171" s="99">
        <f>VLOOKUP(C171,'Reference Sheet'!$A$2:$B$5,2)</f>
        <v>0.22450000000000001</v>
      </c>
      <c r="F171" s="98">
        <f t="shared" si="159"/>
        <v>35.233810096153839</v>
      </c>
      <c r="G171" s="98"/>
      <c r="H171" s="98"/>
      <c r="I171" s="21"/>
      <c r="J171" s="21"/>
      <c r="K171" s="21"/>
      <c r="L171" s="21"/>
      <c r="M171" s="21"/>
      <c r="N171" s="21"/>
      <c r="O171" s="21"/>
      <c r="P171" s="21">
        <v>160</v>
      </c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98">
        <f t="shared" si="158"/>
        <v>160</v>
      </c>
      <c r="AB171" s="98">
        <f>IF(OR(B171="",C171=""),"",SUMIFS('Reference Sheet'!$D$9:$D$42,'Reference Sheet'!$A$9:$A$42,C171,'Reference Sheet'!$B$9:$B$42,B171))</f>
        <v>160</v>
      </c>
      <c r="AC171" s="98">
        <f t="shared" si="160"/>
        <v>0</v>
      </c>
      <c r="AD171" s="100">
        <f t="shared" si="226"/>
        <v>0</v>
      </c>
      <c r="AE171" s="100">
        <f t="shared" si="227"/>
        <v>0</v>
      </c>
      <c r="AF171" s="100">
        <f t="shared" si="228"/>
        <v>0</v>
      </c>
      <c r="AG171" s="100">
        <f t="shared" si="229"/>
        <v>0</v>
      </c>
      <c r="AH171" s="100">
        <f t="shared" si="230"/>
        <v>0</v>
      </c>
      <c r="AI171" s="100">
        <f t="shared" si="231"/>
        <v>0</v>
      </c>
      <c r="AJ171" s="100">
        <f t="shared" si="232"/>
        <v>0</v>
      </c>
      <c r="AK171" s="100">
        <f t="shared" si="233"/>
        <v>0</v>
      </c>
      <c r="AL171" s="100">
        <f t="shared" si="234"/>
        <v>0</v>
      </c>
      <c r="AM171" s="100">
        <f t="shared" si="235"/>
        <v>160</v>
      </c>
      <c r="AN171" s="100">
        <f t="shared" si="236"/>
        <v>0</v>
      </c>
      <c r="AO171" s="100">
        <f t="shared" si="237"/>
        <v>0</v>
      </c>
      <c r="AP171" s="100">
        <f t="shared" si="238"/>
        <v>0</v>
      </c>
      <c r="AQ171" s="100">
        <f t="shared" si="239"/>
        <v>0</v>
      </c>
      <c r="AR171" s="100">
        <f t="shared" si="240"/>
        <v>0</v>
      </c>
      <c r="AS171" s="100">
        <f t="shared" si="241"/>
        <v>0</v>
      </c>
      <c r="AT171" s="100">
        <f t="shared" si="242"/>
        <v>0</v>
      </c>
      <c r="AU171" s="100">
        <f t="shared" si="178"/>
        <v>0</v>
      </c>
      <c r="AV171" s="100">
        <f t="shared" si="243"/>
        <v>0</v>
      </c>
      <c r="AW171" s="100">
        <f t="shared" si="180"/>
        <v>0</v>
      </c>
      <c r="AX171">
        <f t="shared" si="181"/>
        <v>160</v>
      </c>
      <c r="AY171" s="98">
        <f t="shared" si="244"/>
        <v>0</v>
      </c>
      <c r="AZ171" s="98">
        <f t="shared" si="245"/>
        <v>0</v>
      </c>
      <c r="BA171" s="98">
        <f t="shared" si="146"/>
        <v>0</v>
      </c>
      <c r="BB171" s="98">
        <f t="shared" si="246"/>
        <v>0</v>
      </c>
      <c r="BC171" s="98">
        <f t="shared" si="147"/>
        <v>0</v>
      </c>
      <c r="BD171" s="98">
        <f t="shared" si="148"/>
        <v>0</v>
      </c>
      <c r="BE171" s="98">
        <f t="shared" si="149"/>
        <v>0</v>
      </c>
      <c r="BF171" s="98">
        <f t="shared" si="247"/>
        <v>0</v>
      </c>
      <c r="BG171" s="98">
        <f t="shared" si="248"/>
        <v>0</v>
      </c>
      <c r="BH171" s="98">
        <f t="shared" si="150"/>
        <v>5637.409615384614</v>
      </c>
      <c r="BI171" s="98">
        <f t="shared" si="151"/>
        <v>0</v>
      </c>
      <c r="BJ171" s="98">
        <f t="shared" si="152"/>
        <v>0</v>
      </c>
      <c r="BK171" s="98">
        <f t="shared" si="153"/>
        <v>0</v>
      </c>
      <c r="BL171" s="98">
        <f t="shared" si="249"/>
        <v>0</v>
      </c>
      <c r="BM171" s="98">
        <f t="shared" si="154"/>
        <v>0</v>
      </c>
      <c r="BN171" s="98">
        <f t="shared" si="155"/>
        <v>0</v>
      </c>
      <c r="BO171" s="98">
        <f t="shared" si="250"/>
        <v>0</v>
      </c>
      <c r="BP171" s="98">
        <f t="shared" si="156"/>
        <v>0</v>
      </c>
      <c r="BQ171" s="98">
        <f t="shared" si="251"/>
        <v>0</v>
      </c>
      <c r="BR171" s="98">
        <f t="shared" si="157"/>
        <v>0</v>
      </c>
    </row>
    <row r="172" spans="1:70" x14ac:dyDescent="0.25">
      <c r="A172" t="s">
        <v>74</v>
      </c>
      <c r="B172" t="s">
        <v>17</v>
      </c>
      <c r="C172">
        <v>2025</v>
      </c>
      <c r="D172" s="98">
        <f>INDEX('Reference Sheet'!$G$9:$J$100, MATCH(A172,'Reference Sheet'!$F$9:$F$100,0), MATCH(C172,'Reference Sheet'!$G$8:$J$8,0))/2080</f>
        <v>28.77403846153846</v>
      </c>
      <c r="E172" s="99">
        <f>VLOOKUP(C172,'Reference Sheet'!$A$2:$B$5,2)</f>
        <v>0.22450000000000001</v>
      </c>
      <c r="F172" s="98">
        <f t="shared" si="159"/>
        <v>35.233810096153839</v>
      </c>
      <c r="G172" s="98"/>
      <c r="H172" s="98"/>
      <c r="I172" s="21"/>
      <c r="J172" s="21"/>
      <c r="K172" s="21"/>
      <c r="L172" s="21"/>
      <c r="M172" s="21"/>
      <c r="N172" s="21"/>
      <c r="O172" s="21"/>
      <c r="P172" s="21">
        <v>160</v>
      </c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98">
        <f t="shared" si="158"/>
        <v>160</v>
      </c>
      <c r="AB172" s="98">
        <f>IF(OR(B172="",C172=""),"",SUMIFS('Reference Sheet'!$D$9:$D$42,'Reference Sheet'!$A$9:$A$42,C172,'Reference Sheet'!$B$9:$B$42,B172))</f>
        <v>184</v>
      </c>
      <c r="AC172" s="98">
        <f t="shared" si="160"/>
        <v>24</v>
      </c>
      <c r="AD172" s="100">
        <f t="shared" si="226"/>
        <v>0</v>
      </c>
      <c r="AE172" s="100">
        <f t="shared" si="227"/>
        <v>0</v>
      </c>
      <c r="AF172" s="100">
        <f t="shared" si="228"/>
        <v>0</v>
      </c>
      <c r="AG172" s="100">
        <f t="shared" si="229"/>
        <v>0</v>
      </c>
      <c r="AH172" s="100">
        <f t="shared" si="230"/>
        <v>0</v>
      </c>
      <c r="AI172" s="100">
        <f t="shared" si="231"/>
        <v>0</v>
      </c>
      <c r="AJ172" s="100">
        <f t="shared" si="232"/>
        <v>0</v>
      </c>
      <c r="AK172" s="100">
        <f t="shared" si="233"/>
        <v>0</v>
      </c>
      <c r="AL172" s="100">
        <f t="shared" si="234"/>
        <v>0</v>
      </c>
      <c r="AM172" s="100">
        <f t="shared" si="235"/>
        <v>184</v>
      </c>
      <c r="AN172" s="100">
        <f t="shared" si="236"/>
        <v>0</v>
      </c>
      <c r="AO172" s="100">
        <f t="shared" si="237"/>
        <v>0</v>
      </c>
      <c r="AP172" s="100">
        <f t="shared" si="238"/>
        <v>0</v>
      </c>
      <c r="AQ172" s="100">
        <f t="shared" si="239"/>
        <v>0</v>
      </c>
      <c r="AR172" s="100">
        <f t="shared" si="240"/>
        <v>0</v>
      </c>
      <c r="AS172" s="100">
        <f t="shared" si="241"/>
        <v>0</v>
      </c>
      <c r="AT172" s="100">
        <f t="shared" si="242"/>
        <v>0</v>
      </c>
      <c r="AU172" s="100">
        <f t="shared" si="178"/>
        <v>0</v>
      </c>
      <c r="AV172" s="100">
        <f t="shared" si="243"/>
        <v>0</v>
      </c>
      <c r="AW172" s="100">
        <f t="shared" si="180"/>
        <v>0</v>
      </c>
      <c r="AX172">
        <f t="shared" si="181"/>
        <v>184</v>
      </c>
      <c r="AY172" s="98">
        <f t="shared" si="244"/>
        <v>0</v>
      </c>
      <c r="AZ172" s="98">
        <f t="shared" si="245"/>
        <v>0</v>
      </c>
      <c r="BA172" s="98">
        <f t="shared" si="146"/>
        <v>0</v>
      </c>
      <c r="BB172" s="98">
        <f t="shared" si="246"/>
        <v>0</v>
      </c>
      <c r="BC172" s="98">
        <f t="shared" si="147"/>
        <v>0</v>
      </c>
      <c r="BD172" s="98">
        <f t="shared" si="148"/>
        <v>0</v>
      </c>
      <c r="BE172" s="98">
        <f t="shared" si="149"/>
        <v>0</v>
      </c>
      <c r="BF172" s="98">
        <f t="shared" si="247"/>
        <v>0</v>
      </c>
      <c r="BG172" s="98">
        <f t="shared" si="248"/>
        <v>0</v>
      </c>
      <c r="BH172" s="98">
        <f t="shared" si="150"/>
        <v>6483.0210576923064</v>
      </c>
      <c r="BI172" s="98">
        <f t="shared" si="151"/>
        <v>0</v>
      </c>
      <c r="BJ172" s="98">
        <f t="shared" si="152"/>
        <v>0</v>
      </c>
      <c r="BK172" s="98">
        <f t="shared" si="153"/>
        <v>0</v>
      </c>
      <c r="BL172" s="98">
        <f t="shared" si="249"/>
        <v>0</v>
      </c>
      <c r="BM172" s="98">
        <f t="shared" si="154"/>
        <v>0</v>
      </c>
      <c r="BN172" s="98">
        <f t="shared" si="155"/>
        <v>0</v>
      </c>
      <c r="BO172" s="98">
        <f t="shared" si="250"/>
        <v>0</v>
      </c>
      <c r="BP172" s="98">
        <f t="shared" si="156"/>
        <v>0</v>
      </c>
      <c r="BQ172" s="98">
        <f t="shared" si="251"/>
        <v>0</v>
      </c>
      <c r="BR172" s="98">
        <f t="shared" si="157"/>
        <v>0</v>
      </c>
    </row>
    <row r="173" spans="1:70" x14ac:dyDescent="0.25">
      <c r="A173" t="s">
        <v>56</v>
      </c>
      <c r="B173" t="s">
        <v>7</v>
      </c>
      <c r="C173">
        <v>2025</v>
      </c>
      <c r="D173" s="98">
        <f>INDEX('Reference Sheet'!$G$9:$J$100, MATCH(A173,'Reference Sheet'!$F$9:$F$100,0), MATCH(C173,'Reference Sheet'!$G$8:$J$8,0))/2080</f>
        <v>43.93</v>
      </c>
      <c r="E173" s="99">
        <f>VLOOKUP(C173,'Reference Sheet'!$A$2:$B$5,2)</f>
        <v>0.22450000000000001</v>
      </c>
      <c r="F173" s="98">
        <f t="shared" si="159"/>
        <v>53.792285</v>
      </c>
      <c r="G173" s="98"/>
      <c r="H173" s="98"/>
      <c r="I173" s="21"/>
      <c r="J173" s="21"/>
      <c r="K173" s="21">
        <v>58</v>
      </c>
      <c r="L173" s="21"/>
      <c r="M173" s="21"/>
      <c r="N173" s="21"/>
      <c r="O173" s="21"/>
      <c r="P173" s="21"/>
      <c r="Q173" s="21">
        <v>28</v>
      </c>
      <c r="R173" s="21"/>
      <c r="S173" s="21"/>
      <c r="T173" s="21"/>
      <c r="U173" s="21"/>
      <c r="V173" s="21">
        <v>74</v>
      </c>
      <c r="W173" s="21"/>
      <c r="X173" s="21"/>
      <c r="Y173" s="21"/>
      <c r="Z173" s="21"/>
      <c r="AA173" s="98">
        <f t="shared" si="158"/>
        <v>160</v>
      </c>
      <c r="AB173" s="98">
        <f>IF(OR(B173="",C173=""),"",SUMIFS('Reference Sheet'!$D$9:$D$42,'Reference Sheet'!$A$9:$A$42,C173,'Reference Sheet'!$B$9:$B$42,B173))</f>
        <v>160</v>
      </c>
      <c r="AC173" s="98">
        <f t="shared" si="160"/>
        <v>0</v>
      </c>
      <c r="AD173" s="100">
        <f t="shared" ref="AD173:AD204" si="252">(G173/$AA173)*$AB173</f>
        <v>0</v>
      </c>
      <c r="AE173" s="100">
        <f t="shared" ref="AE173:AE204" si="253">(H173/$AA173)*$AB173</f>
        <v>0</v>
      </c>
      <c r="AF173" s="100">
        <f t="shared" ref="AF173:AF204" si="254">(I173/$AA173)*$AB173</f>
        <v>0</v>
      </c>
      <c r="AG173" s="100">
        <f t="shared" ref="AG173:AG204" si="255">(J173/$AA173)*$AB173</f>
        <v>0</v>
      </c>
      <c r="AH173" s="100">
        <f t="shared" ref="AH173:AH204" si="256">(K173/$AA173)*$AB173</f>
        <v>58</v>
      </c>
      <c r="AI173" s="100">
        <f t="shared" ref="AI173:AI204" si="257">(L173/$AA173)*$AB173</f>
        <v>0</v>
      </c>
      <c r="AJ173" s="100">
        <f t="shared" ref="AJ173:AJ204" si="258">(M173/$AA173)*$AB173</f>
        <v>0</v>
      </c>
      <c r="AK173" s="100">
        <f t="shared" ref="AK173:AK204" si="259">(N173/$AA173)*$AB173</f>
        <v>0</v>
      </c>
      <c r="AL173" s="100">
        <f t="shared" si="169"/>
        <v>0</v>
      </c>
      <c r="AM173" s="100">
        <f t="shared" ref="AM173:AM204" si="260">(P173/$AA173)*$AB173</f>
        <v>0</v>
      </c>
      <c r="AN173" s="100">
        <f t="shared" ref="AN173:AN204" si="261">(Q173/$AA173)*$AB173</f>
        <v>28</v>
      </c>
      <c r="AO173" s="100">
        <f t="shared" ref="AO173:AO204" si="262">(R173/$AA173)*$AB173</f>
        <v>0</v>
      </c>
      <c r="AP173" s="100">
        <f t="shared" ref="AP173:AP204" si="263">(S173/$AA173)*$AB173</f>
        <v>0</v>
      </c>
      <c r="AQ173" s="100">
        <f t="shared" ref="AQ173:AQ204" si="264">(T173/$AA173)*$AB173</f>
        <v>0</v>
      </c>
      <c r="AR173" s="100">
        <f t="shared" ref="AR173:AR204" si="265">(U173/$AA173)*$AB173</f>
        <v>0</v>
      </c>
      <c r="AS173" s="100">
        <f t="shared" ref="AS173:AS204" si="266">(V173/$AA173)*$AB173</f>
        <v>74</v>
      </c>
      <c r="AT173" s="100">
        <f t="shared" si="177"/>
        <v>0</v>
      </c>
      <c r="AU173" s="100">
        <f t="shared" si="178"/>
        <v>0</v>
      </c>
      <c r="AV173" s="100">
        <f t="shared" si="179"/>
        <v>0</v>
      </c>
      <c r="AW173" s="100">
        <f t="shared" si="180"/>
        <v>0</v>
      </c>
      <c r="AX173">
        <f t="shared" si="181"/>
        <v>160</v>
      </c>
      <c r="AY173" s="98">
        <f t="shared" si="182"/>
        <v>0</v>
      </c>
      <c r="AZ173" s="98">
        <f t="shared" si="183"/>
        <v>0</v>
      </c>
      <c r="BA173" s="98">
        <f t="shared" si="146"/>
        <v>0</v>
      </c>
      <c r="BB173" s="98">
        <f t="shared" si="184"/>
        <v>0</v>
      </c>
      <c r="BC173" s="98">
        <f t="shared" si="147"/>
        <v>3119.95253</v>
      </c>
      <c r="BD173" s="98">
        <f t="shared" si="148"/>
        <v>0</v>
      </c>
      <c r="BE173" s="98">
        <f t="shared" si="149"/>
        <v>0</v>
      </c>
      <c r="BF173" s="98">
        <f t="shared" si="185"/>
        <v>0</v>
      </c>
      <c r="BG173" s="98">
        <f t="shared" si="186"/>
        <v>0</v>
      </c>
      <c r="BH173" s="98">
        <f t="shared" si="150"/>
        <v>0</v>
      </c>
      <c r="BI173" s="98">
        <f t="shared" si="151"/>
        <v>1506.18398</v>
      </c>
      <c r="BJ173" s="98">
        <f t="shared" si="152"/>
        <v>0</v>
      </c>
      <c r="BK173" s="98">
        <f t="shared" si="153"/>
        <v>0</v>
      </c>
      <c r="BL173" s="98">
        <f t="shared" si="187"/>
        <v>0</v>
      </c>
      <c r="BM173" s="98">
        <f t="shared" si="154"/>
        <v>0</v>
      </c>
      <c r="BN173" s="98">
        <f t="shared" si="155"/>
        <v>3980.6290899999999</v>
      </c>
      <c r="BO173" s="98">
        <f t="shared" si="188"/>
        <v>0</v>
      </c>
      <c r="BP173" s="98">
        <f t="shared" si="156"/>
        <v>0</v>
      </c>
      <c r="BQ173" s="98">
        <f t="shared" si="189"/>
        <v>0</v>
      </c>
      <c r="BR173" s="98">
        <f t="shared" si="157"/>
        <v>0</v>
      </c>
    </row>
    <row r="174" spans="1:70" x14ac:dyDescent="0.25">
      <c r="A174" t="s">
        <v>56</v>
      </c>
      <c r="B174" t="s">
        <v>13</v>
      </c>
      <c r="C174">
        <v>2025</v>
      </c>
      <c r="D174" s="98">
        <f>INDEX('Reference Sheet'!$G$9:$J$100, MATCH(A174,'Reference Sheet'!$F$9:$F$100,0), MATCH(C174,'Reference Sheet'!$G$8:$J$8,0))/2080</f>
        <v>43.93</v>
      </c>
      <c r="E174" s="99">
        <f>VLOOKUP(C174,'Reference Sheet'!$A$2:$B$5,2)</f>
        <v>0.22450000000000001</v>
      </c>
      <c r="F174" s="98">
        <f t="shared" si="159"/>
        <v>53.792285</v>
      </c>
      <c r="G174" s="98"/>
      <c r="H174" s="98"/>
      <c r="I174" s="21"/>
      <c r="J174" s="21"/>
      <c r="K174" s="21"/>
      <c r="L174" s="21"/>
      <c r="M174" s="21"/>
      <c r="N174" s="21"/>
      <c r="O174" s="21"/>
      <c r="P174" s="21"/>
      <c r="Q174" s="21">
        <v>62</v>
      </c>
      <c r="R174" s="21"/>
      <c r="S174" s="21"/>
      <c r="T174" s="21"/>
      <c r="U174" s="21"/>
      <c r="V174" s="21">
        <v>98</v>
      </c>
      <c r="W174" s="21"/>
      <c r="X174" s="21"/>
      <c r="Y174" s="21"/>
      <c r="Z174" s="21"/>
      <c r="AA174" s="98">
        <f t="shared" si="158"/>
        <v>160</v>
      </c>
      <c r="AB174" s="98">
        <f>IF(OR(B174="",C174=""),"",SUMIFS('Reference Sheet'!$D$9:$D$42,'Reference Sheet'!$A$9:$A$42,C174,'Reference Sheet'!$B$9:$B$42,B174))</f>
        <v>168</v>
      </c>
      <c r="AC174" s="98">
        <f t="shared" si="160"/>
        <v>8</v>
      </c>
      <c r="AD174" s="100">
        <f t="shared" si="252"/>
        <v>0</v>
      </c>
      <c r="AE174" s="100">
        <f t="shared" si="253"/>
        <v>0</v>
      </c>
      <c r="AF174" s="100">
        <f t="shared" si="254"/>
        <v>0</v>
      </c>
      <c r="AG174" s="100">
        <f t="shared" si="255"/>
        <v>0</v>
      </c>
      <c r="AH174" s="100">
        <f t="shared" si="256"/>
        <v>0</v>
      </c>
      <c r="AI174" s="100">
        <f t="shared" si="257"/>
        <v>0</v>
      </c>
      <c r="AJ174" s="100">
        <f t="shared" si="258"/>
        <v>0</v>
      </c>
      <c r="AK174" s="100">
        <f t="shared" si="259"/>
        <v>0</v>
      </c>
      <c r="AL174" s="100">
        <f t="shared" si="169"/>
        <v>0</v>
      </c>
      <c r="AM174" s="100">
        <f t="shared" si="260"/>
        <v>0</v>
      </c>
      <c r="AN174" s="100">
        <f t="shared" si="261"/>
        <v>65.100000000000009</v>
      </c>
      <c r="AO174" s="100">
        <f t="shared" si="262"/>
        <v>0</v>
      </c>
      <c r="AP174" s="100">
        <f t="shared" si="263"/>
        <v>0</v>
      </c>
      <c r="AQ174" s="100">
        <f t="shared" si="264"/>
        <v>0</v>
      </c>
      <c r="AR174" s="100">
        <f t="shared" si="265"/>
        <v>0</v>
      </c>
      <c r="AS174" s="100">
        <f t="shared" si="266"/>
        <v>102.9</v>
      </c>
      <c r="AT174" s="100">
        <f t="shared" si="177"/>
        <v>0</v>
      </c>
      <c r="AU174" s="100">
        <f t="shared" si="178"/>
        <v>0</v>
      </c>
      <c r="AV174" s="100">
        <f t="shared" si="179"/>
        <v>0</v>
      </c>
      <c r="AW174" s="100">
        <f t="shared" si="180"/>
        <v>0</v>
      </c>
      <c r="AX174">
        <f t="shared" si="181"/>
        <v>168</v>
      </c>
      <c r="AY174" s="98">
        <f t="shared" si="182"/>
        <v>0</v>
      </c>
      <c r="AZ174" s="98">
        <f t="shared" si="183"/>
        <v>0</v>
      </c>
      <c r="BA174" s="98">
        <f t="shared" si="146"/>
        <v>0</v>
      </c>
      <c r="BB174" s="98">
        <f t="shared" si="184"/>
        <v>0</v>
      </c>
      <c r="BC174" s="98">
        <f t="shared" si="147"/>
        <v>0</v>
      </c>
      <c r="BD174" s="98">
        <f t="shared" si="148"/>
        <v>0</v>
      </c>
      <c r="BE174" s="98">
        <f t="shared" si="149"/>
        <v>0</v>
      </c>
      <c r="BF174" s="98">
        <f t="shared" si="185"/>
        <v>0</v>
      </c>
      <c r="BG174" s="98">
        <f t="shared" si="186"/>
        <v>0</v>
      </c>
      <c r="BH174" s="98">
        <f t="shared" si="150"/>
        <v>0</v>
      </c>
      <c r="BI174" s="98">
        <f t="shared" si="151"/>
        <v>3501.8777535000004</v>
      </c>
      <c r="BJ174" s="98">
        <f t="shared" si="152"/>
        <v>0</v>
      </c>
      <c r="BK174" s="98">
        <f t="shared" si="153"/>
        <v>0</v>
      </c>
      <c r="BL174" s="98">
        <f t="shared" si="187"/>
        <v>0</v>
      </c>
      <c r="BM174" s="98">
        <f t="shared" si="154"/>
        <v>0</v>
      </c>
      <c r="BN174" s="98">
        <f t="shared" si="155"/>
        <v>5535.2261265000006</v>
      </c>
      <c r="BO174" s="98">
        <f t="shared" si="188"/>
        <v>0</v>
      </c>
      <c r="BP174" s="98">
        <f t="shared" si="156"/>
        <v>0</v>
      </c>
      <c r="BQ174" s="98">
        <f t="shared" si="189"/>
        <v>0</v>
      </c>
      <c r="BR174" s="98">
        <f t="shared" si="157"/>
        <v>0</v>
      </c>
    </row>
    <row r="175" spans="1:70" x14ac:dyDescent="0.25">
      <c r="A175" t="s">
        <v>56</v>
      </c>
      <c r="B175" t="s">
        <v>16</v>
      </c>
      <c r="C175">
        <v>2025</v>
      </c>
      <c r="D175" s="98">
        <f>INDEX('Reference Sheet'!$G$9:$J$100, MATCH(A175,'Reference Sheet'!$F$9:$F$100,0), MATCH(C175,'Reference Sheet'!$G$8:$J$8,0))/2080</f>
        <v>43.93</v>
      </c>
      <c r="E175" s="99">
        <f>VLOOKUP(C175,'Reference Sheet'!$A$2:$B$5,2)</f>
        <v>0.22450000000000001</v>
      </c>
      <c r="F175" s="98">
        <f t="shared" si="159"/>
        <v>53.792285</v>
      </c>
      <c r="G175" s="98"/>
      <c r="H175" s="98"/>
      <c r="I175" s="21"/>
      <c r="J175" s="21"/>
      <c r="K175" s="21"/>
      <c r="L175" s="21"/>
      <c r="M175" s="21"/>
      <c r="N175" s="21"/>
      <c r="O175" s="21"/>
      <c r="P175" s="21"/>
      <c r="Q175" s="21">
        <v>52</v>
      </c>
      <c r="R175" s="21"/>
      <c r="S175" s="21"/>
      <c r="T175" s="21"/>
      <c r="U175" s="21"/>
      <c r="V175" s="21">
        <v>108</v>
      </c>
      <c r="W175" s="21"/>
      <c r="X175" s="21"/>
      <c r="Y175" s="21"/>
      <c r="Z175" s="21"/>
      <c r="AA175" s="98">
        <f t="shared" si="158"/>
        <v>160</v>
      </c>
      <c r="AB175" s="98">
        <f>IF(OR(B175="",C175=""),"",SUMIFS('Reference Sheet'!$D$9:$D$42,'Reference Sheet'!$A$9:$A$42,C175,'Reference Sheet'!$B$9:$B$42,B175))</f>
        <v>160</v>
      </c>
      <c r="AC175" s="98">
        <f t="shared" si="160"/>
        <v>0</v>
      </c>
      <c r="AD175" s="100">
        <f t="shared" si="252"/>
        <v>0</v>
      </c>
      <c r="AE175" s="100">
        <f t="shared" si="253"/>
        <v>0</v>
      </c>
      <c r="AF175" s="100">
        <f t="shared" si="254"/>
        <v>0</v>
      </c>
      <c r="AG175" s="100">
        <f t="shared" si="255"/>
        <v>0</v>
      </c>
      <c r="AH175" s="100">
        <f t="shared" si="256"/>
        <v>0</v>
      </c>
      <c r="AI175" s="100">
        <f t="shared" si="257"/>
        <v>0</v>
      </c>
      <c r="AJ175" s="100">
        <f t="shared" si="258"/>
        <v>0</v>
      </c>
      <c r="AK175" s="100">
        <f t="shared" si="259"/>
        <v>0</v>
      </c>
      <c r="AL175" s="100">
        <f t="shared" si="169"/>
        <v>0</v>
      </c>
      <c r="AM175" s="100">
        <f t="shared" si="260"/>
        <v>0</v>
      </c>
      <c r="AN175" s="100">
        <f t="shared" si="261"/>
        <v>52</v>
      </c>
      <c r="AO175" s="100">
        <f t="shared" si="262"/>
        <v>0</v>
      </c>
      <c r="AP175" s="100">
        <f t="shared" si="263"/>
        <v>0</v>
      </c>
      <c r="AQ175" s="100">
        <f t="shared" si="264"/>
        <v>0</v>
      </c>
      <c r="AR175" s="100">
        <f t="shared" si="265"/>
        <v>0</v>
      </c>
      <c r="AS175" s="100">
        <f t="shared" si="266"/>
        <v>108</v>
      </c>
      <c r="AT175" s="100">
        <f t="shared" si="177"/>
        <v>0</v>
      </c>
      <c r="AU175" s="100">
        <f t="shared" si="178"/>
        <v>0</v>
      </c>
      <c r="AV175" s="100">
        <f t="shared" si="179"/>
        <v>0</v>
      </c>
      <c r="AW175" s="100">
        <f t="shared" si="180"/>
        <v>0</v>
      </c>
      <c r="AX175">
        <f t="shared" si="181"/>
        <v>160</v>
      </c>
      <c r="AY175" s="98">
        <f t="shared" si="182"/>
        <v>0</v>
      </c>
      <c r="AZ175" s="98">
        <f t="shared" si="183"/>
        <v>0</v>
      </c>
      <c r="BA175" s="98">
        <f t="shared" si="146"/>
        <v>0</v>
      </c>
      <c r="BB175" s="98">
        <f t="shared" si="184"/>
        <v>0</v>
      </c>
      <c r="BC175" s="98">
        <f t="shared" si="147"/>
        <v>0</v>
      </c>
      <c r="BD175" s="98">
        <f t="shared" si="148"/>
        <v>0</v>
      </c>
      <c r="BE175" s="98">
        <f t="shared" si="149"/>
        <v>0</v>
      </c>
      <c r="BF175" s="98">
        <f t="shared" si="185"/>
        <v>0</v>
      </c>
      <c r="BG175" s="98">
        <f t="shared" si="186"/>
        <v>0</v>
      </c>
      <c r="BH175" s="98">
        <f t="shared" si="150"/>
        <v>0</v>
      </c>
      <c r="BI175" s="98">
        <f t="shared" si="151"/>
        <v>2797.1988200000001</v>
      </c>
      <c r="BJ175" s="98">
        <f t="shared" si="152"/>
        <v>0</v>
      </c>
      <c r="BK175" s="98">
        <f t="shared" si="153"/>
        <v>0</v>
      </c>
      <c r="BL175" s="98">
        <f t="shared" si="187"/>
        <v>0</v>
      </c>
      <c r="BM175" s="98">
        <f t="shared" si="154"/>
        <v>0</v>
      </c>
      <c r="BN175" s="98">
        <f t="shared" si="155"/>
        <v>5809.5667800000001</v>
      </c>
      <c r="BO175" s="98">
        <f t="shared" si="188"/>
        <v>0</v>
      </c>
      <c r="BP175" s="98">
        <f t="shared" si="156"/>
        <v>0</v>
      </c>
      <c r="BQ175" s="98">
        <f t="shared" si="189"/>
        <v>0</v>
      </c>
      <c r="BR175" s="98">
        <f t="shared" si="157"/>
        <v>0</v>
      </c>
    </row>
    <row r="176" spans="1:70" x14ac:dyDescent="0.25">
      <c r="A176" t="s">
        <v>56</v>
      </c>
      <c r="B176" t="s">
        <v>8</v>
      </c>
      <c r="C176">
        <v>2025</v>
      </c>
      <c r="D176" s="98">
        <f>INDEX('Reference Sheet'!$G$9:$J$100, MATCH(A176,'Reference Sheet'!$F$9:$F$100,0), MATCH(C176,'Reference Sheet'!$G$8:$J$8,0))/2080</f>
        <v>43.93</v>
      </c>
      <c r="E176" s="99">
        <f>VLOOKUP(C176,'Reference Sheet'!$A$2:$B$5,2)</f>
        <v>0.22450000000000001</v>
      </c>
      <c r="F176" s="98">
        <f t="shared" si="159"/>
        <v>53.792285</v>
      </c>
      <c r="G176" s="98"/>
      <c r="H176" s="98"/>
      <c r="I176" s="21"/>
      <c r="J176" s="21"/>
      <c r="K176" s="21">
        <v>43</v>
      </c>
      <c r="L176" s="21"/>
      <c r="M176" s="21"/>
      <c r="N176" s="21"/>
      <c r="O176" s="21"/>
      <c r="P176" s="21"/>
      <c r="Q176" s="21">
        <v>43</v>
      </c>
      <c r="R176" s="21"/>
      <c r="S176" s="21"/>
      <c r="T176" s="21"/>
      <c r="U176" s="21"/>
      <c r="V176" s="21">
        <v>82</v>
      </c>
      <c r="W176" s="21"/>
      <c r="X176" s="21"/>
      <c r="Y176" s="21"/>
      <c r="Z176" s="21"/>
      <c r="AA176" s="98">
        <f t="shared" si="158"/>
        <v>168</v>
      </c>
      <c r="AB176" s="98">
        <f>IF(OR(B176="",C176=""),"",SUMIFS('Reference Sheet'!$D$9:$D$42,'Reference Sheet'!$A$9:$A$42,C176,'Reference Sheet'!$B$9:$B$42,B176))</f>
        <v>168</v>
      </c>
      <c r="AC176" s="98">
        <f t="shared" si="160"/>
        <v>0</v>
      </c>
      <c r="AD176" s="100">
        <f t="shared" si="252"/>
        <v>0</v>
      </c>
      <c r="AE176" s="100">
        <f t="shared" si="253"/>
        <v>0</v>
      </c>
      <c r="AF176" s="100">
        <f t="shared" si="254"/>
        <v>0</v>
      </c>
      <c r="AG176" s="100">
        <f t="shared" si="255"/>
        <v>0</v>
      </c>
      <c r="AH176" s="100">
        <f t="shared" si="256"/>
        <v>43</v>
      </c>
      <c r="AI176" s="100">
        <f t="shared" si="257"/>
        <v>0</v>
      </c>
      <c r="AJ176" s="100">
        <f t="shared" si="258"/>
        <v>0</v>
      </c>
      <c r="AK176" s="100">
        <f t="shared" si="259"/>
        <v>0</v>
      </c>
      <c r="AL176" s="100">
        <f t="shared" si="169"/>
        <v>0</v>
      </c>
      <c r="AM176" s="100">
        <f t="shared" si="260"/>
        <v>0</v>
      </c>
      <c r="AN176" s="100">
        <f t="shared" si="261"/>
        <v>43</v>
      </c>
      <c r="AO176" s="100">
        <f t="shared" si="262"/>
        <v>0</v>
      </c>
      <c r="AP176" s="100">
        <f t="shared" si="263"/>
        <v>0</v>
      </c>
      <c r="AQ176" s="100">
        <f t="shared" si="264"/>
        <v>0</v>
      </c>
      <c r="AR176" s="100">
        <f t="shared" si="265"/>
        <v>0</v>
      </c>
      <c r="AS176" s="100">
        <f t="shared" si="266"/>
        <v>82</v>
      </c>
      <c r="AT176" s="100">
        <f t="shared" si="177"/>
        <v>0</v>
      </c>
      <c r="AU176" s="100">
        <f t="shared" si="178"/>
        <v>0</v>
      </c>
      <c r="AV176" s="100">
        <f t="shared" si="179"/>
        <v>0</v>
      </c>
      <c r="AW176" s="100">
        <f t="shared" si="180"/>
        <v>0</v>
      </c>
      <c r="AX176">
        <f t="shared" si="181"/>
        <v>168</v>
      </c>
      <c r="AY176" s="98">
        <f t="shared" si="182"/>
        <v>0</v>
      </c>
      <c r="AZ176" s="98">
        <f t="shared" si="183"/>
        <v>0</v>
      </c>
      <c r="BA176" s="98">
        <f t="shared" si="146"/>
        <v>0</v>
      </c>
      <c r="BB176" s="98">
        <f t="shared" si="184"/>
        <v>0</v>
      </c>
      <c r="BC176" s="98">
        <f t="shared" si="147"/>
        <v>2313.0682550000001</v>
      </c>
      <c r="BD176" s="98">
        <f t="shared" si="148"/>
        <v>0</v>
      </c>
      <c r="BE176" s="98">
        <f t="shared" si="149"/>
        <v>0</v>
      </c>
      <c r="BF176" s="98">
        <f t="shared" si="185"/>
        <v>0</v>
      </c>
      <c r="BG176" s="98">
        <f t="shared" si="186"/>
        <v>0</v>
      </c>
      <c r="BH176" s="98">
        <f t="shared" si="150"/>
        <v>0</v>
      </c>
      <c r="BI176" s="98">
        <f t="shared" si="151"/>
        <v>2313.0682550000001</v>
      </c>
      <c r="BJ176" s="98">
        <f t="shared" si="152"/>
        <v>0</v>
      </c>
      <c r="BK176" s="98">
        <f t="shared" si="153"/>
        <v>0</v>
      </c>
      <c r="BL176" s="98">
        <f t="shared" si="187"/>
        <v>0</v>
      </c>
      <c r="BM176" s="98">
        <f t="shared" si="154"/>
        <v>0</v>
      </c>
      <c r="BN176" s="98">
        <f t="shared" si="155"/>
        <v>4410.9673700000003</v>
      </c>
      <c r="BO176" s="98">
        <f t="shared" si="188"/>
        <v>0</v>
      </c>
      <c r="BP176" s="98">
        <f t="shared" si="156"/>
        <v>0</v>
      </c>
      <c r="BQ176" s="98">
        <f t="shared" si="189"/>
        <v>0</v>
      </c>
      <c r="BR176" s="98">
        <f t="shared" si="157"/>
        <v>0</v>
      </c>
    </row>
    <row r="177" spans="1:70" x14ac:dyDescent="0.25">
      <c r="A177" t="s">
        <v>56</v>
      </c>
      <c r="B177" t="s">
        <v>11</v>
      </c>
      <c r="C177">
        <v>2025</v>
      </c>
      <c r="D177" s="98">
        <f>INDEX('Reference Sheet'!$G$9:$J$100, MATCH(A177,'Reference Sheet'!$F$9:$F$100,0), MATCH(C177,'Reference Sheet'!$G$8:$J$8,0))/2080</f>
        <v>43.93</v>
      </c>
      <c r="E177" s="99">
        <f>VLOOKUP(C177,'Reference Sheet'!$A$2:$B$5,2)</f>
        <v>0.22450000000000001</v>
      </c>
      <c r="F177" s="98">
        <f t="shared" si="159"/>
        <v>53.792285</v>
      </c>
      <c r="G177" s="98"/>
      <c r="H177" s="98"/>
      <c r="I177" s="21"/>
      <c r="J177" s="21"/>
      <c r="K177" s="21">
        <v>41</v>
      </c>
      <c r="L177" s="21"/>
      <c r="M177" s="21"/>
      <c r="N177" s="21"/>
      <c r="O177" s="21"/>
      <c r="P177" s="21"/>
      <c r="Q177" s="21">
        <v>47</v>
      </c>
      <c r="R177" s="21"/>
      <c r="S177" s="21"/>
      <c r="T177" s="21"/>
      <c r="U177" s="21"/>
      <c r="V177" s="21">
        <v>80</v>
      </c>
      <c r="W177" s="21"/>
      <c r="X177" s="21"/>
      <c r="Y177" s="21"/>
      <c r="Z177" s="21"/>
      <c r="AA177" s="98">
        <f t="shared" si="158"/>
        <v>168</v>
      </c>
      <c r="AB177" s="98">
        <f>IF(OR(B177="",C177=""),"",SUMIFS('Reference Sheet'!$D$9:$D$42,'Reference Sheet'!$A$9:$A$42,C177,'Reference Sheet'!$B$9:$B$42,B177))</f>
        <v>168</v>
      </c>
      <c r="AC177" s="98">
        <f t="shared" si="160"/>
        <v>0</v>
      </c>
      <c r="AD177" s="100">
        <f t="shared" si="252"/>
        <v>0</v>
      </c>
      <c r="AE177" s="100">
        <f t="shared" si="253"/>
        <v>0</v>
      </c>
      <c r="AF177" s="100">
        <f t="shared" si="254"/>
        <v>0</v>
      </c>
      <c r="AG177" s="100">
        <f t="shared" si="255"/>
        <v>0</v>
      </c>
      <c r="AH177" s="100">
        <f t="shared" si="256"/>
        <v>41</v>
      </c>
      <c r="AI177" s="100">
        <f t="shared" si="257"/>
        <v>0</v>
      </c>
      <c r="AJ177" s="100">
        <f t="shared" si="258"/>
        <v>0</v>
      </c>
      <c r="AK177" s="100">
        <f t="shared" si="259"/>
        <v>0</v>
      </c>
      <c r="AL177" s="100">
        <f t="shared" si="169"/>
        <v>0</v>
      </c>
      <c r="AM177" s="100">
        <f t="shared" si="260"/>
        <v>0</v>
      </c>
      <c r="AN177" s="100">
        <f t="shared" si="261"/>
        <v>47</v>
      </c>
      <c r="AO177" s="100">
        <f t="shared" si="262"/>
        <v>0</v>
      </c>
      <c r="AP177" s="100">
        <f t="shared" si="263"/>
        <v>0</v>
      </c>
      <c r="AQ177" s="100">
        <f t="shared" si="264"/>
        <v>0</v>
      </c>
      <c r="AR177" s="100">
        <f t="shared" si="265"/>
        <v>0</v>
      </c>
      <c r="AS177" s="100">
        <f t="shared" si="266"/>
        <v>80</v>
      </c>
      <c r="AT177" s="100">
        <f t="shared" si="177"/>
        <v>0</v>
      </c>
      <c r="AU177" s="100">
        <f t="shared" si="178"/>
        <v>0</v>
      </c>
      <c r="AV177" s="100">
        <f t="shared" si="179"/>
        <v>0</v>
      </c>
      <c r="AW177" s="100">
        <f t="shared" si="180"/>
        <v>0</v>
      </c>
      <c r="AX177">
        <f t="shared" si="181"/>
        <v>168</v>
      </c>
      <c r="AY177" s="98">
        <f t="shared" si="182"/>
        <v>0</v>
      </c>
      <c r="AZ177" s="98">
        <f t="shared" si="183"/>
        <v>0</v>
      </c>
      <c r="BA177" s="98">
        <f t="shared" si="146"/>
        <v>0</v>
      </c>
      <c r="BB177" s="98">
        <f t="shared" si="184"/>
        <v>0</v>
      </c>
      <c r="BC177" s="98">
        <f t="shared" si="147"/>
        <v>2205.4836850000002</v>
      </c>
      <c r="BD177" s="98">
        <f t="shared" si="148"/>
        <v>0</v>
      </c>
      <c r="BE177" s="98">
        <f t="shared" si="149"/>
        <v>0</v>
      </c>
      <c r="BF177" s="98">
        <f t="shared" si="185"/>
        <v>0</v>
      </c>
      <c r="BG177" s="98">
        <f t="shared" si="186"/>
        <v>0</v>
      </c>
      <c r="BH177" s="98">
        <f t="shared" si="150"/>
        <v>0</v>
      </c>
      <c r="BI177" s="98">
        <f t="shared" si="151"/>
        <v>2528.2373950000001</v>
      </c>
      <c r="BJ177" s="98">
        <f t="shared" si="152"/>
        <v>0</v>
      </c>
      <c r="BK177" s="98">
        <f t="shared" si="153"/>
        <v>0</v>
      </c>
      <c r="BL177" s="98">
        <f t="shared" si="187"/>
        <v>0</v>
      </c>
      <c r="BM177" s="98">
        <f t="shared" si="154"/>
        <v>0</v>
      </c>
      <c r="BN177" s="98">
        <f t="shared" si="155"/>
        <v>4303.3828000000003</v>
      </c>
      <c r="BO177" s="98">
        <f t="shared" si="188"/>
        <v>0</v>
      </c>
      <c r="BP177" s="98">
        <f t="shared" si="156"/>
        <v>0</v>
      </c>
      <c r="BQ177" s="98">
        <f t="shared" si="189"/>
        <v>0</v>
      </c>
      <c r="BR177" s="98">
        <f t="shared" si="157"/>
        <v>0</v>
      </c>
    </row>
    <row r="178" spans="1:70" x14ac:dyDescent="0.25">
      <c r="A178" t="s">
        <v>56</v>
      </c>
      <c r="B178" t="s">
        <v>9</v>
      </c>
      <c r="C178">
        <v>2025</v>
      </c>
      <c r="D178" s="98">
        <f>INDEX('Reference Sheet'!$G$9:$J$100, MATCH(A178,'Reference Sheet'!$F$9:$F$100,0), MATCH(C178,'Reference Sheet'!$G$8:$J$8,0))/2080</f>
        <v>43.93</v>
      </c>
      <c r="E178" s="99">
        <f>VLOOKUP(C178,'Reference Sheet'!$A$2:$B$5,2)</f>
        <v>0.22450000000000001</v>
      </c>
      <c r="F178" s="98">
        <f t="shared" si="159"/>
        <v>53.792285</v>
      </c>
      <c r="G178" s="98"/>
      <c r="H178" s="98"/>
      <c r="I178" s="21"/>
      <c r="J178" s="21"/>
      <c r="K178" s="21">
        <v>61</v>
      </c>
      <c r="L178" s="21"/>
      <c r="M178" s="21"/>
      <c r="N178" s="21"/>
      <c r="O178" s="21"/>
      <c r="P178" s="21"/>
      <c r="Q178" s="21">
        <v>34</v>
      </c>
      <c r="R178" s="21"/>
      <c r="S178" s="21"/>
      <c r="T178" s="21"/>
      <c r="U178" s="21"/>
      <c r="V178" s="21">
        <v>80</v>
      </c>
      <c r="W178" s="21"/>
      <c r="X178" s="21"/>
      <c r="Y178" s="21"/>
      <c r="Z178" s="21"/>
      <c r="AA178" s="98">
        <f t="shared" si="158"/>
        <v>175</v>
      </c>
      <c r="AB178" s="98">
        <f>IF(OR(B178="",C178=""),"",SUMIFS('Reference Sheet'!$D$9:$D$42,'Reference Sheet'!$A$9:$A$42,C178,'Reference Sheet'!$B$9:$B$42,B178))</f>
        <v>176</v>
      </c>
      <c r="AC178" s="98">
        <f t="shared" si="160"/>
        <v>1</v>
      </c>
      <c r="AD178" s="100">
        <f t="shared" si="252"/>
        <v>0</v>
      </c>
      <c r="AE178" s="100">
        <f t="shared" si="253"/>
        <v>0</v>
      </c>
      <c r="AF178" s="100">
        <f t="shared" si="254"/>
        <v>0</v>
      </c>
      <c r="AG178" s="100">
        <f t="shared" si="255"/>
        <v>0</v>
      </c>
      <c r="AH178" s="100">
        <f t="shared" si="256"/>
        <v>61.348571428571432</v>
      </c>
      <c r="AI178" s="100">
        <f t="shared" si="257"/>
        <v>0</v>
      </c>
      <c r="AJ178" s="100">
        <f t="shared" si="258"/>
        <v>0</v>
      </c>
      <c r="AK178" s="100">
        <f t="shared" si="259"/>
        <v>0</v>
      </c>
      <c r="AL178" s="100">
        <f t="shared" si="169"/>
        <v>0</v>
      </c>
      <c r="AM178" s="100">
        <f t="shared" si="260"/>
        <v>0</v>
      </c>
      <c r="AN178" s="100">
        <f t="shared" si="261"/>
        <v>34.194285714285712</v>
      </c>
      <c r="AO178" s="100">
        <f t="shared" si="262"/>
        <v>0</v>
      </c>
      <c r="AP178" s="100">
        <f t="shared" si="263"/>
        <v>0</v>
      </c>
      <c r="AQ178" s="100">
        <f t="shared" si="264"/>
        <v>0</v>
      </c>
      <c r="AR178" s="100">
        <f t="shared" si="265"/>
        <v>0</v>
      </c>
      <c r="AS178" s="100">
        <f t="shared" si="266"/>
        <v>80.457142857142856</v>
      </c>
      <c r="AT178" s="100">
        <f t="shared" si="177"/>
        <v>0</v>
      </c>
      <c r="AU178" s="100">
        <f t="shared" si="178"/>
        <v>0</v>
      </c>
      <c r="AV178" s="100">
        <f t="shared" si="179"/>
        <v>0</v>
      </c>
      <c r="AW178" s="100">
        <f t="shared" si="180"/>
        <v>0</v>
      </c>
      <c r="AX178">
        <f t="shared" si="181"/>
        <v>176</v>
      </c>
      <c r="AY178" s="98">
        <f t="shared" si="182"/>
        <v>0</v>
      </c>
      <c r="AZ178" s="98">
        <f t="shared" si="183"/>
        <v>0</v>
      </c>
      <c r="BA178" s="98">
        <f t="shared" si="146"/>
        <v>0</v>
      </c>
      <c r="BB178" s="98">
        <f t="shared" si="184"/>
        <v>0</v>
      </c>
      <c r="BC178" s="98">
        <f t="shared" si="147"/>
        <v>3300.0798386285715</v>
      </c>
      <c r="BD178" s="98">
        <f t="shared" si="148"/>
        <v>0</v>
      </c>
      <c r="BE178" s="98">
        <f t="shared" si="149"/>
        <v>0</v>
      </c>
      <c r="BF178" s="98">
        <f t="shared" si="185"/>
        <v>0</v>
      </c>
      <c r="BG178" s="98">
        <f t="shared" si="186"/>
        <v>0</v>
      </c>
      <c r="BH178" s="98">
        <f t="shared" si="150"/>
        <v>0</v>
      </c>
      <c r="BI178" s="98">
        <f t="shared" si="151"/>
        <v>1839.3887625142856</v>
      </c>
      <c r="BJ178" s="98">
        <f t="shared" si="152"/>
        <v>0</v>
      </c>
      <c r="BK178" s="98">
        <f t="shared" si="153"/>
        <v>0</v>
      </c>
      <c r="BL178" s="98">
        <f t="shared" si="187"/>
        <v>0</v>
      </c>
      <c r="BM178" s="98">
        <f t="shared" si="154"/>
        <v>0</v>
      </c>
      <c r="BN178" s="98">
        <f t="shared" si="155"/>
        <v>4327.973558857143</v>
      </c>
      <c r="BO178" s="98">
        <f t="shared" si="188"/>
        <v>0</v>
      </c>
      <c r="BP178" s="98">
        <f t="shared" si="156"/>
        <v>0</v>
      </c>
      <c r="BQ178" s="98">
        <f t="shared" si="189"/>
        <v>0</v>
      </c>
      <c r="BR178" s="98">
        <f t="shared" si="157"/>
        <v>0</v>
      </c>
    </row>
    <row r="179" spans="1:70" x14ac:dyDescent="0.25">
      <c r="A179" t="s">
        <v>56</v>
      </c>
      <c r="B179" t="s">
        <v>14</v>
      </c>
      <c r="C179">
        <v>2025</v>
      </c>
      <c r="D179" s="98">
        <f>INDEX('Reference Sheet'!$G$9:$J$100, MATCH(A179,'Reference Sheet'!$F$9:$F$100,0), MATCH(C179,'Reference Sheet'!$G$8:$J$8,0))/2080</f>
        <v>43.93</v>
      </c>
      <c r="E179" s="99">
        <f>VLOOKUP(C179,'Reference Sheet'!$A$2:$B$5,2)</f>
        <v>0.22450000000000001</v>
      </c>
      <c r="F179" s="98">
        <f t="shared" si="159"/>
        <v>53.792285</v>
      </c>
      <c r="G179" s="98"/>
      <c r="H179" s="98"/>
      <c r="I179" s="21"/>
      <c r="J179" s="21"/>
      <c r="K179" s="21"/>
      <c r="L179" s="21"/>
      <c r="M179" s="21"/>
      <c r="N179" s="21"/>
      <c r="O179" s="21"/>
      <c r="P179" s="21"/>
      <c r="Q179" s="21">
        <v>88</v>
      </c>
      <c r="R179" s="21"/>
      <c r="S179" s="21"/>
      <c r="T179" s="21"/>
      <c r="U179" s="21"/>
      <c r="V179" s="21">
        <v>88</v>
      </c>
      <c r="W179" s="21"/>
      <c r="X179" s="21"/>
      <c r="Y179" s="21"/>
      <c r="Z179" s="21"/>
      <c r="AA179" s="98">
        <f t="shared" si="158"/>
        <v>176</v>
      </c>
      <c r="AB179" s="98">
        <f>IF(OR(B179="",C179=""),"",SUMIFS('Reference Sheet'!$D$9:$D$42,'Reference Sheet'!$A$9:$A$42,C179,'Reference Sheet'!$B$9:$B$42,B179))</f>
        <v>176</v>
      </c>
      <c r="AC179" s="98">
        <f t="shared" si="160"/>
        <v>0</v>
      </c>
      <c r="AD179" s="100">
        <f t="shared" si="252"/>
        <v>0</v>
      </c>
      <c r="AE179" s="100">
        <f t="shared" si="253"/>
        <v>0</v>
      </c>
      <c r="AF179" s="100">
        <f t="shared" si="254"/>
        <v>0</v>
      </c>
      <c r="AG179" s="100">
        <f t="shared" si="255"/>
        <v>0</v>
      </c>
      <c r="AH179" s="100">
        <f t="shared" si="256"/>
        <v>0</v>
      </c>
      <c r="AI179" s="100">
        <f t="shared" si="257"/>
        <v>0</v>
      </c>
      <c r="AJ179" s="100">
        <f t="shared" si="258"/>
        <v>0</v>
      </c>
      <c r="AK179" s="100">
        <f t="shared" si="259"/>
        <v>0</v>
      </c>
      <c r="AL179" s="100">
        <f t="shared" si="169"/>
        <v>0</v>
      </c>
      <c r="AM179" s="100">
        <f t="shared" si="260"/>
        <v>0</v>
      </c>
      <c r="AN179" s="100">
        <f t="shared" si="261"/>
        <v>88</v>
      </c>
      <c r="AO179" s="100">
        <f t="shared" si="262"/>
        <v>0</v>
      </c>
      <c r="AP179" s="100">
        <f t="shared" si="263"/>
        <v>0</v>
      </c>
      <c r="AQ179" s="100">
        <f t="shared" si="264"/>
        <v>0</v>
      </c>
      <c r="AR179" s="100">
        <f t="shared" si="265"/>
        <v>0</v>
      </c>
      <c r="AS179" s="100">
        <f t="shared" si="266"/>
        <v>88</v>
      </c>
      <c r="AT179" s="100">
        <f t="shared" si="177"/>
        <v>0</v>
      </c>
      <c r="AU179" s="100">
        <f t="shared" si="178"/>
        <v>0</v>
      </c>
      <c r="AV179" s="100">
        <f t="shared" si="179"/>
        <v>0</v>
      </c>
      <c r="AW179" s="100">
        <f t="shared" si="180"/>
        <v>0</v>
      </c>
      <c r="AX179">
        <f t="shared" si="181"/>
        <v>176</v>
      </c>
      <c r="AY179" s="98">
        <f t="shared" si="182"/>
        <v>0</v>
      </c>
      <c r="AZ179" s="98">
        <f t="shared" si="183"/>
        <v>0</v>
      </c>
      <c r="BA179" s="98">
        <f t="shared" si="146"/>
        <v>0</v>
      </c>
      <c r="BB179" s="98">
        <f t="shared" si="184"/>
        <v>0</v>
      </c>
      <c r="BC179" s="98">
        <f t="shared" si="147"/>
        <v>0</v>
      </c>
      <c r="BD179" s="98">
        <f t="shared" si="148"/>
        <v>0</v>
      </c>
      <c r="BE179" s="98">
        <f t="shared" si="149"/>
        <v>0</v>
      </c>
      <c r="BF179" s="98">
        <f t="shared" si="185"/>
        <v>0</v>
      </c>
      <c r="BG179" s="98">
        <f t="shared" si="186"/>
        <v>0</v>
      </c>
      <c r="BH179" s="98">
        <f t="shared" si="150"/>
        <v>0</v>
      </c>
      <c r="BI179" s="98">
        <f t="shared" si="151"/>
        <v>4733.7210800000003</v>
      </c>
      <c r="BJ179" s="98">
        <f t="shared" si="152"/>
        <v>0</v>
      </c>
      <c r="BK179" s="98">
        <f t="shared" si="153"/>
        <v>0</v>
      </c>
      <c r="BL179" s="98">
        <f t="shared" si="187"/>
        <v>0</v>
      </c>
      <c r="BM179" s="98">
        <f t="shared" si="154"/>
        <v>0</v>
      </c>
      <c r="BN179" s="98">
        <f t="shared" si="155"/>
        <v>4733.7210800000003</v>
      </c>
      <c r="BO179" s="98">
        <f t="shared" si="188"/>
        <v>0</v>
      </c>
      <c r="BP179" s="98">
        <f t="shared" si="156"/>
        <v>0</v>
      </c>
      <c r="BQ179" s="98">
        <f t="shared" si="189"/>
        <v>0</v>
      </c>
      <c r="BR179" s="98">
        <f t="shared" si="157"/>
        <v>0</v>
      </c>
    </row>
    <row r="180" spans="1:70" x14ac:dyDescent="0.25">
      <c r="A180" t="s">
        <v>56</v>
      </c>
      <c r="B180" t="s">
        <v>10</v>
      </c>
      <c r="C180">
        <v>2025</v>
      </c>
      <c r="D180" s="98">
        <f>INDEX('Reference Sheet'!$G$9:$J$100, MATCH(A180,'Reference Sheet'!$F$9:$F$100,0), MATCH(C180,'Reference Sheet'!$G$8:$J$8,0))/2080</f>
        <v>43.93</v>
      </c>
      <c r="E180" s="99">
        <f>VLOOKUP(C180,'Reference Sheet'!$A$2:$B$5,2)</f>
        <v>0.22450000000000001</v>
      </c>
      <c r="F180" s="98">
        <f t="shared" si="159"/>
        <v>53.792285</v>
      </c>
      <c r="G180" s="98"/>
      <c r="H180" s="98"/>
      <c r="I180" s="21"/>
      <c r="J180" s="21"/>
      <c r="K180" s="21">
        <v>49</v>
      </c>
      <c r="L180" s="21"/>
      <c r="M180" s="21"/>
      <c r="N180" s="21"/>
      <c r="O180" s="21"/>
      <c r="P180" s="21"/>
      <c r="Q180" s="21">
        <v>45</v>
      </c>
      <c r="R180" s="21"/>
      <c r="S180" s="21"/>
      <c r="T180" s="21"/>
      <c r="U180" s="21"/>
      <c r="V180" s="21">
        <v>86</v>
      </c>
      <c r="W180" s="21"/>
      <c r="X180" s="21"/>
      <c r="Y180" s="21"/>
      <c r="Z180" s="21"/>
      <c r="AA180" s="98">
        <f t="shared" si="158"/>
        <v>180</v>
      </c>
      <c r="AB180" s="98">
        <f>IF(OR(B180="",C180=""),"",SUMIFS('Reference Sheet'!$D$9:$D$42,'Reference Sheet'!$A$9:$A$42,C180,'Reference Sheet'!$B$9:$B$42,B180))</f>
        <v>176</v>
      </c>
      <c r="AC180" s="98">
        <f t="shared" si="160"/>
        <v>-4</v>
      </c>
      <c r="AD180" s="100">
        <f t="shared" si="252"/>
        <v>0</v>
      </c>
      <c r="AE180" s="100">
        <f t="shared" si="253"/>
        <v>0</v>
      </c>
      <c r="AF180" s="100">
        <f t="shared" si="254"/>
        <v>0</v>
      </c>
      <c r="AG180" s="100">
        <f t="shared" si="255"/>
        <v>0</v>
      </c>
      <c r="AH180" s="100">
        <f t="shared" si="256"/>
        <v>47.911111111111104</v>
      </c>
      <c r="AI180" s="100">
        <f t="shared" si="257"/>
        <v>0</v>
      </c>
      <c r="AJ180" s="100">
        <f t="shared" si="258"/>
        <v>0</v>
      </c>
      <c r="AK180" s="100">
        <f t="shared" si="259"/>
        <v>0</v>
      </c>
      <c r="AL180" s="100">
        <f t="shared" si="169"/>
        <v>0</v>
      </c>
      <c r="AM180" s="100">
        <f t="shared" si="260"/>
        <v>0</v>
      </c>
      <c r="AN180" s="100">
        <f t="shared" si="261"/>
        <v>44</v>
      </c>
      <c r="AO180" s="100">
        <f t="shared" si="262"/>
        <v>0</v>
      </c>
      <c r="AP180" s="100">
        <f t="shared" si="263"/>
        <v>0</v>
      </c>
      <c r="AQ180" s="100">
        <f t="shared" si="264"/>
        <v>0</v>
      </c>
      <c r="AR180" s="100">
        <f t="shared" si="265"/>
        <v>0</v>
      </c>
      <c r="AS180" s="100">
        <f t="shared" si="266"/>
        <v>84.088888888888889</v>
      </c>
      <c r="AT180" s="100">
        <f t="shared" si="177"/>
        <v>0</v>
      </c>
      <c r="AU180" s="100">
        <f t="shared" si="178"/>
        <v>0</v>
      </c>
      <c r="AV180" s="100">
        <f t="shared" si="179"/>
        <v>0</v>
      </c>
      <c r="AW180" s="100">
        <f t="shared" si="180"/>
        <v>0</v>
      </c>
      <c r="AX180">
        <f t="shared" si="181"/>
        <v>176</v>
      </c>
      <c r="AY180" s="98">
        <f t="shared" si="182"/>
        <v>0</v>
      </c>
      <c r="AZ180" s="98">
        <f t="shared" si="183"/>
        <v>0</v>
      </c>
      <c r="BA180" s="98">
        <f t="shared" si="146"/>
        <v>0</v>
      </c>
      <c r="BB180" s="98">
        <f t="shared" si="184"/>
        <v>0</v>
      </c>
      <c r="BC180" s="98">
        <f t="shared" si="147"/>
        <v>2577.2481435555551</v>
      </c>
      <c r="BD180" s="98">
        <f t="shared" si="148"/>
        <v>0</v>
      </c>
      <c r="BE180" s="98">
        <f t="shared" si="149"/>
        <v>0</v>
      </c>
      <c r="BF180" s="98">
        <f t="shared" si="185"/>
        <v>0</v>
      </c>
      <c r="BG180" s="98">
        <f t="shared" si="186"/>
        <v>0</v>
      </c>
      <c r="BH180" s="98">
        <f t="shared" si="150"/>
        <v>0</v>
      </c>
      <c r="BI180" s="98">
        <f t="shared" si="151"/>
        <v>2366.8605400000001</v>
      </c>
      <c r="BJ180" s="98">
        <f t="shared" si="152"/>
        <v>0</v>
      </c>
      <c r="BK180" s="98">
        <f t="shared" si="153"/>
        <v>0</v>
      </c>
      <c r="BL180" s="98">
        <f t="shared" si="187"/>
        <v>0</v>
      </c>
      <c r="BM180" s="98">
        <f t="shared" si="154"/>
        <v>0</v>
      </c>
      <c r="BN180" s="98">
        <f t="shared" si="155"/>
        <v>4523.3334764444444</v>
      </c>
      <c r="BO180" s="98">
        <f t="shared" si="188"/>
        <v>0</v>
      </c>
      <c r="BP180" s="98">
        <f t="shared" si="156"/>
        <v>0</v>
      </c>
      <c r="BQ180" s="98">
        <f t="shared" si="189"/>
        <v>0</v>
      </c>
      <c r="BR180" s="98">
        <f t="shared" si="157"/>
        <v>0</v>
      </c>
    </row>
    <row r="181" spans="1:70" x14ac:dyDescent="0.25">
      <c r="A181" t="s">
        <v>56</v>
      </c>
      <c r="B181" t="s">
        <v>6</v>
      </c>
      <c r="C181">
        <v>2025</v>
      </c>
      <c r="D181" s="98">
        <f>INDEX('Reference Sheet'!$G$9:$J$100, MATCH(A181,'Reference Sheet'!$F$9:$F$100,0), MATCH(C181,'Reference Sheet'!$G$8:$J$8,0))/2080</f>
        <v>43.93</v>
      </c>
      <c r="E181" s="99">
        <f>VLOOKUP(C181,'Reference Sheet'!$A$2:$B$5,2)</f>
        <v>0.22450000000000001</v>
      </c>
      <c r="F181" s="98">
        <f t="shared" si="159"/>
        <v>53.792285</v>
      </c>
      <c r="G181" s="98"/>
      <c r="H181" s="98"/>
      <c r="I181" s="21"/>
      <c r="J181" s="21"/>
      <c r="K181" s="21">
        <v>56</v>
      </c>
      <c r="L181" s="21"/>
      <c r="M181" s="21"/>
      <c r="N181" s="21"/>
      <c r="O181" s="21"/>
      <c r="P181" s="21"/>
      <c r="Q181" s="21">
        <v>63</v>
      </c>
      <c r="R181" s="21"/>
      <c r="S181" s="21"/>
      <c r="T181" s="21"/>
      <c r="U181" s="21"/>
      <c r="V181" s="21">
        <v>65</v>
      </c>
      <c r="W181" s="21"/>
      <c r="X181" s="21"/>
      <c r="Y181" s="21"/>
      <c r="Z181" s="21"/>
      <c r="AA181" s="98">
        <f t="shared" si="158"/>
        <v>184</v>
      </c>
      <c r="AB181" s="98">
        <f>IF(OR(B181="",C181=""),"",SUMIFS('Reference Sheet'!$D$9:$D$42,'Reference Sheet'!$A$9:$A$42,C181,'Reference Sheet'!$B$9:$B$42,B181))</f>
        <v>184</v>
      </c>
      <c r="AC181" s="98">
        <f t="shared" si="160"/>
        <v>0</v>
      </c>
      <c r="AD181" s="100">
        <f t="shared" si="252"/>
        <v>0</v>
      </c>
      <c r="AE181" s="100">
        <f t="shared" si="253"/>
        <v>0</v>
      </c>
      <c r="AF181" s="100">
        <f t="shared" si="254"/>
        <v>0</v>
      </c>
      <c r="AG181" s="100">
        <f t="shared" si="255"/>
        <v>0</v>
      </c>
      <c r="AH181" s="100">
        <f t="shared" si="256"/>
        <v>56</v>
      </c>
      <c r="AI181" s="100">
        <f t="shared" si="257"/>
        <v>0</v>
      </c>
      <c r="AJ181" s="100">
        <f t="shared" si="258"/>
        <v>0</v>
      </c>
      <c r="AK181" s="100">
        <f t="shared" si="259"/>
        <v>0</v>
      </c>
      <c r="AL181" s="100">
        <f t="shared" si="169"/>
        <v>0</v>
      </c>
      <c r="AM181" s="100">
        <f t="shared" si="260"/>
        <v>0</v>
      </c>
      <c r="AN181" s="100">
        <f t="shared" si="261"/>
        <v>63.000000000000007</v>
      </c>
      <c r="AO181" s="100">
        <f t="shared" si="262"/>
        <v>0</v>
      </c>
      <c r="AP181" s="100">
        <f t="shared" si="263"/>
        <v>0</v>
      </c>
      <c r="AQ181" s="100">
        <f t="shared" si="264"/>
        <v>0</v>
      </c>
      <c r="AR181" s="100">
        <f t="shared" si="265"/>
        <v>0</v>
      </c>
      <c r="AS181" s="100">
        <f t="shared" si="266"/>
        <v>65</v>
      </c>
      <c r="AT181" s="100">
        <f t="shared" si="177"/>
        <v>0</v>
      </c>
      <c r="AU181" s="100">
        <f t="shared" si="178"/>
        <v>0</v>
      </c>
      <c r="AV181" s="100">
        <f t="shared" si="179"/>
        <v>0</v>
      </c>
      <c r="AW181" s="100">
        <f t="shared" si="180"/>
        <v>0</v>
      </c>
      <c r="AX181">
        <f t="shared" si="181"/>
        <v>184</v>
      </c>
      <c r="AY181" s="98">
        <f t="shared" si="182"/>
        <v>0</v>
      </c>
      <c r="AZ181" s="98">
        <f t="shared" si="183"/>
        <v>0</v>
      </c>
      <c r="BA181" s="98">
        <f t="shared" si="146"/>
        <v>0</v>
      </c>
      <c r="BB181" s="98">
        <f t="shared" si="184"/>
        <v>0</v>
      </c>
      <c r="BC181" s="98">
        <f t="shared" si="147"/>
        <v>3012.36796</v>
      </c>
      <c r="BD181" s="98">
        <f t="shared" si="148"/>
        <v>0</v>
      </c>
      <c r="BE181" s="98">
        <f t="shared" si="149"/>
        <v>0</v>
      </c>
      <c r="BF181" s="98">
        <f t="shared" si="185"/>
        <v>0</v>
      </c>
      <c r="BG181" s="98">
        <f t="shared" si="186"/>
        <v>0</v>
      </c>
      <c r="BH181" s="98">
        <f t="shared" si="150"/>
        <v>0</v>
      </c>
      <c r="BI181" s="98">
        <f t="shared" si="151"/>
        <v>3388.9139550000004</v>
      </c>
      <c r="BJ181" s="98">
        <f t="shared" si="152"/>
        <v>0</v>
      </c>
      <c r="BK181" s="98">
        <f t="shared" si="153"/>
        <v>0</v>
      </c>
      <c r="BL181" s="98">
        <f t="shared" si="187"/>
        <v>0</v>
      </c>
      <c r="BM181" s="98">
        <f t="shared" si="154"/>
        <v>0</v>
      </c>
      <c r="BN181" s="98">
        <f t="shared" si="155"/>
        <v>3496.498525</v>
      </c>
      <c r="BO181" s="98">
        <f t="shared" si="188"/>
        <v>0</v>
      </c>
      <c r="BP181" s="98">
        <f t="shared" si="156"/>
        <v>0</v>
      </c>
      <c r="BQ181" s="98">
        <f t="shared" si="189"/>
        <v>0</v>
      </c>
      <c r="BR181" s="98">
        <f t="shared" si="157"/>
        <v>0</v>
      </c>
    </row>
    <row r="182" spans="1:70" x14ac:dyDescent="0.25">
      <c r="A182" t="s">
        <v>56</v>
      </c>
      <c r="B182" t="s">
        <v>15</v>
      </c>
      <c r="C182">
        <v>2025</v>
      </c>
      <c r="D182" s="98">
        <f>INDEX('Reference Sheet'!$G$9:$J$100, MATCH(A182,'Reference Sheet'!$F$9:$F$100,0), MATCH(C182,'Reference Sheet'!$G$8:$J$8,0))/2080</f>
        <v>43.93</v>
      </c>
      <c r="E182" s="99">
        <f>VLOOKUP(C182,'Reference Sheet'!$A$2:$B$5,2)</f>
        <v>0.22450000000000001</v>
      </c>
      <c r="F182" s="98">
        <f t="shared" si="159"/>
        <v>53.792285</v>
      </c>
      <c r="G182" s="98"/>
      <c r="H182" s="98"/>
      <c r="I182" s="21"/>
      <c r="J182" s="21"/>
      <c r="K182" s="21"/>
      <c r="L182" s="21"/>
      <c r="M182" s="21"/>
      <c r="N182" s="21"/>
      <c r="O182" s="21"/>
      <c r="P182" s="21"/>
      <c r="Q182" s="21">
        <v>31</v>
      </c>
      <c r="R182" s="21"/>
      <c r="S182" s="21"/>
      <c r="T182" s="21"/>
      <c r="U182" s="21"/>
      <c r="V182" s="21">
        <v>153</v>
      </c>
      <c r="W182" s="21"/>
      <c r="X182" s="21"/>
      <c r="Y182" s="21"/>
      <c r="Z182" s="21"/>
      <c r="AA182" s="98">
        <f t="shared" si="158"/>
        <v>184</v>
      </c>
      <c r="AB182" s="98">
        <f>IF(OR(B182="",C182=""),"",SUMIFS('Reference Sheet'!$D$9:$D$42,'Reference Sheet'!$A$9:$A$42,C182,'Reference Sheet'!$B$9:$B$42,B182))</f>
        <v>184</v>
      </c>
      <c r="AC182" s="98">
        <f t="shared" si="160"/>
        <v>0</v>
      </c>
      <c r="AD182" s="100">
        <f t="shared" si="252"/>
        <v>0</v>
      </c>
      <c r="AE182" s="100">
        <f t="shared" si="253"/>
        <v>0</v>
      </c>
      <c r="AF182" s="100">
        <f t="shared" si="254"/>
        <v>0</v>
      </c>
      <c r="AG182" s="100">
        <f t="shared" si="255"/>
        <v>0</v>
      </c>
      <c r="AH182" s="100">
        <f t="shared" si="256"/>
        <v>0</v>
      </c>
      <c r="AI182" s="100">
        <f t="shared" si="257"/>
        <v>0</v>
      </c>
      <c r="AJ182" s="100">
        <f t="shared" si="258"/>
        <v>0</v>
      </c>
      <c r="AK182" s="100">
        <f t="shared" si="259"/>
        <v>0</v>
      </c>
      <c r="AL182" s="100">
        <f t="shared" si="169"/>
        <v>0</v>
      </c>
      <c r="AM182" s="100">
        <f t="shared" si="260"/>
        <v>0</v>
      </c>
      <c r="AN182" s="100">
        <f t="shared" si="261"/>
        <v>31</v>
      </c>
      <c r="AO182" s="100">
        <f t="shared" si="262"/>
        <v>0</v>
      </c>
      <c r="AP182" s="100">
        <f t="shared" si="263"/>
        <v>0</v>
      </c>
      <c r="AQ182" s="100">
        <f t="shared" si="264"/>
        <v>0</v>
      </c>
      <c r="AR182" s="100">
        <f t="shared" si="265"/>
        <v>0</v>
      </c>
      <c r="AS182" s="100">
        <f t="shared" si="266"/>
        <v>153</v>
      </c>
      <c r="AT182" s="100">
        <f t="shared" si="177"/>
        <v>0</v>
      </c>
      <c r="AU182" s="100">
        <f t="shared" si="178"/>
        <v>0</v>
      </c>
      <c r="AV182" s="100">
        <f t="shared" si="179"/>
        <v>0</v>
      </c>
      <c r="AW182" s="100">
        <f t="shared" si="180"/>
        <v>0</v>
      </c>
      <c r="AX182">
        <f t="shared" si="181"/>
        <v>184</v>
      </c>
      <c r="AY182" s="98">
        <f t="shared" si="182"/>
        <v>0</v>
      </c>
      <c r="AZ182" s="98">
        <f t="shared" si="183"/>
        <v>0</v>
      </c>
      <c r="BA182" s="98">
        <f t="shared" si="146"/>
        <v>0</v>
      </c>
      <c r="BB182" s="98">
        <f t="shared" si="184"/>
        <v>0</v>
      </c>
      <c r="BC182" s="98">
        <f t="shared" si="147"/>
        <v>0</v>
      </c>
      <c r="BD182" s="98">
        <f t="shared" si="148"/>
        <v>0</v>
      </c>
      <c r="BE182" s="98">
        <f t="shared" si="149"/>
        <v>0</v>
      </c>
      <c r="BF182" s="98">
        <f t="shared" si="185"/>
        <v>0</v>
      </c>
      <c r="BG182" s="98">
        <f t="shared" si="186"/>
        <v>0</v>
      </c>
      <c r="BH182" s="98">
        <f t="shared" si="150"/>
        <v>0</v>
      </c>
      <c r="BI182" s="98">
        <f t="shared" si="151"/>
        <v>1667.560835</v>
      </c>
      <c r="BJ182" s="98">
        <f t="shared" si="152"/>
        <v>0</v>
      </c>
      <c r="BK182" s="98">
        <f t="shared" si="153"/>
        <v>0</v>
      </c>
      <c r="BL182" s="98">
        <f t="shared" si="187"/>
        <v>0</v>
      </c>
      <c r="BM182" s="98">
        <f t="shared" si="154"/>
        <v>0</v>
      </c>
      <c r="BN182" s="98">
        <f t="shared" si="155"/>
        <v>8230.2196050000002</v>
      </c>
      <c r="BO182" s="98">
        <f t="shared" si="188"/>
        <v>0</v>
      </c>
      <c r="BP182" s="98">
        <f t="shared" si="156"/>
        <v>0</v>
      </c>
      <c r="BQ182" s="98">
        <f t="shared" si="189"/>
        <v>0</v>
      </c>
      <c r="BR182" s="98">
        <f t="shared" si="157"/>
        <v>0</v>
      </c>
    </row>
    <row r="183" spans="1:70" x14ac:dyDescent="0.25">
      <c r="A183" t="s">
        <v>56</v>
      </c>
      <c r="B183" t="s">
        <v>17</v>
      </c>
      <c r="C183">
        <v>2025</v>
      </c>
      <c r="D183" s="98">
        <f>INDEX('Reference Sheet'!$G$9:$J$100, MATCH(A183,'Reference Sheet'!$F$9:$F$100,0), MATCH(C183,'Reference Sheet'!$G$8:$J$8,0))/2080</f>
        <v>43.93</v>
      </c>
      <c r="E183" s="99">
        <f>VLOOKUP(C183,'Reference Sheet'!$A$2:$B$5,2)</f>
        <v>0.22450000000000001</v>
      </c>
      <c r="F183" s="98">
        <f t="shared" si="159"/>
        <v>53.792285</v>
      </c>
      <c r="G183" s="98"/>
      <c r="H183" s="98"/>
      <c r="I183" s="21"/>
      <c r="J183" s="21"/>
      <c r="K183" s="21"/>
      <c r="L183" s="21"/>
      <c r="M183" s="21"/>
      <c r="N183" s="21"/>
      <c r="O183" s="21"/>
      <c r="P183" s="21"/>
      <c r="Q183" s="21">
        <v>93</v>
      </c>
      <c r="R183" s="21"/>
      <c r="S183" s="21"/>
      <c r="T183" s="21"/>
      <c r="U183" s="21"/>
      <c r="V183" s="21">
        <v>91</v>
      </c>
      <c r="W183" s="21"/>
      <c r="X183" s="21"/>
      <c r="Y183" s="21"/>
      <c r="Z183" s="21"/>
      <c r="AA183" s="98">
        <f t="shared" si="158"/>
        <v>184</v>
      </c>
      <c r="AB183" s="98">
        <f>IF(OR(B183="",C183=""),"",SUMIFS('Reference Sheet'!$D$9:$D$42,'Reference Sheet'!$A$9:$A$42,C183,'Reference Sheet'!$B$9:$B$42,B183))</f>
        <v>184</v>
      </c>
      <c r="AC183" s="98">
        <f t="shared" si="160"/>
        <v>0</v>
      </c>
      <c r="AD183" s="100">
        <f t="shared" si="252"/>
        <v>0</v>
      </c>
      <c r="AE183" s="100">
        <f t="shared" si="253"/>
        <v>0</v>
      </c>
      <c r="AF183" s="100">
        <f t="shared" si="254"/>
        <v>0</v>
      </c>
      <c r="AG183" s="100">
        <f t="shared" si="255"/>
        <v>0</v>
      </c>
      <c r="AH183" s="100">
        <f t="shared" si="256"/>
        <v>0</v>
      </c>
      <c r="AI183" s="100">
        <f t="shared" si="257"/>
        <v>0</v>
      </c>
      <c r="AJ183" s="100">
        <f t="shared" si="258"/>
        <v>0</v>
      </c>
      <c r="AK183" s="100">
        <f t="shared" si="259"/>
        <v>0</v>
      </c>
      <c r="AL183" s="100">
        <f t="shared" si="169"/>
        <v>0</v>
      </c>
      <c r="AM183" s="100">
        <f t="shared" si="260"/>
        <v>0</v>
      </c>
      <c r="AN183" s="100">
        <f t="shared" si="261"/>
        <v>93</v>
      </c>
      <c r="AO183" s="100">
        <f t="shared" si="262"/>
        <v>0</v>
      </c>
      <c r="AP183" s="100">
        <f t="shared" si="263"/>
        <v>0</v>
      </c>
      <c r="AQ183" s="100">
        <f t="shared" si="264"/>
        <v>0</v>
      </c>
      <c r="AR183" s="100">
        <f t="shared" si="265"/>
        <v>0</v>
      </c>
      <c r="AS183" s="100">
        <f t="shared" si="266"/>
        <v>91</v>
      </c>
      <c r="AT183" s="100">
        <f t="shared" si="177"/>
        <v>0</v>
      </c>
      <c r="AU183" s="100">
        <f t="shared" si="178"/>
        <v>0</v>
      </c>
      <c r="AV183" s="100">
        <f t="shared" si="179"/>
        <v>0</v>
      </c>
      <c r="AW183" s="100">
        <f t="shared" si="180"/>
        <v>0</v>
      </c>
      <c r="AX183">
        <f t="shared" si="181"/>
        <v>184</v>
      </c>
      <c r="AY183" s="98">
        <f t="shared" si="182"/>
        <v>0</v>
      </c>
      <c r="AZ183" s="98">
        <f t="shared" si="183"/>
        <v>0</v>
      </c>
      <c r="BA183" s="98">
        <f t="shared" si="146"/>
        <v>0</v>
      </c>
      <c r="BB183" s="98">
        <f t="shared" si="184"/>
        <v>0</v>
      </c>
      <c r="BC183" s="98">
        <f t="shared" si="147"/>
        <v>0</v>
      </c>
      <c r="BD183" s="98">
        <f t="shared" si="148"/>
        <v>0</v>
      </c>
      <c r="BE183" s="98">
        <f t="shared" si="149"/>
        <v>0</v>
      </c>
      <c r="BF183" s="98">
        <f t="shared" si="185"/>
        <v>0</v>
      </c>
      <c r="BG183" s="98">
        <f t="shared" si="186"/>
        <v>0</v>
      </c>
      <c r="BH183" s="98">
        <f t="shared" si="150"/>
        <v>0</v>
      </c>
      <c r="BI183" s="98">
        <f t="shared" si="151"/>
        <v>5002.6825049999998</v>
      </c>
      <c r="BJ183" s="98">
        <f t="shared" si="152"/>
        <v>0</v>
      </c>
      <c r="BK183" s="98">
        <f t="shared" si="153"/>
        <v>0</v>
      </c>
      <c r="BL183" s="98">
        <f t="shared" si="187"/>
        <v>0</v>
      </c>
      <c r="BM183" s="98">
        <f t="shared" si="154"/>
        <v>0</v>
      </c>
      <c r="BN183" s="98">
        <f t="shared" si="155"/>
        <v>4895.0979349999998</v>
      </c>
      <c r="BO183" s="98">
        <f t="shared" si="188"/>
        <v>0</v>
      </c>
      <c r="BP183" s="98">
        <f t="shared" si="156"/>
        <v>0</v>
      </c>
      <c r="BQ183" s="98">
        <f t="shared" si="189"/>
        <v>0</v>
      </c>
      <c r="BR183" s="98">
        <f t="shared" si="157"/>
        <v>0</v>
      </c>
    </row>
    <row r="184" spans="1:70" x14ac:dyDescent="0.25">
      <c r="A184" t="s">
        <v>56</v>
      </c>
      <c r="B184" t="s">
        <v>12</v>
      </c>
      <c r="C184">
        <v>2025</v>
      </c>
      <c r="D184" s="98">
        <f>INDEX('Reference Sheet'!$G$9:$J$100, MATCH(A184,'Reference Sheet'!$F$9:$F$100,0), MATCH(C184,'Reference Sheet'!$G$8:$J$8,0))/2080</f>
        <v>43.93</v>
      </c>
      <c r="E184" s="99">
        <f>VLOOKUP(C184,'Reference Sheet'!$A$2:$B$5,2)</f>
        <v>0.22450000000000001</v>
      </c>
      <c r="F184" s="98">
        <f t="shared" si="159"/>
        <v>53.792285</v>
      </c>
      <c r="G184" s="98"/>
      <c r="H184" s="98"/>
      <c r="I184" s="21"/>
      <c r="J184" s="21"/>
      <c r="K184" s="21">
        <v>8</v>
      </c>
      <c r="L184" s="21"/>
      <c r="M184" s="21"/>
      <c r="N184" s="21"/>
      <c r="O184" s="21"/>
      <c r="P184" s="21"/>
      <c r="Q184" s="21">
        <v>68</v>
      </c>
      <c r="R184" s="21"/>
      <c r="S184" s="21"/>
      <c r="T184" s="21"/>
      <c r="U184" s="21"/>
      <c r="V184" s="21">
        <v>110</v>
      </c>
      <c r="W184" s="21"/>
      <c r="X184" s="21"/>
      <c r="Y184" s="21"/>
      <c r="Z184" s="21"/>
      <c r="AA184" s="98">
        <f t="shared" si="158"/>
        <v>186</v>
      </c>
      <c r="AB184" s="98">
        <f>IF(OR(B184="",C184=""),"",SUMIFS('Reference Sheet'!$D$9:$D$42,'Reference Sheet'!$A$9:$A$42,C184,'Reference Sheet'!$B$9:$B$42,B184))</f>
        <v>184</v>
      </c>
      <c r="AC184" s="98">
        <f t="shared" si="160"/>
        <v>-2</v>
      </c>
      <c r="AD184" s="100">
        <f t="shared" si="252"/>
        <v>0</v>
      </c>
      <c r="AE184" s="100">
        <f t="shared" si="253"/>
        <v>0</v>
      </c>
      <c r="AF184" s="100">
        <f t="shared" si="254"/>
        <v>0</v>
      </c>
      <c r="AG184" s="100">
        <f t="shared" si="255"/>
        <v>0</v>
      </c>
      <c r="AH184" s="100">
        <f t="shared" si="256"/>
        <v>7.9139784946236569</v>
      </c>
      <c r="AI184" s="100">
        <f t="shared" si="257"/>
        <v>0</v>
      </c>
      <c r="AJ184" s="100">
        <f t="shared" si="258"/>
        <v>0</v>
      </c>
      <c r="AK184" s="100">
        <f t="shared" si="259"/>
        <v>0</v>
      </c>
      <c r="AL184" s="100">
        <f t="shared" si="169"/>
        <v>0</v>
      </c>
      <c r="AM184" s="100">
        <f t="shared" si="260"/>
        <v>0</v>
      </c>
      <c r="AN184" s="100">
        <f t="shared" si="261"/>
        <v>67.268817204301072</v>
      </c>
      <c r="AO184" s="100">
        <f t="shared" si="262"/>
        <v>0</v>
      </c>
      <c r="AP184" s="100">
        <f t="shared" si="263"/>
        <v>0</v>
      </c>
      <c r="AQ184" s="100">
        <f t="shared" si="264"/>
        <v>0</v>
      </c>
      <c r="AR184" s="100">
        <f t="shared" si="265"/>
        <v>0</v>
      </c>
      <c r="AS184" s="100">
        <f t="shared" si="266"/>
        <v>108.81720430107528</v>
      </c>
      <c r="AT184" s="100">
        <f t="shared" si="177"/>
        <v>0</v>
      </c>
      <c r="AU184" s="100">
        <f t="shared" si="178"/>
        <v>0</v>
      </c>
      <c r="AV184" s="100">
        <f t="shared" si="179"/>
        <v>0</v>
      </c>
      <c r="AW184" s="100">
        <f t="shared" si="180"/>
        <v>0</v>
      </c>
      <c r="AX184">
        <f t="shared" si="181"/>
        <v>184</v>
      </c>
      <c r="AY184" s="98">
        <f t="shared" si="182"/>
        <v>0</v>
      </c>
      <c r="AZ184" s="98">
        <f t="shared" si="183"/>
        <v>0</v>
      </c>
      <c r="BA184" s="98">
        <f t="shared" si="146"/>
        <v>0</v>
      </c>
      <c r="BB184" s="98">
        <f t="shared" si="184"/>
        <v>0</v>
      </c>
      <c r="BC184" s="98">
        <f t="shared" si="147"/>
        <v>425.71098666666671</v>
      </c>
      <c r="BD184" s="98">
        <f t="shared" si="148"/>
        <v>0</v>
      </c>
      <c r="BE184" s="98">
        <f t="shared" si="149"/>
        <v>0</v>
      </c>
      <c r="BF184" s="98">
        <f t="shared" si="185"/>
        <v>0</v>
      </c>
      <c r="BG184" s="98">
        <f t="shared" si="186"/>
        <v>0</v>
      </c>
      <c r="BH184" s="98">
        <f t="shared" si="150"/>
        <v>0</v>
      </c>
      <c r="BI184" s="98">
        <f t="shared" si="151"/>
        <v>3618.5433866666663</v>
      </c>
      <c r="BJ184" s="98">
        <f t="shared" si="152"/>
        <v>0</v>
      </c>
      <c r="BK184" s="98">
        <f t="shared" si="153"/>
        <v>0</v>
      </c>
      <c r="BL184" s="98">
        <f t="shared" si="187"/>
        <v>0</v>
      </c>
      <c r="BM184" s="98">
        <f t="shared" si="154"/>
        <v>0</v>
      </c>
      <c r="BN184" s="98">
        <f t="shared" si="155"/>
        <v>5853.5260666666672</v>
      </c>
      <c r="BO184" s="98">
        <f t="shared" si="188"/>
        <v>0</v>
      </c>
      <c r="BP184" s="98">
        <f t="shared" si="156"/>
        <v>0</v>
      </c>
      <c r="BQ184" s="98">
        <f t="shared" si="189"/>
        <v>0</v>
      </c>
      <c r="BR184" s="98">
        <f t="shared" si="157"/>
        <v>0</v>
      </c>
    </row>
    <row r="185" spans="1:70" x14ac:dyDescent="0.25">
      <c r="A185" t="s">
        <v>56</v>
      </c>
      <c r="B185" t="s">
        <v>7</v>
      </c>
      <c r="C185">
        <v>2026</v>
      </c>
      <c r="D185" s="98">
        <f>INDEX('Reference Sheet'!$G$9:$J$100, MATCH(A185,'Reference Sheet'!$F$9:$F$100,0), MATCH(C185,'Reference Sheet'!$G$8:$J$8,0))/2080</f>
        <v>46.153846153846153</v>
      </c>
      <c r="E185" s="99">
        <f>VLOOKUP(C185,'Reference Sheet'!$A$2:$B$5,2)</f>
        <v>0.23630000000000001</v>
      </c>
      <c r="F185" s="98">
        <f t="shared" si="159"/>
        <v>57.059999999999995</v>
      </c>
      <c r="G185" s="98"/>
      <c r="H185" s="98"/>
      <c r="I185" s="21"/>
      <c r="J185" s="21"/>
      <c r="K185" s="21"/>
      <c r="L185" s="21"/>
      <c r="M185" s="21"/>
      <c r="N185" s="21"/>
      <c r="O185" s="21"/>
      <c r="P185" s="21"/>
      <c r="Q185" s="21">
        <v>43</v>
      </c>
      <c r="R185" s="21"/>
      <c r="S185" s="21"/>
      <c r="T185" s="21"/>
      <c r="U185" s="21"/>
      <c r="V185" s="21">
        <v>117</v>
      </c>
      <c r="W185" s="21"/>
      <c r="X185" s="21"/>
      <c r="Y185" s="21"/>
      <c r="Z185" s="21"/>
      <c r="AA185" s="98">
        <f t="shared" si="158"/>
        <v>160</v>
      </c>
      <c r="AB185" s="98">
        <f>IF(OR(B185="",C185=""),"",SUMIFS('Reference Sheet'!$D$9:$D$42,'Reference Sheet'!$A$9:$A$42,C185,'Reference Sheet'!$B$9:$B$42,B185))</f>
        <v>160</v>
      </c>
      <c r="AC185" s="98">
        <f t="shared" si="160"/>
        <v>0</v>
      </c>
      <c r="AD185" s="100">
        <f t="shared" si="252"/>
        <v>0</v>
      </c>
      <c r="AE185" s="100">
        <f t="shared" si="253"/>
        <v>0</v>
      </c>
      <c r="AF185" s="100">
        <f t="shared" si="254"/>
        <v>0</v>
      </c>
      <c r="AG185" s="100">
        <f t="shared" si="255"/>
        <v>0</v>
      </c>
      <c r="AH185" s="100">
        <f t="shared" si="256"/>
        <v>0</v>
      </c>
      <c r="AI185" s="100">
        <f t="shared" si="257"/>
        <v>0</v>
      </c>
      <c r="AJ185" s="100">
        <f t="shared" si="258"/>
        <v>0</v>
      </c>
      <c r="AK185" s="100">
        <f t="shared" si="259"/>
        <v>0</v>
      </c>
      <c r="AL185" s="100">
        <f t="shared" si="169"/>
        <v>0</v>
      </c>
      <c r="AM185" s="100">
        <f t="shared" si="260"/>
        <v>0</v>
      </c>
      <c r="AN185" s="100">
        <f t="shared" si="261"/>
        <v>43</v>
      </c>
      <c r="AO185" s="100">
        <f t="shared" si="262"/>
        <v>0</v>
      </c>
      <c r="AP185" s="100">
        <f t="shared" si="263"/>
        <v>0</v>
      </c>
      <c r="AQ185" s="100">
        <f t="shared" si="264"/>
        <v>0</v>
      </c>
      <c r="AR185" s="100">
        <f t="shared" si="265"/>
        <v>0</v>
      </c>
      <c r="AS185" s="100">
        <f t="shared" si="266"/>
        <v>117</v>
      </c>
      <c r="AT185" s="100">
        <f t="shared" si="177"/>
        <v>0</v>
      </c>
      <c r="AU185" s="100">
        <f t="shared" si="178"/>
        <v>0</v>
      </c>
      <c r="AV185" s="100">
        <f t="shared" si="179"/>
        <v>0</v>
      </c>
      <c r="AW185" s="100">
        <f t="shared" si="180"/>
        <v>0</v>
      </c>
      <c r="AX185">
        <f t="shared" si="181"/>
        <v>160</v>
      </c>
      <c r="AY185" s="98">
        <f t="shared" si="182"/>
        <v>0</v>
      </c>
      <c r="AZ185" s="98">
        <f t="shared" si="183"/>
        <v>0</v>
      </c>
      <c r="BA185" s="98">
        <f t="shared" si="146"/>
        <v>0</v>
      </c>
      <c r="BB185" s="98">
        <f t="shared" si="184"/>
        <v>0</v>
      </c>
      <c r="BC185" s="98">
        <f t="shared" si="147"/>
        <v>0</v>
      </c>
      <c r="BD185" s="98">
        <f t="shared" si="148"/>
        <v>0</v>
      </c>
      <c r="BE185" s="98">
        <f t="shared" si="149"/>
        <v>0</v>
      </c>
      <c r="BF185" s="98">
        <f t="shared" si="185"/>
        <v>0</v>
      </c>
      <c r="BG185" s="98">
        <f t="shared" si="186"/>
        <v>0</v>
      </c>
      <c r="BH185" s="98">
        <f t="shared" si="150"/>
        <v>0</v>
      </c>
      <c r="BI185" s="98">
        <f t="shared" si="151"/>
        <v>2453.58</v>
      </c>
      <c r="BJ185" s="98">
        <f t="shared" si="152"/>
        <v>0</v>
      </c>
      <c r="BK185" s="98">
        <f t="shared" si="153"/>
        <v>0</v>
      </c>
      <c r="BL185" s="98">
        <f t="shared" si="187"/>
        <v>0</v>
      </c>
      <c r="BM185" s="98">
        <f t="shared" si="154"/>
        <v>0</v>
      </c>
      <c r="BN185" s="98">
        <f t="shared" si="155"/>
        <v>6676.0199999999995</v>
      </c>
      <c r="BO185" s="98">
        <f t="shared" si="188"/>
        <v>0</v>
      </c>
      <c r="BP185" s="98">
        <f t="shared" si="156"/>
        <v>0</v>
      </c>
      <c r="BQ185" s="98">
        <f t="shared" si="189"/>
        <v>0</v>
      </c>
      <c r="BR185" s="98">
        <f t="shared" si="157"/>
        <v>0</v>
      </c>
    </row>
    <row r="186" spans="1:70" x14ac:dyDescent="0.25">
      <c r="A186" t="s">
        <v>56</v>
      </c>
      <c r="B186" t="s">
        <v>10</v>
      </c>
      <c r="C186">
        <v>2026</v>
      </c>
      <c r="D186" s="98">
        <f>INDEX('Reference Sheet'!$G$9:$J$100, MATCH(A186,'Reference Sheet'!$F$9:$F$100,0), MATCH(C186,'Reference Sheet'!$G$8:$J$8,0))/2080</f>
        <v>46.153846153846153</v>
      </c>
      <c r="E186" s="99">
        <f>VLOOKUP(C186,'Reference Sheet'!$A$2:$B$5,2)</f>
        <v>0.23630000000000001</v>
      </c>
      <c r="F186" s="98">
        <f t="shared" si="159"/>
        <v>57.059999999999995</v>
      </c>
      <c r="G186" s="98"/>
      <c r="H186" s="98"/>
      <c r="I186" s="21"/>
      <c r="J186" s="21"/>
      <c r="K186" s="21"/>
      <c r="L186" s="21"/>
      <c r="M186" s="21"/>
      <c r="N186" s="21"/>
      <c r="O186" s="21"/>
      <c r="P186" s="21"/>
      <c r="Q186" s="21">
        <v>56</v>
      </c>
      <c r="R186" s="21"/>
      <c r="S186" s="21"/>
      <c r="T186" s="21"/>
      <c r="U186" s="21"/>
      <c r="V186" s="21">
        <v>112</v>
      </c>
      <c r="W186" s="21"/>
      <c r="X186" s="21"/>
      <c r="Y186" s="21"/>
      <c r="Z186" s="21"/>
      <c r="AA186" s="98">
        <f t="shared" si="158"/>
        <v>168</v>
      </c>
      <c r="AB186" s="98">
        <f>IF(OR(B186="",C186=""),"",SUMIFS('Reference Sheet'!$D$9:$D$42,'Reference Sheet'!$A$9:$A$42,C186,'Reference Sheet'!$B$9:$B$42,B186))</f>
        <v>168</v>
      </c>
      <c r="AC186" s="98">
        <f t="shared" si="160"/>
        <v>0</v>
      </c>
      <c r="AD186" s="100">
        <f t="shared" si="252"/>
        <v>0</v>
      </c>
      <c r="AE186" s="100">
        <f t="shared" si="253"/>
        <v>0</v>
      </c>
      <c r="AF186" s="100">
        <f t="shared" si="254"/>
        <v>0</v>
      </c>
      <c r="AG186" s="100">
        <f t="shared" si="255"/>
        <v>0</v>
      </c>
      <c r="AH186" s="100">
        <f t="shared" si="256"/>
        <v>0</v>
      </c>
      <c r="AI186" s="100">
        <f t="shared" si="257"/>
        <v>0</v>
      </c>
      <c r="AJ186" s="100">
        <f t="shared" si="258"/>
        <v>0</v>
      </c>
      <c r="AK186" s="100">
        <f t="shared" si="259"/>
        <v>0</v>
      </c>
      <c r="AL186" s="100">
        <f t="shared" si="169"/>
        <v>0</v>
      </c>
      <c r="AM186" s="100">
        <f t="shared" si="260"/>
        <v>0</v>
      </c>
      <c r="AN186" s="100">
        <f t="shared" si="261"/>
        <v>56</v>
      </c>
      <c r="AO186" s="100">
        <f t="shared" si="262"/>
        <v>0</v>
      </c>
      <c r="AP186" s="100">
        <f t="shared" si="263"/>
        <v>0</v>
      </c>
      <c r="AQ186" s="100">
        <f t="shared" si="264"/>
        <v>0</v>
      </c>
      <c r="AR186" s="100">
        <f t="shared" si="265"/>
        <v>0</v>
      </c>
      <c r="AS186" s="100">
        <f t="shared" si="266"/>
        <v>112</v>
      </c>
      <c r="AT186" s="100">
        <f t="shared" si="177"/>
        <v>0</v>
      </c>
      <c r="AU186" s="100">
        <f t="shared" si="178"/>
        <v>0</v>
      </c>
      <c r="AV186" s="100">
        <f t="shared" si="179"/>
        <v>0</v>
      </c>
      <c r="AW186" s="100">
        <f t="shared" si="180"/>
        <v>0</v>
      </c>
      <c r="AX186">
        <f t="shared" si="181"/>
        <v>168</v>
      </c>
      <c r="AY186" s="98">
        <f t="shared" si="182"/>
        <v>0</v>
      </c>
      <c r="AZ186" s="98">
        <f t="shared" si="183"/>
        <v>0</v>
      </c>
      <c r="BA186" s="98">
        <f t="shared" si="146"/>
        <v>0</v>
      </c>
      <c r="BB186" s="98">
        <f t="shared" si="184"/>
        <v>0</v>
      </c>
      <c r="BC186" s="98">
        <f t="shared" si="147"/>
        <v>0</v>
      </c>
      <c r="BD186" s="98">
        <f t="shared" si="148"/>
        <v>0</v>
      </c>
      <c r="BE186" s="98">
        <f t="shared" si="149"/>
        <v>0</v>
      </c>
      <c r="BF186" s="98">
        <f t="shared" si="185"/>
        <v>0</v>
      </c>
      <c r="BG186" s="98">
        <f t="shared" si="186"/>
        <v>0</v>
      </c>
      <c r="BH186" s="98">
        <f t="shared" si="150"/>
        <v>0</v>
      </c>
      <c r="BI186" s="98">
        <f t="shared" si="151"/>
        <v>3195.3599999999997</v>
      </c>
      <c r="BJ186" s="98">
        <f t="shared" si="152"/>
        <v>0</v>
      </c>
      <c r="BK186" s="98">
        <f t="shared" si="153"/>
        <v>0</v>
      </c>
      <c r="BL186" s="98">
        <f t="shared" si="187"/>
        <v>0</v>
      </c>
      <c r="BM186" s="98">
        <f t="shared" si="154"/>
        <v>0</v>
      </c>
      <c r="BN186" s="98">
        <f t="shared" si="155"/>
        <v>6390.7199999999993</v>
      </c>
      <c r="BO186" s="98">
        <f t="shared" si="188"/>
        <v>0</v>
      </c>
      <c r="BP186" s="98">
        <f t="shared" si="156"/>
        <v>0</v>
      </c>
      <c r="BQ186" s="98">
        <f t="shared" si="189"/>
        <v>0</v>
      </c>
      <c r="BR186" s="98">
        <f t="shared" si="157"/>
        <v>0</v>
      </c>
    </row>
    <row r="187" spans="1:70" x14ac:dyDescent="0.25">
      <c r="A187" t="s">
        <v>56</v>
      </c>
      <c r="B187" t="s">
        <v>6</v>
      </c>
      <c r="C187">
        <v>2026</v>
      </c>
      <c r="D187" s="98">
        <f>INDEX('Reference Sheet'!$G$9:$J$100, MATCH(A187,'Reference Sheet'!$F$9:$F$100,0), MATCH(C187,'Reference Sheet'!$G$8:$J$8,0))/2080</f>
        <v>46.153846153846153</v>
      </c>
      <c r="E187" s="99">
        <f>VLOOKUP(C187,'Reference Sheet'!$A$2:$B$5,2)</f>
        <v>0.23630000000000001</v>
      </c>
      <c r="F187" s="98">
        <f t="shared" si="159"/>
        <v>57.059999999999995</v>
      </c>
      <c r="G187" s="98"/>
      <c r="H187" s="98"/>
      <c r="I187" s="21"/>
      <c r="J187" s="21"/>
      <c r="K187" s="21"/>
      <c r="L187" s="21"/>
      <c r="M187" s="21"/>
      <c r="N187" s="21"/>
      <c r="O187" s="21"/>
      <c r="P187" s="21"/>
      <c r="Q187" s="21">
        <v>70</v>
      </c>
      <c r="R187" s="21"/>
      <c r="S187" s="21"/>
      <c r="T187" s="21"/>
      <c r="U187" s="21"/>
      <c r="V187" s="21">
        <v>106</v>
      </c>
      <c r="W187" s="21"/>
      <c r="X187" s="21"/>
      <c r="Y187" s="21"/>
      <c r="Z187" s="21"/>
      <c r="AA187" s="98">
        <f t="shared" si="158"/>
        <v>176</v>
      </c>
      <c r="AB187" s="98">
        <f>IF(OR(B187="",C187=""),"",SUMIFS('Reference Sheet'!$D$9:$D$42,'Reference Sheet'!$A$9:$A$42,C187,'Reference Sheet'!$B$9:$B$42,B187))</f>
        <v>176</v>
      </c>
      <c r="AC187" s="98">
        <f t="shared" si="160"/>
        <v>0</v>
      </c>
      <c r="AD187" s="100">
        <f t="shared" si="252"/>
        <v>0</v>
      </c>
      <c r="AE187" s="100">
        <f t="shared" si="253"/>
        <v>0</v>
      </c>
      <c r="AF187" s="100">
        <f t="shared" si="254"/>
        <v>0</v>
      </c>
      <c r="AG187" s="100">
        <f t="shared" si="255"/>
        <v>0</v>
      </c>
      <c r="AH187" s="100">
        <f t="shared" si="256"/>
        <v>0</v>
      </c>
      <c r="AI187" s="100">
        <f t="shared" si="257"/>
        <v>0</v>
      </c>
      <c r="AJ187" s="100">
        <f t="shared" si="258"/>
        <v>0</v>
      </c>
      <c r="AK187" s="100">
        <f t="shared" si="259"/>
        <v>0</v>
      </c>
      <c r="AL187" s="100">
        <f t="shared" si="169"/>
        <v>0</v>
      </c>
      <c r="AM187" s="100">
        <f t="shared" si="260"/>
        <v>0</v>
      </c>
      <c r="AN187" s="100">
        <f t="shared" si="261"/>
        <v>70</v>
      </c>
      <c r="AO187" s="100">
        <f t="shared" si="262"/>
        <v>0</v>
      </c>
      <c r="AP187" s="100">
        <f t="shared" si="263"/>
        <v>0</v>
      </c>
      <c r="AQ187" s="100">
        <f t="shared" si="264"/>
        <v>0</v>
      </c>
      <c r="AR187" s="100">
        <f t="shared" si="265"/>
        <v>0</v>
      </c>
      <c r="AS187" s="100">
        <f t="shared" si="266"/>
        <v>106</v>
      </c>
      <c r="AT187" s="100">
        <f t="shared" si="177"/>
        <v>0</v>
      </c>
      <c r="AU187" s="100">
        <f t="shared" si="178"/>
        <v>0</v>
      </c>
      <c r="AV187" s="100">
        <f t="shared" si="179"/>
        <v>0</v>
      </c>
      <c r="AW187" s="100">
        <f t="shared" si="180"/>
        <v>0</v>
      </c>
      <c r="AX187">
        <f t="shared" si="181"/>
        <v>176</v>
      </c>
      <c r="AY187" s="98">
        <f t="shared" si="182"/>
        <v>0</v>
      </c>
      <c r="AZ187" s="98">
        <f t="shared" si="183"/>
        <v>0</v>
      </c>
      <c r="BA187" s="98">
        <f t="shared" ref="BA187:BA251" si="267">$F187*AF187</f>
        <v>0</v>
      </c>
      <c r="BB187" s="98">
        <f t="shared" si="184"/>
        <v>0</v>
      </c>
      <c r="BC187" s="98">
        <f t="shared" ref="BC187:BC251" si="268">$F187*AH187</f>
        <v>0</v>
      </c>
      <c r="BD187" s="98">
        <f t="shared" ref="BD187:BD251" si="269">$F187*AI187</f>
        <v>0</v>
      </c>
      <c r="BE187" s="98">
        <f t="shared" ref="BE187:BE251" si="270">$F187*AJ187</f>
        <v>0</v>
      </c>
      <c r="BF187" s="98">
        <f t="shared" si="185"/>
        <v>0</v>
      </c>
      <c r="BG187" s="98">
        <f t="shared" si="186"/>
        <v>0</v>
      </c>
      <c r="BH187" s="98">
        <f t="shared" ref="BH187:BH251" si="271">$F187*AM187</f>
        <v>0</v>
      </c>
      <c r="BI187" s="98">
        <f t="shared" ref="BI187:BI251" si="272">$F187*AN187</f>
        <v>3994.2</v>
      </c>
      <c r="BJ187" s="98">
        <f t="shared" ref="BJ187:BJ251" si="273">$F187*AO187</f>
        <v>0</v>
      </c>
      <c r="BK187" s="98">
        <f t="shared" ref="BK187:BK251" si="274">$F187*AP187</f>
        <v>0</v>
      </c>
      <c r="BL187" s="98">
        <f t="shared" si="187"/>
        <v>0</v>
      </c>
      <c r="BM187" s="98">
        <f t="shared" ref="BM187:BM251" si="275">$F187*AR187</f>
        <v>0</v>
      </c>
      <c r="BN187" s="98">
        <f t="shared" ref="BN187:BN251" si="276">$F187*AS187</f>
        <v>6048.36</v>
      </c>
      <c r="BO187" s="98">
        <f t="shared" si="188"/>
        <v>0</v>
      </c>
      <c r="BP187" s="98">
        <f t="shared" ref="BP187:BP251" si="277">$F187*AU187</f>
        <v>0</v>
      </c>
      <c r="BQ187" s="98">
        <f t="shared" si="189"/>
        <v>0</v>
      </c>
      <c r="BR187" s="98">
        <f t="shared" ref="BR187:BR251" si="278">$F187*AW187</f>
        <v>0</v>
      </c>
    </row>
    <row r="188" spans="1:70" x14ac:dyDescent="0.25">
      <c r="A188" t="s">
        <v>56</v>
      </c>
      <c r="B188" t="s">
        <v>8</v>
      </c>
      <c r="C188">
        <v>2026</v>
      </c>
      <c r="D188" s="98">
        <f>INDEX('Reference Sheet'!$G$9:$J$100, MATCH(A188,'Reference Sheet'!$F$9:$F$100,0), MATCH(C188,'Reference Sheet'!$G$8:$J$8,0))/2080</f>
        <v>46.153846153846153</v>
      </c>
      <c r="E188" s="99">
        <f>VLOOKUP(C188,'Reference Sheet'!$A$2:$B$5,2)</f>
        <v>0.23630000000000001</v>
      </c>
      <c r="F188" s="98">
        <f t="shared" si="159"/>
        <v>57.059999999999995</v>
      </c>
      <c r="G188" s="98"/>
      <c r="H188" s="98"/>
      <c r="I188" s="21"/>
      <c r="J188" s="21"/>
      <c r="K188" s="21"/>
      <c r="L188" s="21"/>
      <c r="M188" s="21"/>
      <c r="N188" s="21"/>
      <c r="O188" s="21"/>
      <c r="P188" s="21"/>
      <c r="Q188" s="21">
        <v>45</v>
      </c>
      <c r="R188" s="21"/>
      <c r="S188" s="21"/>
      <c r="T188" s="21"/>
      <c r="U188" s="21"/>
      <c r="V188" s="21">
        <v>131</v>
      </c>
      <c r="W188" s="21"/>
      <c r="X188" s="21"/>
      <c r="Y188" s="21"/>
      <c r="Z188" s="21"/>
      <c r="AA188" s="98">
        <f t="shared" si="158"/>
        <v>176</v>
      </c>
      <c r="AB188" s="98">
        <f>IF(OR(B188="",C188=""),"",SUMIFS('Reference Sheet'!$D$9:$D$42,'Reference Sheet'!$A$9:$A$42,C188,'Reference Sheet'!$B$9:$B$42,B188))</f>
        <v>176</v>
      </c>
      <c r="AC188" s="98">
        <f t="shared" si="160"/>
        <v>0</v>
      </c>
      <c r="AD188" s="100">
        <f t="shared" si="252"/>
        <v>0</v>
      </c>
      <c r="AE188" s="100">
        <f t="shared" si="253"/>
        <v>0</v>
      </c>
      <c r="AF188" s="100">
        <f t="shared" si="254"/>
        <v>0</v>
      </c>
      <c r="AG188" s="100">
        <f t="shared" si="255"/>
        <v>0</v>
      </c>
      <c r="AH188" s="100">
        <f t="shared" si="256"/>
        <v>0</v>
      </c>
      <c r="AI188" s="100">
        <f t="shared" si="257"/>
        <v>0</v>
      </c>
      <c r="AJ188" s="100">
        <f t="shared" si="258"/>
        <v>0</v>
      </c>
      <c r="AK188" s="100">
        <f t="shared" si="259"/>
        <v>0</v>
      </c>
      <c r="AL188" s="100">
        <f t="shared" si="169"/>
        <v>0</v>
      </c>
      <c r="AM188" s="100">
        <f t="shared" si="260"/>
        <v>0</v>
      </c>
      <c r="AN188" s="100">
        <f t="shared" si="261"/>
        <v>45</v>
      </c>
      <c r="AO188" s="100">
        <f t="shared" si="262"/>
        <v>0</v>
      </c>
      <c r="AP188" s="100">
        <f t="shared" si="263"/>
        <v>0</v>
      </c>
      <c r="AQ188" s="100">
        <f t="shared" si="264"/>
        <v>0</v>
      </c>
      <c r="AR188" s="100">
        <f t="shared" si="265"/>
        <v>0</v>
      </c>
      <c r="AS188" s="100">
        <f t="shared" si="266"/>
        <v>131</v>
      </c>
      <c r="AT188" s="100">
        <f t="shared" si="177"/>
        <v>0</v>
      </c>
      <c r="AU188" s="100">
        <f t="shared" si="178"/>
        <v>0</v>
      </c>
      <c r="AV188" s="100">
        <f t="shared" si="179"/>
        <v>0</v>
      </c>
      <c r="AW188" s="100">
        <f t="shared" si="180"/>
        <v>0</v>
      </c>
      <c r="AX188">
        <f t="shared" si="181"/>
        <v>176</v>
      </c>
      <c r="AY188" s="98">
        <f t="shared" si="182"/>
        <v>0</v>
      </c>
      <c r="AZ188" s="98">
        <f t="shared" si="183"/>
        <v>0</v>
      </c>
      <c r="BA188" s="98">
        <f t="shared" si="267"/>
        <v>0</v>
      </c>
      <c r="BB188" s="98">
        <f t="shared" si="184"/>
        <v>0</v>
      </c>
      <c r="BC188" s="98">
        <f t="shared" si="268"/>
        <v>0</v>
      </c>
      <c r="BD188" s="98">
        <f t="shared" si="269"/>
        <v>0</v>
      </c>
      <c r="BE188" s="98">
        <f t="shared" si="270"/>
        <v>0</v>
      </c>
      <c r="BF188" s="98">
        <f t="shared" si="185"/>
        <v>0</v>
      </c>
      <c r="BG188" s="98">
        <f t="shared" si="186"/>
        <v>0</v>
      </c>
      <c r="BH188" s="98">
        <f t="shared" si="271"/>
        <v>0</v>
      </c>
      <c r="BI188" s="98">
        <f t="shared" si="272"/>
        <v>2567.6999999999998</v>
      </c>
      <c r="BJ188" s="98">
        <f t="shared" si="273"/>
        <v>0</v>
      </c>
      <c r="BK188" s="98">
        <f t="shared" si="274"/>
        <v>0</v>
      </c>
      <c r="BL188" s="98">
        <f t="shared" si="187"/>
        <v>0</v>
      </c>
      <c r="BM188" s="98">
        <f t="shared" si="275"/>
        <v>0</v>
      </c>
      <c r="BN188" s="98">
        <f t="shared" si="276"/>
        <v>7474.86</v>
      </c>
      <c r="BO188" s="98">
        <f t="shared" si="188"/>
        <v>0</v>
      </c>
      <c r="BP188" s="98">
        <f t="shared" si="277"/>
        <v>0</v>
      </c>
      <c r="BQ188" s="98">
        <f t="shared" si="189"/>
        <v>0</v>
      </c>
      <c r="BR188" s="98">
        <f t="shared" si="278"/>
        <v>0</v>
      </c>
    </row>
    <row r="189" spans="1:70" x14ac:dyDescent="0.25">
      <c r="A189" t="s">
        <v>56</v>
      </c>
      <c r="B189" t="s">
        <v>9</v>
      </c>
      <c r="C189">
        <v>2026</v>
      </c>
      <c r="D189" s="98">
        <f>INDEX('Reference Sheet'!$G$9:$J$100, MATCH(A189,'Reference Sheet'!$F$9:$F$100,0), MATCH(C189,'Reference Sheet'!$G$8:$J$8,0))/2080</f>
        <v>46.153846153846153</v>
      </c>
      <c r="E189" s="99">
        <f>VLOOKUP(C189,'Reference Sheet'!$A$2:$B$5,2)</f>
        <v>0.23630000000000001</v>
      </c>
      <c r="F189" s="98">
        <f t="shared" si="159"/>
        <v>57.059999999999995</v>
      </c>
      <c r="G189" s="98"/>
      <c r="H189" s="98"/>
      <c r="I189" s="21"/>
      <c r="J189" s="21"/>
      <c r="K189" s="21"/>
      <c r="L189" s="21"/>
      <c r="M189" s="21"/>
      <c r="N189" s="21"/>
      <c r="O189" s="21"/>
      <c r="P189" s="21"/>
      <c r="Q189" s="21">
        <v>47</v>
      </c>
      <c r="R189" s="21"/>
      <c r="S189" s="21"/>
      <c r="T189" s="21"/>
      <c r="U189" s="21"/>
      <c r="V189" s="21">
        <v>129</v>
      </c>
      <c r="W189" s="21"/>
      <c r="X189" s="21"/>
      <c r="Y189" s="21"/>
      <c r="Z189" s="21"/>
      <c r="AA189" s="98">
        <f t="shared" si="158"/>
        <v>176</v>
      </c>
      <c r="AB189" s="98">
        <f>IF(OR(B189="",C189=""),"",SUMIFS('Reference Sheet'!$D$9:$D$42,'Reference Sheet'!$A$9:$A$42,C189,'Reference Sheet'!$B$9:$B$42,B189))</f>
        <v>176</v>
      </c>
      <c r="AC189" s="98">
        <f t="shared" si="160"/>
        <v>0</v>
      </c>
      <c r="AD189" s="100">
        <f t="shared" si="252"/>
        <v>0</v>
      </c>
      <c r="AE189" s="100">
        <f t="shared" si="253"/>
        <v>0</v>
      </c>
      <c r="AF189" s="100">
        <f t="shared" si="254"/>
        <v>0</v>
      </c>
      <c r="AG189" s="100">
        <f t="shared" si="255"/>
        <v>0</v>
      </c>
      <c r="AH189" s="100">
        <f t="shared" si="256"/>
        <v>0</v>
      </c>
      <c r="AI189" s="100">
        <f t="shared" si="257"/>
        <v>0</v>
      </c>
      <c r="AJ189" s="100">
        <f t="shared" si="258"/>
        <v>0</v>
      </c>
      <c r="AK189" s="100">
        <f t="shared" si="259"/>
        <v>0</v>
      </c>
      <c r="AL189" s="100">
        <f t="shared" si="169"/>
        <v>0</v>
      </c>
      <c r="AM189" s="100">
        <f t="shared" si="260"/>
        <v>0</v>
      </c>
      <c r="AN189" s="100">
        <f t="shared" si="261"/>
        <v>47</v>
      </c>
      <c r="AO189" s="100">
        <f t="shared" si="262"/>
        <v>0</v>
      </c>
      <c r="AP189" s="100">
        <f t="shared" si="263"/>
        <v>0</v>
      </c>
      <c r="AQ189" s="100">
        <f t="shared" si="264"/>
        <v>0</v>
      </c>
      <c r="AR189" s="100">
        <f t="shared" si="265"/>
        <v>0</v>
      </c>
      <c r="AS189" s="100">
        <f t="shared" si="266"/>
        <v>129</v>
      </c>
      <c r="AT189" s="100">
        <f t="shared" si="177"/>
        <v>0</v>
      </c>
      <c r="AU189" s="100">
        <f t="shared" si="178"/>
        <v>0</v>
      </c>
      <c r="AV189" s="100">
        <f t="shared" si="179"/>
        <v>0</v>
      </c>
      <c r="AW189" s="100">
        <f t="shared" si="180"/>
        <v>0</v>
      </c>
      <c r="AX189">
        <f t="shared" si="181"/>
        <v>176</v>
      </c>
      <c r="AY189" s="98">
        <f t="shared" si="182"/>
        <v>0</v>
      </c>
      <c r="AZ189" s="98">
        <f t="shared" si="183"/>
        <v>0</v>
      </c>
      <c r="BA189" s="98">
        <f t="shared" si="267"/>
        <v>0</v>
      </c>
      <c r="BB189" s="98">
        <f t="shared" si="184"/>
        <v>0</v>
      </c>
      <c r="BC189" s="98">
        <f t="shared" si="268"/>
        <v>0</v>
      </c>
      <c r="BD189" s="98">
        <f t="shared" si="269"/>
        <v>0</v>
      </c>
      <c r="BE189" s="98">
        <f t="shared" si="270"/>
        <v>0</v>
      </c>
      <c r="BF189" s="98">
        <f t="shared" si="185"/>
        <v>0</v>
      </c>
      <c r="BG189" s="98">
        <f t="shared" si="186"/>
        <v>0</v>
      </c>
      <c r="BH189" s="98">
        <f t="shared" si="271"/>
        <v>0</v>
      </c>
      <c r="BI189" s="98">
        <f t="shared" si="272"/>
        <v>2681.8199999999997</v>
      </c>
      <c r="BJ189" s="98">
        <f t="shared" si="273"/>
        <v>0</v>
      </c>
      <c r="BK189" s="98">
        <f t="shared" si="274"/>
        <v>0</v>
      </c>
      <c r="BL189" s="98">
        <f t="shared" si="187"/>
        <v>0</v>
      </c>
      <c r="BM189" s="98">
        <f t="shared" si="275"/>
        <v>0</v>
      </c>
      <c r="BN189" s="98">
        <f t="shared" si="276"/>
        <v>7360.74</v>
      </c>
      <c r="BO189" s="98">
        <f t="shared" si="188"/>
        <v>0</v>
      </c>
      <c r="BP189" s="98">
        <f t="shared" si="277"/>
        <v>0</v>
      </c>
      <c r="BQ189" s="98">
        <f t="shared" si="189"/>
        <v>0</v>
      </c>
      <c r="BR189" s="98">
        <f t="shared" si="278"/>
        <v>0</v>
      </c>
    </row>
    <row r="190" spans="1:70" x14ac:dyDescent="0.25">
      <c r="A190" t="s">
        <v>56</v>
      </c>
      <c r="B190" t="s">
        <v>11</v>
      </c>
      <c r="C190">
        <v>2026</v>
      </c>
      <c r="D190" s="98">
        <f>INDEX('Reference Sheet'!$G$9:$J$100, MATCH(A190,'Reference Sheet'!$F$9:$F$100,0), MATCH(C190,'Reference Sheet'!$G$8:$J$8,0))/2080</f>
        <v>46.153846153846153</v>
      </c>
      <c r="E190" s="99">
        <f>VLOOKUP(C190,'Reference Sheet'!$A$2:$B$5,2)</f>
        <v>0.23630000000000001</v>
      </c>
      <c r="F190" s="98">
        <f t="shared" si="159"/>
        <v>57.059999999999995</v>
      </c>
      <c r="G190" s="98"/>
      <c r="H190" s="98"/>
      <c r="I190" s="21"/>
      <c r="J190" s="21"/>
      <c r="K190" s="21"/>
      <c r="L190" s="21"/>
      <c r="M190" s="21"/>
      <c r="N190" s="21"/>
      <c r="O190" s="21"/>
      <c r="P190" s="21"/>
      <c r="Q190" s="21">
        <v>93</v>
      </c>
      <c r="R190" s="21"/>
      <c r="S190" s="21"/>
      <c r="T190" s="21"/>
      <c r="U190" s="21"/>
      <c r="V190" s="21">
        <v>83</v>
      </c>
      <c r="W190" s="21"/>
      <c r="X190" s="21"/>
      <c r="Y190" s="21"/>
      <c r="Z190" s="21"/>
      <c r="AA190" s="98">
        <f t="shared" si="158"/>
        <v>176</v>
      </c>
      <c r="AB190" s="98">
        <f>IF(OR(B190="",C190=""),"",SUMIFS('Reference Sheet'!$D$9:$D$42,'Reference Sheet'!$A$9:$A$42,C190,'Reference Sheet'!$B$9:$B$42,B190))</f>
        <v>176</v>
      </c>
      <c r="AC190" s="98">
        <f t="shared" si="160"/>
        <v>0</v>
      </c>
      <c r="AD190" s="100">
        <f t="shared" si="252"/>
        <v>0</v>
      </c>
      <c r="AE190" s="100">
        <f t="shared" si="253"/>
        <v>0</v>
      </c>
      <c r="AF190" s="100">
        <f t="shared" si="254"/>
        <v>0</v>
      </c>
      <c r="AG190" s="100">
        <f t="shared" si="255"/>
        <v>0</v>
      </c>
      <c r="AH190" s="100">
        <f t="shared" si="256"/>
        <v>0</v>
      </c>
      <c r="AI190" s="100">
        <f t="shared" si="257"/>
        <v>0</v>
      </c>
      <c r="AJ190" s="100">
        <f t="shared" si="258"/>
        <v>0</v>
      </c>
      <c r="AK190" s="100">
        <f t="shared" si="259"/>
        <v>0</v>
      </c>
      <c r="AL190" s="100">
        <f t="shared" si="169"/>
        <v>0</v>
      </c>
      <c r="AM190" s="100">
        <f t="shared" si="260"/>
        <v>0</v>
      </c>
      <c r="AN190" s="100">
        <f t="shared" si="261"/>
        <v>93</v>
      </c>
      <c r="AO190" s="100">
        <f t="shared" si="262"/>
        <v>0</v>
      </c>
      <c r="AP190" s="100">
        <f t="shared" si="263"/>
        <v>0</v>
      </c>
      <c r="AQ190" s="100">
        <f t="shared" si="264"/>
        <v>0</v>
      </c>
      <c r="AR190" s="100">
        <f t="shared" si="265"/>
        <v>0</v>
      </c>
      <c r="AS190" s="100">
        <f t="shared" si="266"/>
        <v>83</v>
      </c>
      <c r="AT190" s="100">
        <f t="shared" si="177"/>
        <v>0</v>
      </c>
      <c r="AU190" s="100">
        <f t="shared" si="178"/>
        <v>0</v>
      </c>
      <c r="AV190" s="100">
        <f t="shared" si="179"/>
        <v>0</v>
      </c>
      <c r="AW190" s="100">
        <f t="shared" si="180"/>
        <v>0</v>
      </c>
      <c r="AX190">
        <f t="shared" si="181"/>
        <v>176</v>
      </c>
      <c r="AY190" s="98">
        <f t="shared" si="182"/>
        <v>0</v>
      </c>
      <c r="AZ190" s="98">
        <f t="shared" si="183"/>
        <v>0</v>
      </c>
      <c r="BA190" s="98">
        <f t="shared" si="267"/>
        <v>0</v>
      </c>
      <c r="BB190" s="98">
        <f t="shared" si="184"/>
        <v>0</v>
      </c>
      <c r="BC190" s="98">
        <f t="shared" si="268"/>
        <v>0</v>
      </c>
      <c r="BD190" s="98">
        <f t="shared" si="269"/>
        <v>0</v>
      </c>
      <c r="BE190" s="98">
        <f t="shared" si="270"/>
        <v>0</v>
      </c>
      <c r="BF190" s="98">
        <f t="shared" si="185"/>
        <v>0</v>
      </c>
      <c r="BG190" s="98">
        <f t="shared" si="186"/>
        <v>0</v>
      </c>
      <c r="BH190" s="98">
        <f t="shared" si="271"/>
        <v>0</v>
      </c>
      <c r="BI190" s="98">
        <f t="shared" si="272"/>
        <v>5306.58</v>
      </c>
      <c r="BJ190" s="98">
        <f t="shared" si="273"/>
        <v>0</v>
      </c>
      <c r="BK190" s="98">
        <f t="shared" si="274"/>
        <v>0</v>
      </c>
      <c r="BL190" s="98">
        <f t="shared" si="187"/>
        <v>0</v>
      </c>
      <c r="BM190" s="98">
        <f t="shared" si="275"/>
        <v>0</v>
      </c>
      <c r="BN190" s="98">
        <f t="shared" si="276"/>
        <v>4735.9799999999996</v>
      </c>
      <c r="BO190" s="98">
        <f t="shared" si="188"/>
        <v>0</v>
      </c>
      <c r="BP190" s="98">
        <f t="shared" si="277"/>
        <v>0</v>
      </c>
      <c r="BQ190" s="98">
        <f t="shared" si="189"/>
        <v>0</v>
      </c>
      <c r="BR190" s="98">
        <f t="shared" si="278"/>
        <v>0</v>
      </c>
    </row>
    <row r="191" spans="1:70" x14ac:dyDescent="0.25">
      <c r="A191" t="s">
        <v>56</v>
      </c>
      <c r="B191" t="s">
        <v>12</v>
      </c>
      <c r="C191">
        <v>2026</v>
      </c>
      <c r="D191" s="98">
        <f>INDEX('Reference Sheet'!$G$9:$J$100, MATCH(A191,'Reference Sheet'!$F$9:$F$100,0), MATCH(C191,'Reference Sheet'!$G$8:$J$8,0))/2080</f>
        <v>46.153846153846153</v>
      </c>
      <c r="E191" s="99">
        <f>VLOOKUP(C191,'Reference Sheet'!$A$2:$B$5,2)</f>
        <v>0.23630000000000001</v>
      </c>
      <c r="F191" s="98">
        <f t="shared" si="159"/>
        <v>57.059999999999995</v>
      </c>
      <c r="G191" s="98"/>
      <c r="H191" s="98"/>
      <c r="I191" s="21"/>
      <c r="J191" s="21"/>
      <c r="K191" s="21"/>
      <c r="L191" s="21"/>
      <c r="M191" s="21"/>
      <c r="N191" s="21"/>
      <c r="O191" s="21"/>
      <c r="P191" s="21"/>
      <c r="Q191" s="21"/>
      <c r="R191" s="21"/>
      <c r="S191" s="21"/>
      <c r="T191" s="21"/>
      <c r="U191" s="21"/>
      <c r="V191" s="21">
        <v>184</v>
      </c>
      <c r="W191" s="21"/>
      <c r="X191" s="21"/>
      <c r="Y191" s="21"/>
      <c r="Z191" s="21"/>
      <c r="AA191" s="98">
        <f t="shared" si="158"/>
        <v>184</v>
      </c>
      <c r="AB191" s="98">
        <f>IF(OR(B191="",C191=""),"",SUMIFS('Reference Sheet'!$D$9:$D$42,'Reference Sheet'!$A$9:$A$42,C191,'Reference Sheet'!$B$9:$B$42,B191))</f>
        <v>184</v>
      </c>
      <c r="AC191" s="98">
        <f t="shared" si="160"/>
        <v>0</v>
      </c>
      <c r="AD191" s="100">
        <f t="shared" si="252"/>
        <v>0</v>
      </c>
      <c r="AE191" s="100">
        <f t="shared" si="253"/>
        <v>0</v>
      </c>
      <c r="AF191" s="100">
        <f t="shared" si="254"/>
        <v>0</v>
      </c>
      <c r="AG191" s="100">
        <f t="shared" si="255"/>
        <v>0</v>
      </c>
      <c r="AH191" s="100">
        <f t="shared" si="256"/>
        <v>0</v>
      </c>
      <c r="AI191" s="100">
        <f t="shared" si="257"/>
        <v>0</v>
      </c>
      <c r="AJ191" s="100">
        <f t="shared" si="258"/>
        <v>0</v>
      </c>
      <c r="AK191" s="100">
        <f t="shared" si="259"/>
        <v>0</v>
      </c>
      <c r="AL191" s="100">
        <f t="shared" si="169"/>
        <v>0</v>
      </c>
      <c r="AM191" s="100">
        <f t="shared" si="260"/>
        <v>0</v>
      </c>
      <c r="AN191" s="100">
        <f t="shared" si="261"/>
        <v>0</v>
      </c>
      <c r="AO191" s="100">
        <f t="shared" si="262"/>
        <v>0</v>
      </c>
      <c r="AP191" s="100">
        <f t="shared" si="263"/>
        <v>0</v>
      </c>
      <c r="AQ191" s="100">
        <f t="shared" si="264"/>
        <v>0</v>
      </c>
      <c r="AR191" s="100">
        <f t="shared" si="265"/>
        <v>0</v>
      </c>
      <c r="AS191" s="100">
        <f t="shared" si="266"/>
        <v>184</v>
      </c>
      <c r="AT191" s="100">
        <f t="shared" si="177"/>
        <v>0</v>
      </c>
      <c r="AU191" s="100">
        <f t="shared" si="178"/>
        <v>0</v>
      </c>
      <c r="AV191" s="100">
        <f t="shared" si="179"/>
        <v>0</v>
      </c>
      <c r="AW191" s="100">
        <f t="shared" si="180"/>
        <v>0</v>
      </c>
      <c r="AX191">
        <f t="shared" si="181"/>
        <v>184</v>
      </c>
      <c r="AY191" s="98">
        <f t="shared" si="182"/>
        <v>0</v>
      </c>
      <c r="AZ191" s="98">
        <f t="shared" si="183"/>
        <v>0</v>
      </c>
      <c r="BA191" s="98">
        <f t="shared" si="267"/>
        <v>0</v>
      </c>
      <c r="BB191" s="98">
        <f t="shared" si="184"/>
        <v>0</v>
      </c>
      <c r="BC191" s="98">
        <f t="shared" si="268"/>
        <v>0</v>
      </c>
      <c r="BD191" s="98">
        <f t="shared" si="269"/>
        <v>0</v>
      </c>
      <c r="BE191" s="98">
        <f t="shared" si="270"/>
        <v>0</v>
      </c>
      <c r="BF191" s="98">
        <f t="shared" si="185"/>
        <v>0</v>
      </c>
      <c r="BG191" s="98">
        <f t="shared" si="186"/>
        <v>0</v>
      </c>
      <c r="BH191" s="98">
        <f t="shared" si="271"/>
        <v>0</v>
      </c>
      <c r="BI191" s="98">
        <f t="shared" si="272"/>
        <v>0</v>
      </c>
      <c r="BJ191" s="98">
        <f t="shared" si="273"/>
        <v>0</v>
      </c>
      <c r="BK191" s="98">
        <f t="shared" si="274"/>
        <v>0</v>
      </c>
      <c r="BL191" s="98">
        <f t="shared" si="187"/>
        <v>0</v>
      </c>
      <c r="BM191" s="98">
        <f t="shared" si="275"/>
        <v>0</v>
      </c>
      <c r="BN191" s="98">
        <f>$F191*AS191</f>
        <v>10499.039999999999</v>
      </c>
      <c r="BO191" s="98">
        <f t="shared" si="188"/>
        <v>0</v>
      </c>
      <c r="BP191" s="98">
        <f t="shared" si="277"/>
        <v>0</v>
      </c>
      <c r="BQ191" s="98">
        <f t="shared" si="189"/>
        <v>0</v>
      </c>
      <c r="BR191" s="98">
        <f t="shared" si="278"/>
        <v>0</v>
      </c>
    </row>
    <row r="192" spans="1:70" x14ac:dyDescent="0.25">
      <c r="A192" t="s">
        <v>56</v>
      </c>
      <c r="B192" t="s">
        <v>13</v>
      </c>
      <c r="C192">
        <v>2026</v>
      </c>
      <c r="D192" s="98">
        <f>INDEX('Reference Sheet'!$G$9:$J$100, MATCH(A192,'Reference Sheet'!$F$9:$F$100,0), MATCH(C192,'Reference Sheet'!$G$8:$J$8,0))/2080</f>
        <v>46.153846153846153</v>
      </c>
      <c r="E192" s="99">
        <f>VLOOKUP(C192,'Reference Sheet'!$A$2:$B$5,2)</f>
        <v>0.23630000000000001</v>
      </c>
      <c r="F192" s="98">
        <f t="shared" ref="F192" si="279">D192*(1+E192)</f>
        <v>57.059999999999995</v>
      </c>
      <c r="G192" s="98"/>
      <c r="H192" s="98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>
        <v>168</v>
      </c>
      <c r="W192" s="21"/>
      <c r="X192" s="21"/>
      <c r="Y192" s="21"/>
      <c r="Z192" s="21"/>
      <c r="AA192" s="98">
        <f t="shared" si="158"/>
        <v>168</v>
      </c>
      <c r="AB192" s="98">
        <f>IF(OR(B192="",C192=""),"",SUMIFS('Reference Sheet'!$D$9:$D$44,'Reference Sheet'!$A$9:$A$44,C192,'Reference Sheet'!$B$9:$B$44,B192))</f>
        <v>176</v>
      </c>
      <c r="AC192" s="98">
        <f t="shared" ref="AC192" si="280">AB192-AA192</f>
        <v>8</v>
      </c>
      <c r="AD192" s="100">
        <f t="shared" si="252"/>
        <v>0</v>
      </c>
      <c r="AE192" s="100">
        <f t="shared" si="253"/>
        <v>0</v>
      </c>
      <c r="AF192" s="100">
        <f t="shared" si="254"/>
        <v>0</v>
      </c>
      <c r="AG192" s="100">
        <f t="shared" si="255"/>
        <v>0</v>
      </c>
      <c r="AH192" s="100">
        <f t="shared" si="256"/>
        <v>0</v>
      </c>
      <c r="AI192" s="100">
        <f t="shared" si="257"/>
        <v>0</v>
      </c>
      <c r="AJ192" s="100">
        <f t="shared" si="258"/>
        <v>0</v>
      </c>
      <c r="AK192" s="100">
        <f t="shared" si="259"/>
        <v>0</v>
      </c>
      <c r="AL192" s="100">
        <f t="shared" si="169"/>
        <v>0</v>
      </c>
      <c r="AM192" s="100">
        <f t="shared" si="260"/>
        <v>0</v>
      </c>
      <c r="AN192" s="100">
        <f t="shared" si="261"/>
        <v>0</v>
      </c>
      <c r="AO192" s="100">
        <f t="shared" si="262"/>
        <v>0</v>
      </c>
      <c r="AP192" s="100">
        <f t="shared" si="263"/>
        <v>0</v>
      </c>
      <c r="AQ192" s="100">
        <f t="shared" si="264"/>
        <v>0</v>
      </c>
      <c r="AR192" s="100">
        <f t="shared" si="265"/>
        <v>0</v>
      </c>
      <c r="AS192" s="100">
        <f t="shared" si="266"/>
        <v>176</v>
      </c>
      <c r="AT192" s="100">
        <f t="shared" si="177"/>
        <v>0</v>
      </c>
      <c r="AU192" s="100">
        <f t="shared" ref="AU192" si="281">(X192/$AA192)*$AB192</f>
        <v>0</v>
      </c>
      <c r="AV192" s="100">
        <f t="shared" si="179"/>
        <v>0</v>
      </c>
      <c r="AW192" s="100">
        <f t="shared" ref="AW192" si="282">(Z192/$AA192)*$AB192</f>
        <v>0</v>
      </c>
      <c r="AX192">
        <f t="shared" ref="AX192" si="283">SUM(AF192:AW192)</f>
        <v>176</v>
      </c>
      <c r="AY192" s="98">
        <f t="shared" si="182"/>
        <v>0</v>
      </c>
      <c r="AZ192" s="98">
        <f t="shared" si="183"/>
        <v>0</v>
      </c>
      <c r="BA192" s="98">
        <f t="shared" ref="BA192" si="284">$F192*AF192</f>
        <v>0</v>
      </c>
      <c r="BB192" s="98">
        <f t="shared" si="184"/>
        <v>0</v>
      </c>
      <c r="BC192" s="98">
        <f t="shared" ref="BC192" si="285">$F192*AH192</f>
        <v>0</v>
      </c>
      <c r="BD192" s="98">
        <f t="shared" ref="BD192" si="286">$F192*AI192</f>
        <v>0</v>
      </c>
      <c r="BE192" s="98">
        <f t="shared" ref="BE192" si="287">$F192*AJ192</f>
        <v>0</v>
      </c>
      <c r="BF192" s="98">
        <f t="shared" si="185"/>
        <v>0</v>
      </c>
      <c r="BG192" s="98">
        <f t="shared" si="186"/>
        <v>0</v>
      </c>
      <c r="BH192" s="98">
        <f t="shared" ref="BH192" si="288">$F192*AM192</f>
        <v>0</v>
      </c>
      <c r="BI192" s="98">
        <f t="shared" ref="BI192" si="289">$F192*AN192</f>
        <v>0</v>
      </c>
      <c r="BJ192" s="98">
        <f t="shared" ref="BJ192" si="290">$F192*AO192</f>
        <v>0</v>
      </c>
      <c r="BK192" s="98">
        <f t="shared" ref="BK192" si="291">$F192*AP192</f>
        <v>0</v>
      </c>
      <c r="BL192" s="98">
        <f t="shared" si="187"/>
        <v>0</v>
      </c>
      <c r="BM192" s="98">
        <f t="shared" ref="BM192" si="292">$F192*AR192</f>
        <v>0</v>
      </c>
      <c r="BN192" s="98">
        <f t="shared" ref="BN192" si="293">$F192*AS192</f>
        <v>10042.56</v>
      </c>
      <c r="BO192" s="98">
        <f t="shared" si="188"/>
        <v>0</v>
      </c>
      <c r="BP192" s="98">
        <f t="shared" ref="BP192" si="294">$F192*AU192</f>
        <v>0</v>
      </c>
      <c r="BQ192" s="98">
        <f t="shared" si="189"/>
        <v>0</v>
      </c>
      <c r="BR192" s="98">
        <f t="shared" ref="BR192" si="295">$F192*AW192</f>
        <v>0</v>
      </c>
    </row>
    <row r="193" spans="1:70" x14ac:dyDescent="0.25">
      <c r="A193" t="s">
        <v>75</v>
      </c>
      <c r="B193" t="s">
        <v>15</v>
      </c>
      <c r="C193">
        <v>2023</v>
      </c>
      <c r="D193" s="98">
        <f>INDEX('Reference Sheet'!$G$9:$J$100, MATCH(A193,'Reference Sheet'!$F$9:$F$100,0), MATCH(C193,'Reference Sheet'!$G$8:$J$8,0))/2080</f>
        <v>31.73076923076923</v>
      </c>
      <c r="E193" s="99">
        <v>0</v>
      </c>
      <c r="F193" s="98">
        <f t="shared" si="159"/>
        <v>31.73076923076923</v>
      </c>
      <c r="G193" s="98"/>
      <c r="H193" s="98"/>
      <c r="I193" s="32"/>
      <c r="J193" s="32"/>
      <c r="K193" s="32"/>
      <c r="L193" s="32"/>
      <c r="M193" s="32"/>
      <c r="N193" s="32"/>
      <c r="O193" s="32"/>
      <c r="P193" s="32"/>
      <c r="Q193" s="32">
        <v>10</v>
      </c>
      <c r="R193" s="32"/>
      <c r="S193" s="32"/>
      <c r="T193" s="32"/>
      <c r="U193" s="32"/>
      <c r="V193" s="32"/>
      <c r="W193" s="32"/>
      <c r="X193" s="32"/>
      <c r="Y193" s="32"/>
      <c r="Z193" s="32"/>
      <c r="AA193" s="98">
        <f t="shared" si="158"/>
        <v>10</v>
      </c>
      <c r="AB193" s="98">
        <f t="shared" ref="AB193:AB225" si="296">AA193</f>
        <v>10</v>
      </c>
      <c r="AC193" s="98">
        <f t="shared" si="160"/>
        <v>0</v>
      </c>
      <c r="AD193" s="100">
        <f t="shared" si="252"/>
        <v>0</v>
      </c>
      <c r="AE193" s="100">
        <f t="shared" si="253"/>
        <v>0</v>
      </c>
      <c r="AF193" s="100">
        <f t="shared" si="254"/>
        <v>0</v>
      </c>
      <c r="AG193" s="100">
        <f t="shared" si="255"/>
        <v>0</v>
      </c>
      <c r="AH193" s="100">
        <f t="shared" si="256"/>
        <v>0</v>
      </c>
      <c r="AI193" s="100">
        <f t="shared" si="257"/>
        <v>0</v>
      </c>
      <c r="AJ193" s="100">
        <f t="shared" si="258"/>
        <v>0</v>
      </c>
      <c r="AK193" s="100">
        <f t="shared" si="259"/>
        <v>0</v>
      </c>
      <c r="AL193" s="100">
        <f t="shared" si="169"/>
        <v>0</v>
      </c>
      <c r="AM193" s="100">
        <f t="shared" si="260"/>
        <v>0</v>
      </c>
      <c r="AN193" s="100">
        <f t="shared" si="261"/>
        <v>10</v>
      </c>
      <c r="AO193" s="100">
        <f t="shared" si="262"/>
        <v>0</v>
      </c>
      <c r="AP193" s="100">
        <f t="shared" si="263"/>
        <v>0</v>
      </c>
      <c r="AQ193" s="100">
        <f t="shared" si="264"/>
        <v>0</v>
      </c>
      <c r="AR193" s="100">
        <f t="shared" si="265"/>
        <v>0</v>
      </c>
      <c r="AS193" s="100">
        <f t="shared" si="266"/>
        <v>0</v>
      </c>
      <c r="AT193" s="100">
        <f t="shared" si="177"/>
        <v>0</v>
      </c>
      <c r="AU193" s="100">
        <f t="shared" si="178"/>
        <v>0</v>
      </c>
      <c r="AV193" s="100">
        <f t="shared" si="179"/>
        <v>0</v>
      </c>
      <c r="AW193" s="100">
        <f t="shared" si="180"/>
        <v>0</v>
      </c>
      <c r="AX193">
        <f t="shared" si="181"/>
        <v>10</v>
      </c>
      <c r="AY193" s="98">
        <f t="shared" si="182"/>
        <v>0</v>
      </c>
      <c r="AZ193" s="98">
        <f t="shared" si="183"/>
        <v>0</v>
      </c>
      <c r="BA193" s="98">
        <f t="shared" si="267"/>
        <v>0</v>
      </c>
      <c r="BB193" s="98">
        <f t="shared" si="184"/>
        <v>0</v>
      </c>
      <c r="BC193" s="98">
        <f t="shared" si="268"/>
        <v>0</v>
      </c>
      <c r="BD193" s="98">
        <f t="shared" si="269"/>
        <v>0</v>
      </c>
      <c r="BE193" s="98">
        <f t="shared" si="270"/>
        <v>0</v>
      </c>
      <c r="BF193" s="98">
        <f t="shared" si="185"/>
        <v>0</v>
      </c>
      <c r="BG193" s="98">
        <f t="shared" si="186"/>
        <v>0</v>
      </c>
      <c r="BH193" s="98">
        <f t="shared" si="271"/>
        <v>0</v>
      </c>
      <c r="BI193" s="98">
        <f t="shared" si="272"/>
        <v>317.30769230769232</v>
      </c>
      <c r="BJ193" s="98">
        <f t="shared" si="273"/>
        <v>0</v>
      </c>
      <c r="BK193" s="98">
        <f t="shared" si="274"/>
        <v>0</v>
      </c>
      <c r="BL193" s="98">
        <f t="shared" si="187"/>
        <v>0</v>
      </c>
      <c r="BM193" s="98">
        <f t="shared" si="275"/>
        <v>0</v>
      </c>
      <c r="BN193" s="98">
        <f t="shared" si="276"/>
        <v>0</v>
      </c>
      <c r="BO193" s="98">
        <f t="shared" si="188"/>
        <v>0</v>
      </c>
      <c r="BP193" s="98">
        <f t="shared" si="277"/>
        <v>0</v>
      </c>
      <c r="BQ193" s="98">
        <f t="shared" si="189"/>
        <v>0</v>
      </c>
      <c r="BR193" s="98">
        <f t="shared" si="278"/>
        <v>0</v>
      </c>
    </row>
    <row r="194" spans="1:70" x14ac:dyDescent="0.25">
      <c r="A194" t="s">
        <v>75</v>
      </c>
      <c r="B194" t="s">
        <v>16</v>
      </c>
      <c r="C194">
        <v>2023</v>
      </c>
      <c r="D194" s="98">
        <f>INDEX('Reference Sheet'!$G$9:$J$100, MATCH(A194,'Reference Sheet'!$F$9:$F$100,0), MATCH(C194,'Reference Sheet'!$G$8:$J$8,0))/2080</f>
        <v>31.73076923076923</v>
      </c>
      <c r="E194" s="99">
        <v>0</v>
      </c>
      <c r="F194" s="98">
        <f t="shared" si="159"/>
        <v>31.73076923076923</v>
      </c>
      <c r="G194" s="98"/>
      <c r="H194" s="98"/>
      <c r="I194" s="32"/>
      <c r="J194" s="32"/>
      <c r="K194" s="32"/>
      <c r="L194" s="32"/>
      <c r="M194" s="32"/>
      <c r="N194" s="32"/>
      <c r="O194" s="32"/>
      <c r="P194" s="32"/>
      <c r="Q194" s="32">
        <v>10</v>
      </c>
      <c r="R194" s="32"/>
      <c r="S194" s="32"/>
      <c r="T194" s="32"/>
      <c r="U194" s="32"/>
      <c r="V194" s="32"/>
      <c r="W194" s="32"/>
      <c r="X194" s="32"/>
      <c r="Y194" s="32"/>
      <c r="Z194" s="32"/>
      <c r="AA194" s="98">
        <f t="shared" si="158"/>
        <v>10</v>
      </c>
      <c r="AB194" s="98">
        <f t="shared" si="296"/>
        <v>10</v>
      </c>
      <c r="AC194" s="98">
        <f t="shared" si="160"/>
        <v>0</v>
      </c>
      <c r="AD194" s="100">
        <f t="shared" si="252"/>
        <v>0</v>
      </c>
      <c r="AE194" s="100">
        <f t="shared" si="253"/>
        <v>0</v>
      </c>
      <c r="AF194" s="100">
        <f t="shared" si="254"/>
        <v>0</v>
      </c>
      <c r="AG194" s="100">
        <f t="shared" si="255"/>
        <v>0</v>
      </c>
      <c r="AH194" s="100">
        <f t="shared" si="256"/>
        <v>0</v>
      </c>
      <c r="AI194" s="100">
        <f t="shared" si="257"/>
        <v>0</v>
      </c>
      <c r="AJ194" s="100">
        <f t="shared" si="258"/>
        <v>0</v>
      </c>
      <c r="AK194" s="100">
        <f t="shared" si="259"/>
        <v>0</v>
      </c>
      <c r="AL194" s="100">
        <f t="shared" si="169"/>
        <v>0</v>
      </c>
      <c r="AM194" s="100">
        <f t="shared" si="260"/>
        <v>0</v>
      </c>
      <c r="AN194" s="100">
        <f t="shared" si="261"/>
        <v>10</v>
      </c>
      <c r="AO194" s="100">
        <f t="shared" si="262"/>
        <v>0</v>
      </c>
      <c r="AP194" s="100">
        <f t="shared" si="263"/>
        <v>0</v>
      </c>
      <c r="AQ194" s="100">
        <f t="shared" si="264"/>
        <v>0</v>
      </c>
      <c r="AR194" s="100">
        <f t="shared" si="265"/>
        <v>0</v>
      </c>
      <c r="AS194" s="100">
        <f t="shared" si="266"/>
        <v>0</v>
      </c>
      <c r="AT194" s="100">
        <f t="shared" si="177"/>
        <v>0</v>
      </c>
      <c r="AU194" s="100">
        <f t="shared" si="178"/>
        <v>0</v>
      </c>
      <c r="AV194" s="100">
        <f t="shared" si="179"/>
        <v>0</v>
      </c>
      <c r="AW194" s="100">
        <f t="shared" si="180"/>
        <v>0</v>
      </c>
      <c r="AX194">
        <f t="shared" si="181"/>
        <v>10</v>
      </c>
      <c r="AY194" s="98">
        <f t="shared" si="182"/>
        <v>0</v>
      </c>
      <c r="AZ194" s="98">
        <f t="shared" si="183"/>
        <v>0</v>
      </c>
      <c r="BA194" s="98">
        <f t="shared" si="267"/>
        <v>0</v>
      </c>
      <c r="BB194" s="98">
        <f t="shared" si="184"/>
        <v>0</v>
      </c>
      <c r="BC194" s="98">
        <f t="shared" si="268"/>
        <v>0</v>
      </c>
      <c r="BD194" s="98">
        <f t="shared" si="269"/>
        <v>0</v>
      </c>
      <c r="BE194" s="98">
        <f t="shared" si="270"/>
        <v>0</v>
      </c>
      <c r="BF194" s="98">
        <f t="shared" si="185"/>
        <v>0</v>
      </c>
      <c r="BG194" s="98">
        <f t="shared" si="186"/>
        <v>0</v>
      </c>
      <c r="BH194" s="98">
        <f t="shared" si="271"/>
        <v>0</v>
      </c>
      <c r="BI194" s="98">
        <f t="shared" si="272"/>
        <v>317.30769230769232</v>
      </c>
      <c r="BJ194" s="98">
        <f t="shared" si="273"/>
        <v>0</v>
      </c>
      <c r="BK194" s="98">
        <f t="shared" si="274"/>
        <v>0</v>
      </c>
      <c r="BL194" s="98">
        <f t="shared" si="187"/>
        <v>0</v>
      </c>
      <c r="BM194" s="98">
        <f t="shared" si="275"/>
        <v>0</v>
      </c>
      <c r="BN194" s="98">
        <f t="shared" si="276"/>
        <v>0</v>
      </c>
      <c r="BO194" s="98">
        <f t="shared" si="188"/>
        <v>0</v>
      </c>
      <c r="BP194" s="98">
        <f t="shared" si="277"/>
        <v>0</v>
      </c>
      <c r="BQ194" s="98">
        <f t="shared" si="189"/>
        <v>0</v>
      </c>
      <c r="BR194" s="98">
        <f t="shared" si="278"/>
        <v>0</v>
      </c>
    </row>
    <row r="195" spans="1:70" x14ac:dyDescent="0.25">
      <c r="A195" t="s">
        <v>75</v>
      </c>
      <c r="B195" t="s">
        <v>17</v>
      </c>
      <c r="C195">
        <v>2023</v>
      </c>
      <c r="D195" s="98">
        <f>INDEX('Reference Sheet'!$G$9:$J$100, MATCH(A195,'Reference Sheet'!$F$9:$F$100,0), MATCH(C195,'Reference Sheet'!$G$8:$J$8,0))/2080</f>
        <v>31.73076923076923</v>
      </c>
      <c r="E195" s="99">
        <v>0</v>
      </c>
      <c r="F195" s="98">
        <f t="shared" si="159"/>
        <v>31.73076923076923</v>
      </c>
      <c r="G195" s="98"/>
      <c r="H195" s="98"/>
      <c r="I195" s="32"/>
      <c r="J195" s="32"/>
      <c r="K195" s="32"/>
      <c r="L195" s="32"/>
      <c r="M195" s="32"/>
      <c r="N195" s="32"/>
      <c r="O195" s="32"/>
      <c r="P195" s="32"/>
      <c r="Q195" s="32">
        <v>10</v>
      </c>
      <c r="R195" s="32"/>
      <c r="S195" s="32"/>
      <c r="T195" s="32"/>
      <c r="U195" s="32"/>
      <c r="V195" s="32"/>
      <c r="W195" s="32"/>
      <c r="X195" s="32"/>
      <c r="Y195" s="32"/>
      <c r="Z195" s="32"/>
      <c r="AA195" s="98">
        <f t="shared" si="158"/>
        <v>10</v>
      </c>
      <c r="AB195" s="98">
        <f t="shared" si="296"/>
        <v>10</v>
      </c>
      <c r="AC195" s="98">
        <f t="shared" si="160"/>
        <v>0</v>
      </c>
      <c r="AD195" s="100">
        <f t="shared" si="252"/>
        <v>0</v>
      </c>
      <c r="AE195" s="100">
        <f t="shared" si="253"/>
        <v>0</v>
      </c>
      <c r="AF195" s="100">
        <f t="shared" si="254"/>
        <v>0</v>
      </c>
      <c r="AG195" s="100">
        <f t="shared" si="255"/>
        <v>0</v>
      </c>
      <c r="AH195" s="100">
        <f t="shared" si="256"/>
        <v>0</v>
      </c>
      <c r="AI195" s="100">
        <f t="shared" si="257"/>
        <v>0</v>
      </c>
      <c r="AJ195" s="100">
        <f t="shared" si="258"/>
        <v>0</v>
      </c>
      <c r="AK195" s="100">
        <f t="shared" si="259"/>
        <v>0</v>
      </c>
      <c r="AL195" s="100">
        <f t="shared" si="169"/>
        <v>0</v>
      </c>
      <c r="AM195" s="100">
        <f t="shared" si="260"/>
        <v>0</v>
      </c>
      <c r="AN195" s="100">
        <f t="shared" si="261"/>
        <v>10</v>
      </c>
      <c r="AO195" s="100">
        <f t="shared" si="262"/>
        <v>0</v>
      </c>
      <c r="AP195" s="100">
        <f t="shared" si="263"/>
        <v>0</v>
      </c>
      <c r="AQ195" s="100">
        <f t="shared" si="264"/>
        <v>0</v>
      </c>
      <c r="AR195" s="100">
        <f t="shared" si="265"/>
        <v>0</v>
      </c>
      <c r="AS195" s="100">
        <f t="shared" si="266"/>
        <v>0</v>
      </c>
      <c r="AT195" s="100">
        <f t="shared" si="177"/>
        <v>0</v>
      </c>
      <c r="AU195" s="100">
        <f t="shared" si="178"/>
        <v>0</v>
      </c>
      <c r="AV195" s="100">
        <f t="shared" si="179"/>
        <v>0</v>
      </c>
      <c r="AW195" s="100">
        <f t="shared" si="180"/>
        <v>0</v>
      </c>
      <c r="AX195">
        <f t="shared" si="181"/>
        <v>10</v>
      </c>
      <c r="AY195" s="98">
        <f t="shared" si="182"/>
        <v>0</v>
      </c>
      <c r="AZ195" s="98">
        <f t="shared" si="183"/>
        <v>0</v>
      </c>
      <c r="BA195" s="98">
        <f t="shared" si="267"/>
        <v>0</v>
      </c>
      <c r="BB195" s="98">
        <f t="shared" si="184"/>
        <v>0</v>
      </c>
      <c r="BC195" s="98">
        <f t="shared" si="268"/>
        <v>0</v>
      </c>
      <c r="BD195" s="98">
        <f t="shared" si="269"/>
        <v>0</v>
      </c>
      <c r="BE195" s="98">
        <f t="shared" si="270"/>
        <v>0</v>
      </c>
      <c r="BF195" s="98">
        <f t="shared" si="185"/>
        <v>0</v>
      </c>
      <c r="BG195" s="98">
        <f t="shared" si="186"/>
        <v>0</v>
      </c>
      <c r="BH195" s="98">
        <f t="shared" si="271"/>
        <v>0</v>
      </c>
      <c r="BI195" s="98">
        <f t="shared" si="272"/>
        <v>317.30769230769232</v>
      </c>
      <c r="BJ195" s="98">
        <f t="shared" si="273"/>
        <v>0</v>
      </c>
      <c r="BK195" s="98">
        <f t="shared" si="274"/>
        <v>0</v>
      </c>
      <c r="BL195" s="98">
        <f t="shared" si="187"/>
        <v>0</v>
      </c>
      <c r="BM195" s="98">
        <f t="shared" si="275"/>
        <v>0</v>
      </c>
      <c r="BN195" s="98">
        <f t="shared" si="276"/>
        <v>0</v>
      </c>
      <c r="BO195" s="98">
        <f t="shared" si="188"/>
        <v>0</v>
      </c>
      <c r="BP195" s="98">
        <f t="shared" si="277"/>
        <v>0</v>
      </c>
      <c r="BQ195" s="98">
        <f t="shared" si="189"/>
        <v>0</v>
      </c>
      <c r="BR195" s="98">
        <f t="shared" si="278"/>
        <v>0</v>
      </c>
    </row>
    <row r="196" spans="1:70" x14ac:dyDescent="0.25">
      <c r="A196" t="s">
        <v>75</v>
      </c>
      <c r="B196" t="s">
        <v>6</v>
      </c>
      <c r="C196">
        <v>2024</v>
      </c>
      <c r="D196" s="98">
        <f>INDEX('Reference Sheet'!$G$9:$J$100, MATCH(A196,'Reference Sheet'!$F$9:$F$100,0), MATCH(C196,'Reference Sheet'!$G$8:$J$8,0))/2080</f>
        <v>31.73076923076923</v>
      </c>
      <c r="E196" s="99">
        <v>0</v>
      </c>
      <c r="F196" s="98">
        <f t="shared" si="159"/>
        <v>31.73076923076923</v>
      </c>
      <c r="G196" s="98"/>
      <c r="H196" s="98"/>
      <c r="I196" s="32"/>
      <c r="J196" s="32"/>
      <c r="K196" s="32"/>
      <c r="L196" s="32"/>
      <c r="M196" s="32"/>
      <c r="N196" s="32"/>
      <c r="O196" s="32"/>
      <c r="P196" s="32"/>
      <c r="Q196" s="32">
        <v>10</v>
      </c>
      <c r="R196" s="32"/>
      <c r="S196" s="32"/>
      <c r="T196" s="32"/>
      <c r="U196" s="32"/>
      <c r="V196" s="32"/>
      <c r="W196" s="32"/>
      <c r="X196" s="32"/>
      <c r="Y196" s="32"/>
      <c r="Z196" s="32"/>
      <c r="AA196" s="98">
        <f t="shared" si="158"/>
        <v>10</v>
      </c>
      <c r="AB196" s="98">
        <f t="shared" si="296"/>
        <v>10</v>
      </c>
      <c r="AC196" s="98">
        <f t="shared" si="160"/>
        <v>0</v>
      </c>
      <c r="AD196" s="100">
        <f t="shared" si="252"/>
        <v>0</v>
      </c>
      <c r="AE196" s="100">
        <f t="shared" si="253"/>
        <v>0</v>
      </c>
      <c r="AF196" s="100">
        <f t="shared" si="254"/>
        <v>0</v>
      </c>
      <c r="AG196" s="100">
        <f t="shared" si="255"/>
        <v>0</v>
      </c>
      <c r="AH196" s="100">
        <f t="shared" si="256"/>
        <v>0</v>
      </c>
      <c r="AI196" s="100">
        <f t="shared" si="257"/>
        <v>0</v>
      </c>
      <c r="AJ196" s="100">
        <f t="shared" si="258"/>
        <v>0</v>
      </c>
      <c r="AK196" s="100">
        <f t="shared" si="259"/>
        <v>0</v>
      </c>
      <c r="AL196" s="100">
        <f t="shared" si="169"/>
        <v>0</v>
      </c>
      <c r="AM196" s="100">
        <f t="shared" si="260"/>
        <v>0</v>
      </c>
      <c r="AN196" s="100">
        <f t="shared" si="261"/>
        <v>10</v>
      </c>
      <c r="AO196" s="100">
        <f t="shared" si="262"/>
        <v>0</v>
      </c>
      <c r="AP196" s="100">
        <f t="shared" si="263"/>
        <v>0</v>
      </c>
      <c r="AQ196" s="100">
        <f t="shared" si="264"/>
        <v>0</v>
      </c>
      <c r="AR196" s="100">
        <f t="shared" si="265"/>
        <v>0</v>
      </c>
      <c r="AS196" s="100">
        <f t="shared" si="266"/>
        <v>0</v>
      </c>
      <c r="AT196" s="100">
        <f t="shared" si="177"/>
        <v>0</v>
      </c>
      <c r="AU196" s="100">
        <f t="shared" si="178"/>
        <v>0</v>
      </c>
      <c r="AV196" s="100">
        <f t="shared" si="179"/>
        <v>0</v>
      </c>
      <c r="AW196" s="100">
        <f t="shared" si="180"/>
        <v>0</v>
      </c>
      <c r="AX196">
        <f t="shared" si="181"/>
        <v>10</v>
      </c>
      <c r="AY196" s="98">
        <f t="shared" si="182"/>
        <v>0</v>
      </c>
      <c r="AZ196" s="98">
        <f t="shared" si="183"/>
        <v>0</v>
      </c>
      <c r="BA196" s="98">
        <f t="shared" si="267"/>
        <v>0</v>
      </c>
      <c r="BB196" s="98">
        <f t="shared" si="184"/>
        <v>0</v>
      </c>
      <c r="BC196" s="98">
        <f t="shared" si="268"/>
        <v>0</v>
      </c>
      <c r="BD196" s="98">
        <f t="shared" si="269"/>
        <v>0</v>
      </c>
      <c r="BE196" s="98">
        <f t="shared" si="270"/>
        <v>0</v>
      </c>
      <c r="BF196" s="98">
        <f t="shared" si="185"/>
        <v>0</v>
      </c>
      <c r="BG196" s="98">
        <f t="shared" si="186"/>
        <v>0</v>
      </c>
      <c r="BH196" s="98">
        <f t="shared" si="271"/>
        <v>0</v>
      </c>
      <c r="BI196" s="98">
        <f t="shared" si="272"/>
        <v>317.30769230769232</v>
      </c>
      <c r="BJ196" s="98">
        <f t="shared" si="273"/>
        <v>0</v>
      </c>
      <c r="BK196" s="98">
        <f t="shared" si="274"/>
        <v>0</v>
      </c>
      <c r="BL196" s="98">
        <f t="shared" si="187"/>
        <v>0</v>
      </c>
      <c r="BM196" s="98">
        <f t="shared" si="275"/>
        <v>0</v>
      </c>
      <c r="BN196" s="98">
        <f t="shared" si="276"/>
        <v>0</v>
      </c>
      <c r="BO196" s="98">
        <f t="shared" si="188"/>
        <v>0</v>
      </c>
      <c r="BP196" s="98">
        <f t="shared" si="277"/>
        <v>0</v>
      </c>
      <c r="BQ196" s="98">
        <f t="shared" si="189"/>
        <v>0</v>
      </c>
      <c r="BR196" s="98">
        <f t="shared" si="278"/>
        <v>0</v>
      </c>
    </row>
    <row r="197" spans="1:70" x14ac:dyDescent="0.25">
      <c r="A197" t="s">
        <v>75</v>
      </c>
      <c r="B197" t="s">
        <v>7</v>
      </c>
      <c r="C197">
        <v>2024</v>
      </c>
      <c r="D197" s="98">
        <f>INDEX('Reference Sheet'!$G$9:$J$100, MATCH(A197,'Reference Sheet'!$F$9:$F$100,0), MATCH(C197,'Reference Sheet'!$G$8:$J$8,0))/2080</f>
        <v>31.73076923076923</v>
      </c>
      <c r="E197" s="99">
        <v>0</v>
      </c>
      <c r="F197" s="98">
        <f t="shared" si="159"/>
        <v>31.73076923076923</v>
      </c>
      <c r="G197" s="98"/>
      <c r="H197" s="98"/>
      <c r="I197" s="32"/>
      <c r="J197" s="32"/>
      <c r="K197" s="32"/>
      <c r="L197" s="32"/>
      <c r="M197" s="32"/>
      <c r="N197" s="32"/>
      <c r="O197" s="32"/>
      <c r="P197" s="32"/>
      <c r="Q197" s="32">
        <v>10</v>
      </c>
      <c r="R197" s="32"/>
      <c r="S197" s="32"/>
      <c r="T197" s="32"/>
      <c r="U197" s="32"/>
      <c r="V197" s="32"/>
      <c r="W197" s="32"/>
      <c r="X197" s="32"/>
      <c r="Y197" s="32"/>
      <c r="Z197" s="32"/>
      <c r="AA197" s="98">
        <f t="shared" si="158"/>
        <v>10</v>
      </c>
      <c r="AB197" s="98">
        <f t="shared" si="296"/>
        <v>10</v>
      </c>
      <c r="AC197" s="98">
        <f t="shared" si="160"/>
        <v>0</v>
      </c>
      <c r="AD197" s="100">
        <f t="shared" si="252"/>
        <v>0</v>
      </c>
      <c r="AE197" s="100">
        <f t="shared" si="253"/>
        <v>0</v>
      </c>
      <c r="AF197" s="100">
        <f t="shared" si="254"/>
        <v>0</v>
      </c>
      <c r="AG197" s="100">
        <f t="shared" si="255"/>
        <v>0</v>
      </c>
      <c r="AH197" s="100">
        <f t="shared" si="256"/>
        <v>0</v>
      </c>
      <c r="AI197" s="100">
        <f t="shared" si="257"/>
        <v>0</v>
      </c>
      <c r="AJ197" s="100">
        <f t="shared" si="258"/>
        <v>0</v>
      </c>
      <c r="AK197" s="100">
        <f t="shared" si="259"/>
        <v>0</v>
      </c>
      <c r="AL197" s="100">
        <f t="shared" si="169"/>
        <v>0</v>
      </c>
      <c r="AM197" s="100">
        <f t="shared" si="260"/>
        <v>0</v>
      </c>
      <c r="AN197" s="100">
        <f t="shared" si="261"/>
        <v>10</v>
      </c>
      <c r="AO197" s="100">
        <f t="shared" si="262"/>
        <v>0</v>
      </c>
      <c r="AP197" s="100">
        <f t="shared" si="263"/>
        <v>0</v>
      </c>
      <c r="AQ197" s="100">
        <f t="shared" si="264"/>
        <v>0</v>
      </c>
      <c r="AR197" s="100">
        <f t="shared" si="265"/>
        <v>0</v>
      </c>
      <c r="AS197" s="100">
        <f t="shared" si="266"/>
        <v>0</v>
      </c>
      <c r="AT197" s="100">
        <f t="shared" si="177"/>
        <v>0</v>
      </c>
      <c r="AU197" s="100">
        <f t="shared" si="178"/>
        <v>0</v>
      </c>
      <c r="AV197" s="100">
        <f t="shared" si="179"/>
        <v>0</v>
      </c>
      <c r="AW197" s="100">
        <f t="shared" si="180"/>
        <v>0</v>
      </c>
      <c r="AX197">
        <f t="shared" si="181"/>
        <v>10</v>
      </c>
      <c r="AY197" s="98">
        <f t="shared" si="182"/>
        <v>0</v>
      </c>
      <c r="AZ197" s="98">
        <f t="shared" si="183"/>
        <v>0</v>
      </c>
      <c r="BA197" s="98">
        <f t="shared" si="267"/>
        <v>0</v>
      </c>
      <c r="BB197" s="98">
        <f t="shared" si="184"/>
        <v>0</v>
      </c>
      <c r="BC197" s="98">
        <f t="shared" si="268"/>
        <v>0</v>
      </c>
      <c r="BD197" s="98">
        <f t="shared" si="269"/>
        <v>0</v>
      </c>
      <c r="BE197" s="98">
        <f t="shared" si="270"/>
        <v>0</v>
      </c>
      <c r="BF197" s="98">
        <f t="shared" si="185"/>
        <v>0</v>
      </c>
      <c r="BG197" s="98">
        <f t="shared" si="186"/>
        <v>0</v>
      </c>
      <c r="BH197" s="98">
        <f t="shared" si="271"/>
        <v>0</v>
      </c>
      <c r="BI197" s="98">
        <f t="shared" si="272"/>
        <v>317.30769230769232</v>
      </c>
      <c r="BJ197" s="98">
        <f t="shared" si="273"/>
        <v>0</v>
      </c>
      <c r="BK197" s="98">
        <f t="shared" si="274"/>
        <v>0</v>
      </c>
      <c r="BL197" s="98">
        <f t="shared" si="187"/>
        <v>0</v>
      </c>
      <c r="BM197" s="98">
        <f t="shared" si="275"/>
        <v>0</v>
      </c>
      <c r="BN197" s="98">
        <f t="shared" si="276"/>
        <v>0</v>
      </c>
      <c r="BO197" s="98">
        <f t="shared" si="188"/>
        <v>0</v>
      </c>
      <c r="BP197" s="98">
        <f t="shared" si="277"/>
        <v>0</v>
      </c>
      <c r="BQ197" s="98">
        <f t="shared" si="189"/>
        <v>0</v>
      </c>
      <c r="BR197" s="98">
        <f t="shared" si="278"/>
        <v>0</v>
      </c>
    </row>
    <row r="198" spans="1:70" x14ac:dyDescent="0.25">
      <c r="A198" t="s">
        <v>75</v>
      </c>
      <c r="B198" t="s">
        <v>8</v>
      </c>
      <c r="C198">
        <v>2024</v>
      </c>
      <c r="D198" s="98">
        <f>INDEX('Reference Sheet'!$G$9:$J$100, MATCH(A198,'Reference Sheet'!$F$9:$F$100,0), MATCH(C198,'Reference Sheet'!$G$8:$J$8,0))/2080</f>
        <v>31.73076923076923</v>
      </c>
      <c r="E198" s="99">
        <v>0</v>
      </c>
      <c r="F198" s="98">
        <f t="shared" si="159"/>
        <v>31.73076923076923</v>
      </c>
      <c r="G198" s="98"/>
      <c r="H198" s="98"/>
      <c r="I198" s="32"/>
      <c r="J198" s="32"/>
      <c r="K198" s="32"/>
      <c r="L198" s="32"/>
      <c r="M198" s="32"/>
      <c r="N198" s="32"/>
      <c r="O198" s="32"/>
      <c r="P198" s="32"/>
      <c r="Q198" s="32">
        <v>10</v>
      </c>
      <c r="R198" s="32"/>
      <c r="S198" s="32"/>
      <c r="T198" s="32"/>
      <c r="U198" s="32"/>
      <c r="V198" s="32"/>
      <c r="W198" s="32"/>
      <c r="X198" s="32"/>
      <c r="Y198" s="32"/>
      <c r="Z198" s="32"/>
      <c r="AA198" s="98">
        <f t="shared" si="158"/>
        <v>10</v>
      </c>
      <c r="AB198" s="98">
        <f t="shared" si="296"/>
        <v>10</v>
      </c>
      <c r="AC198" s="98">
        <f t="shared" si="160"/>
        <v>0</v>
      </c>
      <c r="AD198" s="100">
        <f t="shared" si="252"/>
        <v>0</v>
      </c>
      <c r="AE198" s="100">
        <f t="shared" si="253"/>
        <v>0</v>
      </c>
      <c r="AF198" s="100">
        <f t="shared" si="254"/>
        <v>0</v>
      </c>
      <c r="AG198" s="100">
        <f t="shared" si="255"/>
        <v>0</v>
      </c>
      <c r="AH198" s="100">
        <f t="shared" si="256"/>
        <v>0</v>
      </c>
      <c r="AI198" s="100">
        <f t="shared" si="257"/>
        <v>0</v>
      </c>
      <c r="AJ198" s="100">
        <f t="shared" si="258"/>
        <v>0</v>
      </c>
      <c r="AK198" s="100">
        <f t="shared" si="259"/>
        <v>0</v>
      </c>
      <c r="AL198" s="100">
        <f t="shared" si="169"/>
        <v>0</v>
      </c>
      <c r="AM198" s="100">
        <f t="shared" si="260"/>
        <v>0</v>
      </c>
      <c r="AN198" s="100">
        <f t="shared" si="261"/>
        <v>10</v>
      </c>
      <c r="AO198" s="100">
        <f t="shared" si="262"/>
        <v>0</v>
      </c>
      <c r="AP198" s="100">
        <f t="shared" si="263"/>
        <v>0</v>
      </c>
      <c r="AQ198" s="100">
        <f t="shared" si="264"/>
        <v>0</v>
      </c>
      <c r="AR198" s="100">
        <f t="shared" si="265"/>
        <v>0</v>
      </c>
      <c r="AS198" s="100">
        <f t="shared" si="266"/>
        <v>0</v>
      </c>
      <c r="AT198" s="100">
        <f t="shared" si="177"/>
        <v>0</v>
      </c>
      <c r="AU198" s="100">
        <f t="shared" si="178"/>
        <v>0</v>
      </c>
      <c r="AV198" s="100">
        <f t="shared" si="179"/>
        <v>0</v>
      </c>
      <c r="AW198" s="100">
        <f t="shared" si="180"/>
        <v>0</v>
      </c>
      <c r="AX198">
        <f t="shared" si="181"/>
        <v>10</v>
      </c>
      <c r="AY198" s="98">
        <f t="shared" si="182"/>
        <v>0</v>
      </c>
      <c r="AZ198" s="98">
        <f t="shared" si="183"/>
        <v>0</v>
      </c>
      <c r="BA198" s="98">
        <f t="shared" si="267"/>
        <v>0</v>
      </c>
      <c r="BB198" s="98">
        <f t="shared" si="184"/>
        <v>0</v>
      </c>
      <c r="BC198" s="98">
        <f t="shared" si="268"/>
        <v>0</v>
      </c>
      <c r="BD198" s="98">
        <f t="shared" si="269"/>
        <v>0</v>
      </c>
      <c r="BE198" s="98">
        <f t="shared" si="270"/>
        <v>0</v>
      </c>
      <c r="BF198" s="98">
        <f t="shared" si="185"/>
        <v>0</v>
      </c>
      <c r="BG198" s="98">
        <f t="shared" si="186"/>
        <v>0</v>
      </c>
      <c r="BH198" s="98">
        <f t="shared" si="271"/>
        <v>0</v>
      </c>
      <c r="BI198" s="98">
        <f t="shared" si="272"/>
        <v>317.30769230769232</v>
      </c>
      <c r="BJ198" s="98">
        <f t="shared" si="273"/>
        <v>0</v>
      </c>
      <c r="BK198" s="98">
        <f t="shared" si="274"/>
        <v>0</v>
      </c>
      <c r="BL198" s="98">
        <f t="shared" si="187"/>
        <v>0</v>
      </c>
      <c r="BM198" s="98">
        <f t="shared" si="275"/>
        <v>0</v>
      </c>
      <c r="BN198" s="98">
        <f t="shared" si="276"/>
        <v>0</v>
      </c>
      <c r="BO198" s="98">
        <f t="shared" si="188"/>
        <v>0</v>
      </c>
      <c r="BP198" s="98">
        <f t="shared" si="277"/>
        <v>0</v>
      </c>
      <c r="BQ198" s="98">
        <f t="shared" si="189"/>
        <v>0</v>
      </c>
      <c r="BR198" s="98">
        <f t="shared" si="278"/>
        <v>0</v>
      </c>
    </row>
    <row r="199" spans="1:70" x14ac:dyDescent="0.25">
      <c r="A199" t="s">
        <v>75</v>
      </c>
      <c r="B199" t="s">
        <v>9</v>
      </c>
      <c r="C199">
        <v>2024</v>
      </c>
      <c r="D199" s="98">
        <f>INDEX('Reference Sheet'!$G$9:$J$100, MATCH(A199,'Reference Sheet'!$F$9:$F$100,0), MATCH(C199,'Reference Sheet'!$G$8:$J$8,0))/2080</f>
        <v>31.73076923076923</v>
      </c>
      <c r="E199" s="99">
        <v>0</v>
      </c>
      <c r="F199" s="98">
        <f t="shared" si="159"/>
        <v>31.73076923076923</v>
      </c>
      <c r="G199" s="98"/>
      <c r="H199" s="98"/>
      <c r="I199" s="32"/>
      <c r="J199" s="32"/>
      <c r="K199" s="32"/>
      <c r="L199" s="32"/>
      <c r="M199" s="32"/>
      <c r="N199" s="32"/>
      <c r="O199" s="32"/>
      <c r="P199" s="32"/>
      <c r="Q199" s="32">
        <v>10</v>
      </c>
      <c r="R199" s="32"/>
      <c r="S199" s="32"/>
      <c r="T199" s="32"/>
      <c r="U199" s="32"/>
      <c r="V199" s="32"/>
      <c r="W199" s="32"/>
      <c r="X199" s="32"/>
      <c r="Y199" s="32"/>
      <c r="Z199" s="32"/>
      <c r="AA199" s="98">
        <f t="shared" ref="AA199:AA262" si="297">SUM(G199:Z199)</f>
        <v>10</v>
      </c>
      <c r="AB199" s="98">
        <f t="shared" si="296"/>
        <v>10</v>
      </c>
      <c r="AC199" s="98">
        <f t="shared" si="160"/>
        <v>0</v>
      </c>
      <c r="AD199" s="100">
        <f t="shared" si="252"/>
        <v>0</v>
      </c>
      <c r="AE199" s="100">
        <f t="shared" si="253"/>
        <v>0</v>
      </c>
      <c r="AF199" s="100">
        <f t="shared" si="254"/>
        <v>0</v>
      </c>
      <c r="AG199" s="100">
        <f t="shared" si="255"/>
        <v>0</v>
      </c>
      <c r="AH199" s="100">
        <f t="shared" si="256"/>
        <v>0</v>
      </c>
      <c r="AI199" s="100">
        <f t="shared" si="257"/>
        <v>0</v>
      </c>
      <c r="AJ199" s="100">
        <f t="shared" si="258"/>
        <v>0</v>
      </c>
      <c r="AK199" s="100">
        <f t="shared" si="259"/>
        <v>0</v>
      </c>
      <c r="AL199" s="100">
        <f t="shared" si="169"/>
        <v>0</v>
      </c>
      <c r="AM199" s="100">
        <f t="shared" si="260"/>
        <v>0</v>
      </c>
      <c r="AN199" s="100">
        <f t="shared" si="261"/>
        <v>10</v>
      </c>
      <c r="AO199" s="100">
        <f t="shared" si="262"/>
        <v>0</v>
      </c>
      <c r="AP199" s="100">
        <f t="shared" si="263"/>
        <v>0</v>
      </c>
      <c r="AQ199" s="100">
        <f t="shared" si="264"/>
        <v>0</v>
      </c>
      <c r="AR199" s="100">
        <f t="shared" si="265"/>
        <v>0</v>
      </c>
      <c r="AS199" s="100">
        <f t="shared" si="266"/>
        <v>0</v>
      </c>
      <c r="AT199" s="100">
        <f t="shared" si="177"/>
        <v>0</v>
      </c>
      <c r="AU199" s="100">
        <f t="shared" si="178"/>
        <v>0</v>
      </c>
      <c r="AV199" s="100">
        <f t="shared" si="179"/>
        <v>0</v>
      </c>
      <c r="AW199" s="100">
        <f t="shared" si="180"/>
        <v>0</v>
      </c>
      <c r="AX199">
        <f t="shared" si="181"/>
        <v>10</v>
      </c>
      <c r="AY199" s="98">
        <f t="shared" si="182"/>
        <v>0</v>
      </c>
      <c r="AZ199" s="98">
        <f t="shared" si="183"/>
        <v>0</v>
      </c>
      <c r="BA199" s="98">
        <f t="shared" si="267"/>
        <v>0</v>
      </c>
      <c r="BB199" s="98">
        <f t="shared" si="184"/>
        <v>0</v>
      </c>
      <c r="BC199" s="98">
        <f t="shared" si="268"/>
        <v>0</v>
      </c>
      <c r="BD199" s="98">
        <f t="shared" si="269"/>
        <v>0</v>
      </c>
      <c r="BE199" s="98">
        <f t="shared" si="270"/>
        <v>0</v>
      </c>
      <c r="BF199" s="98">
        <f t="shared" si="185"/>
        <v>0</v>
      </c>
      <c r="BG199" s="98">
        <f t="shared" si="186"/>
        <v>0</v>
      </c>
      <c r="BH199" s="98">
        <f t="shared" si="271"/>
        <v>0</v>
      </c>
      <c r="BI199" s="98">
        <f t="shared" si="272"/>
        <v>317.30769230769232</v>
      </c>
      <c r="BJ199" s="98">
        <f t="shared" si="273"/>
        <v>0</v>
      </c>
      <c r="BK199" s="98">
        <f t="shared" si="274"/>
        <v>0</v>
      </c>
      <c r="BL199" s="98">
        <f t="shared" si="187"/>
        <v>0</v>
      </c>
      <c r="BM199" s="98">
        <f t="shared" si="275"/>
        <v>0</v>
      </c>
      <c r="BN199" s="98">
        <f t="shared" si="276"/>
        <v>0</v>
      </c>
      <c r="BO199" s="98">
        <f t="shared" si="188"/>
        <v>0</v>
      </c>
      <c r="BP199" s="98">
        <f t="shared" si="277"/>
        <v>0</v>
      </c>
      <c r="BQ199" s="98">
        <f t="shared" si="189"/>
        <v>0</v>
      </c>
      <c r="BR199" s="98">
        <f t="shared" si="278"/>
        <v>0</v>
      </c>
    </row>
    <row r="200" spans="1:70" x14ac:dyDescent="0.25">
      <c r="A200" t="s">
        <v>75</v>
      </c>
      <c r="B200" t="s">
        <v>10</v>
      </c>
      <c r="C200">
        <v>2024</v>
      </c>
      <c r="D200" s="98">
        <f>INDEX('Reference Sheet'!$G$9:$J$100, MATCH(A200,'Reference Sheet'!$F$9:$F$100,0), MATCH(C200,'Reference Sheet'!$G$8:$J$8,0))/2080</f>
        <v>31.73076923076923</v>
      </c>
      <c r="E200" s="99">
        <v>0</v>
      </c>
      <c r="F200" s="98">
        <f t="shared" si="159"/>
        <v>31.73076923076923</v>
      </c>
      <c r="G200" s="98"/>
      <c r="H200" s="98"/>
      <c r="I200" s="32"/>
      <c r="J200" s="32"/>
      <c r="K200" s="32"/>
      <c r="L200" s="32"/>
      <c r="M200" s="32"/>
      <c r="N200" s="32"/>
      <c r="O200" s="32"/>
      <c r="P200" s="32"/>
      <c r="Q200" s="32">
        <v>10</v>
      </c>
      <c r="R200" s="32"/>
      <c r="S200" s="32"/>
      <c r="T200" s="32"/>
      <c r="U200" s="32"/>
      <c r="V200" s="32"/>
      <c r="W200" s="32"/>
      <c r="X200" s="32"/>
      <c r="Y200" s="32"/>
      <c r="Z200" s="32"/>
      <c r="AA200" s="98">
        <f t="shared" si="297"/>
        <v>10</v>
      </c>
      <c r="AB200" s="98">
        <f t="shared" si="296"/>
        <v>10</v>
      </c>
      <c r="AC200" s="98">
        <f t="shared" si="160"/>
        <v>0</v>
      </c>
      <c r="AD200" s="100">
        <f t="shared" si="252"/>
        <v>0</v>
      </c>
      <c r="AE200" s="100">
        <f t="shared" si="253"/>
        <v>0</v>
      </c>
      <c r="AF200" s="100">
        <f t="shared" si="254"/>
        <v>0</v>
      </c>
      <c r="AG200" s="100">
        <f t="shared" si="255"/>
        <v>0</v>
      </c>
      <c r="AH200" s="100">
        <f t="shared" si="256"/>
        <v>0</v>
      </c>
      <c r="AI200" s="100">
        <f t="shared" si="257"/>
        <v>0</v>
      </c>
      <c r="AJ200" s="100">
        <f t="shared" si="258"/>
        <v>0</v>
      </c>
      <c r="AK200" s="100">
        <f t="shared" si="259"/>
        <v>0</v>
      </c>
      <c r="AL200" s="100">
        <f t="shared" ref="AL200:AL263" si="298">(O200/$AA200)*$AB200</f>
        <v>0</v>
      </c>
      <c r="AM200" s="100">
        <f t="shared" si="260"/>
        <v>0</v>
      </c>
      <c r="AN200" s="100">
        <f t="shared" si="261"/>
        <v>10</v>
      </c>
      <c r="AO200" s="100">
        <f t="shared" si="262"/>
        <v>0</v>
      </c>
      <c r="AP200" s="100">
        <f t="shared" si="263"/>
        <v>0</v>
      </c>
      <c r="AQ200" s="100">
        <f t="shared" si="264"/>
        <v>0</v>
      </c>
      <c r="AR200" s="100">
        <f t="shared" si="265"/>
        <v>0</v>
      </c>
      <c r="AS200" s="100">
        <f t="shared" si="266"/>
        <v>0</v>
      </c>
      <c r="AT200" s="100">
        <f t="shared" ref="AT200:AT263" si="299">(W200/$AA200)*$AB200</f>
        <v>0</v>
      </c>
      <c r="AU200" s="100">
        <f t="shared" si="178"/>
        <v>0</v>
      </c>
      <c r="AV200" s="100">
        <f t="shared" ref="AV200:AV263" si="300">(Y200/$AA200)*$AB200</f>
        <v>0</v>
      </c>
      <c r="AW200" s="100">
        <f t="shared" si="180"/>
        <v>0</v>
      </c>
      <c r="AX200">
        <f t="shared" si="181"/>
        <v>10</v>
      </c>
      <c r="AY200" s="98">
        <f t="shared" ref="AY200:AY263" si="301">$F200*AD200</f>
        <v>0</v>
      </c>
      <c r="AZ200" s="98">
        <f t="shared" ref="AZ200:AZ263" si="302">$F200*AE200</f>
        <v>0</v>
      </c>
      <c r="BA200" s="98">
        <f t="shared" si="267"/>
        <v>0</v>
      </c>
      <c r="BB200" s="98">
        <f t="shared" ref="BB200:BB263" si="303">$F200*AG200</f>
        <v>0</v>
      </c>
      <c r="BC200" s="98">
        <f t="shared" si="268"/>
        <v>0</v>
      </c>
      <c r="BD200" s="98">
        <f t="shared" si="269"/>
        <v>0</v>
      </c>
      <c r="BE200" s="98">
        <f t="shared" si="270"/>
        <v>0</v>
      </c>
      <c r="BF200" s="98">
        <f t="shared" ref="BF200:BF263" si="304">$F200*AK200</f>
        <v>0</v>
      </c>
      <c r="BG200" s="98">
        <f t="shared" ref="BG200:BG263" si="305">$F200*AL200</f>
        <v>0</v>
      </c>
      <c r="BH200" s="98">
        <f t="shared" si="271"/>
        <v>0</v>
      </c>
      <c r="BI200" s="98">
        <f t="shared" si="272"/>
        <v>317.30769230769232</v>
      </c>
      <c r="BJ200" s="98">
        <f t="shared" si="273"/>
        <v>0</v>
      </c>
      <c r="BK200" s="98">
        <f t="shared" si="274"/>
        <v>0</v>
      </c>
      <c r="BL200" s="98">
        <f t="shared" ref="BL200:BL263" si="306">$F200*AQ200</f>
        <v>0</v>
      </c>
      <c r="BM200" s="98">
        <f t="shared" si="275"/>
        <v>0</v>
      </c>
      <c r="BN200" s="98">
        <f t="shared" si="276"/>
        <v>0</v>
      </c>
      <c r="BO200" s="98">
        <f t="shared" ref="BO200:BO263" si="307">$F200*AT200</f>
        <v>0</v>
      </c>
      <c r="BP200" s="98">
        <f t="shared" si="277"/>
        <v>0</v>
      </c>
      <c r="BQ200" s="98">
        <f t="shared" ref="BQ200:BQ263" si="308">$F200*AV200</f>
        <v>0</v>
      </c>
      <c r="BR200" s="98">
        <f t="shared" si="278"/>
        <v>0</v>
      </c>
    </row>
    <row r="201" spans="1:70" x14ac:dyDescent="0.25">
      <c r="A201" t="s">
        <v>75</v>
      </c>
      <c r="B201" t="s">
        <v>11</v>
      </c>
      <c r="C201">
        <v>2024</v>
      </c>
      <c r="D201" s="98">
        <f>INDEX('Reference Sheet'!$G$9:$J$100, MATCH(A201,'Reference Sheet'!$F$9:$F$100,0), MATCH(C201,'Reference Sheet'!$G$8:$J$8,0))/2080</f>
        <v>31.73076923076923</v>
      </c>
      <c r="E201" s="99">
        <v>0</v>
      </c>
      <c r="F201" s="98">
        <f t="shared" si="159"/>
        <v>31.73076923076923</v>
      </c>
      <c r="G201" s="98"/>
      <c r="H201" s="98"/>
      <c r="I201" s="32"/>
      <c r="J201" s="32"/>
      <c r="K201" s="32"/>
      <c r="L201" s="32"/>
      <c r="M201" s="32"/>
      <c r="N201" s="32"/>
      <c r="O201" s="32"/>
      <c r="P201" s="32"/>
      <c r="Q201" s="32">
        <v>10</v>
      </c>
      <c r="R201" s="32"/>
      <c r="S201" s="32"/>
      <c r="T201" s="32"/>
      <c r="U201" s="32"/>
      <c r="V201" s="32"/>
      <c r="W201" s="32"/>
      <c r="X201" s="32"/>
      <c r="Y201" s="32"/>
      <c r="Z201" s="32"/>
      <c r="AA201" s="98">
        <f t="shared" si="297"/>
        <v>10</v>
      </c>
      <c r="AB201" s="98">
        <f t="shared" si="296"/>
        <v>10</v>
      </c>
      <c r="AC201" s="98">
        <f t="shared" si="160"/>
        <v>0</v>
      </c>
      <c r="AD201" s="100">
        <f t="shared" si="252"/>
        <v>0</v>
      </c>
      <c r="AE201" s="100">
        <f t="shared" si="253"/>
        <v>0</v>
      </c>
      <c r="AF201" s="100">
        <f t="shared" si="254"/>
        <v>0</v>
      </c>
      <c r="AG201" s="100">
        <f t="shared" si="255"/>
        <v>0</v>
      </c>
      <c r="AH201" s="100">
        <f t="shared" si="256"/>
        <v>0</v>
      </c>
      <c r="AI201" s="100">
        <f t="shared" si="257"/>
        <v>0</v>
      </c>
      <c r="AJ201" s="100">
        <f t="shared" si="258"/>
        <v>0</v>
      </c>
      <c r="AK201" s="100">
        <f t="shared" si="259"/>
        <v>0</v>
      </c>
      <c r="AL201" s="100">
        <f t="shared" si="298"/>
        <v>0</v>
      </c>
      <c r="AM201" s="100">
        <f t="shared" si="260"/>
        <v>0</v>
      </c>
      <c r="AN201" s="100">
        <f t="shared" si="261"/>
        <v>10</v>
      </c>
      <c r="AO201" s="100">
        <f t="shared" si="262"/>
        <v>0</v>
      </c>
      <c r="AP201" s="100">
        <f t="shared" si="263"/>
        <v>0</v>
      </c>
      <c r="AQ201" s="100">
        <f t="shared" si="264"/>
        <v>0</v>
      </c>
      <c r="AR201" s="100">
        <f t="shared" si="265"/>
        <v>0</v>
      </c>
      <c r="AS201" s="100">
        <f t="shared" si="266"/>
        <v>0</v>
      </c>
      <c r="AT201" s="100">
        <f t="shared" si="299"/>
        <v>0</v>
      </c>
      <c r="AU201" s="100">
        <f t="shared" si="178"/>
        <v>0</v>
      </c>
      <c r="AV201" s="100">
        <f t="shared" si="300"/>
        <v>0</v>
      </c>
      <c r="AW201" s="100">
        <f t="shared" si="180"/>
        <v>0</v>
      </c>
      <c r="AX201">
        <f t="shared" si="181"/>
        <v>10</v>
      </c>
      <c r="AY201" s="98">
        <f t="shared" si="301"/>
        <v>0</v>
      </c>
      <c r="AZ201" s="98">
        <f t="shared" si="302"/>
        <v>0</v>
      </c>
      <c r="BA201" s="98">
        <f t="shared" si="267"/>
        <v>0</v>
      </c>
      <c r="BB201" s="98">
        <f t="shared" si="303"/>
        <v>0</v>
      </c>
      <c r="BC201" s="98">
        <f t="shared" si="268"/>
        <v>0</v>
      </c>
      <c r="BD201" s="98">
        <f t="shared" si="269"/>
        <v>0</v>
      </c>
      <c r="BE201" s="98">
        <f t="shared" si="270"/>
        <v>0</v>
      </c>
      <c r="BF201" s="98">
        <f t="shared" si="304"/>
        <v>0</v>
      </c>
      <c r="BG201" s="98">
        <f t="shared" si="305"/>
        <v>0</v>
      </c>
      <c r="BH201" s="98">
        <f t="shared" si="271"/>
        <v>0</v>
      </c>
      <c r="BI201" s="98">
        <f t="shared" si="272"/>
        <v>317.30769230769232</v>
      </c>
      <c r="BJ201" s="98">
        <f t="shared" si="273"/>
        <v>0</v>
      </c>
      <c r="BK201" s="98">
        <f t="shared" si="274"/>
        <v>0</v>
      </c>
      <c r="BL201" s="98">
        <f t="shared" si="306"/>
        <v>0</v>
      </c>
      <c r="BM201" s="98">
        <f t="shared" si="275"/>
        <v>0</v>
      </c>
      <c r="BN201" s="98">
        <f t="shared" si="276"/>
        <v>0</v>
      </c>
      <c r="BO201" s="98">
        <f t="shared" si="307"/>
        <v>0</v>
      </c>
      <c r="BP201" s="98">
        <f t="shared" si="277"/>
        <v>0</v>
      </c>
      <c r="BQ201" s="98">
        <f t="shared" si="308"/>
        <v>0</v>
      </c>
      <c r="BR201" s="98">
        <f t="shared" si="278"/>
        <v>0</v>
      </c>
    </row>
    <row r="202" spans="1:70" x14ac:dyDescent="0.25">
      <c r="A202" t="s">
        <v>75</v>
      </c>
      <c r="B202" t="s">
        <v>12</v>
      </c>
      <c r="C202">
        <v>2024</v>
      </c>
      <c r="D202" s="98">
        <f>INDEX('Reference Sheet'!$G$9:$J$100, MATCH(A202,'Reference Sheet'!$F$9:$F$100,0), MATCH(C202,'Reference Sheet'!$G$8:$J$8,0))/2080</f>
        <v>31.73076923076923</v>
      </c>
      <c r="E202" s="99">
        <v>0</v>
      </c>
      <c r="F202" s="98">
        <f t="shared" si="159"/>
        <v>31.73076923076923</v>
      </c>
      <c r="G202" s="98"/>
      <c r="H202" s="98"/>
      <c r="I202" s="32"/>
      <c r="J202" s="32"/>
      <c r="K202" s="32"/>
      <c r="L202" s="32"/>
      <c r="M202" s="32"/>
      <c r="N202" s="32"/>
      <c r="O202" s="32"/>
      <c r="P202" s="32"/>
      <c r="Q202" s="32">
        <v>10</v>
      </c>
      <c r="R202" s="32"/>
      <c r="S202" s="32"/>
      <c r="T202" s="32"/>
      <c r="U202" s="32"/>
      <c r="V202" s="32"/>
      <c r="W202" s="32"/>
      <c r="X202" s="32"/>
      <c r="Y202" s="32"/>
      <c r="Z202" s="32"/>
      <c r="AA202" s="98">
        <f t="shared" si="297"/>
        <v>10</v>
      </c>
      <c r="AB202" s="98">
        <f t="shared" si="296"/>
        <v>10</v>
      </c>
      <c r="AC202" s="98">
        <f t="shared" si="160"/>
        <v>0</v>
      </c>
      <c r="AD202" s="100">
        <f t="shared" si="252"/>
        <v>0</v>
      </c>
      <c r="AE202" s="100">
        <f t="shared" si="253"/>
        <v>0</v>
      </c>
      <c r="AF202" s="100">
        <f t="shared" si="254"/>
        <v>0</v>
      </c>
      <c r="AG202" s="100">
        <f t="shared" si="255"/>
        <v>0</v>
      </c>
      <c r="AH202" s="100">
        <f t="shared" si="256"/>
        <v>0</v>
      </c>
      <c r="AI202" s="100">
        <f t="shared" si="257"/>
        <v>0</v>
      </c>
      <c r="AJ202" s="100">
        <f t="shared" si="258"/>
        <v>0</v>
      </c>
      <c r="AK202" s="100">
        <f t="shared" si="259"/>
        <v>0</v>
      </c>
      <c r="AL202" s="100">
        <f t="shared" si="298"/>
        <v>0</v>
      </c>
      <c r="AM202" s="100">
        <f t="shared" si="260"/>
        <v>0</v>
      </c>
      <c r="AN202" s="100">
        <f t="shared" si="261"/>
        <v>10</v>
      </c>
      <c r="AO202" s="100">
        <f t="shared" si="262"/>
        <v>0</v>
      </c>
      <c r="AP202" s="100">
        <f t="shared" si="263"/>
        <v>0</v>
      </c>
      <c r="AQ202" s="100">
        <f t="shared" si="264"/>
        <v>0</v>
      </c>
      <c r="AR202" s="100">
        <f t="shared" si="265"/>
        <v>0</v>
      </c>
      <c r="AS202" s="100">
        <f t="shared" si="266"/>
        <v>0</v>
      </c>
      <c r="AT202" s="100">
        <f t="shared" si="299"/>
        <v>0</v>
      </c>
      <c r="AU202" s="100">
        <f t="shared" si="178"/>
        <v>0</v>
      </c>
      <c r="AV202" s="100">
        <f t="shared" si="300"/>
        <v>0</v>
      </c>
      <c r="AW202" s="100">
        <f t="shared" si="180"/>
        <v>0</v>
      </c>
      <c r="AX202">
        <f t="shared" si="181"/>
        <v>10</v>
      </c>
      <c r="AY202" s="98">
        <f t="shared" si="301"/>
        <v>0</v>
      </c>
      <c r="AZ202" s="98">
        <f t="shared" si="302"/>
        <v>0</v>
      </c>
      <c r="BA202" s="98">
        <f t="shared" si="267"/>
        <v>0</v>
      </c>
      <c r="BB202" s="98">
        <f t="shared" si="303"/>
        <v>0</v>
      </c>
      <c r="BC202" s="98">
        <f t="shared" si="268"/>
        <v>0</v>
      </c>
      <c r="BD202" s="98">
        <f t="shared" si="269"/>
        <v>0</v>
      </c>
      <c r="BE202" s="98">
        <f t="shared" si="270"/>
        <v>0</v>
      </c>
      <c r="BF202" s="98">
        <f t="shared" si="304"/>
        <v>0</v>
      </c>
      <c r="BG202" s="98">
        <f t="shared" si="305"/>
        <v>0</v>
      </c>
      <c r="BH202" s="98">
        <f t="shared" si="271"/>
        <v>0</v>
      </c>
      <c r="BI202" s="98">
        <f t="shared" si="272"/>
        <v>317.30769230769232</v>
      </c>
      <c r="BJ202" s="98">
        <f t="shared" si="273"/>
        <v>0</v>
      </c>
      <c r="BK202" s="98">
        <f t="shared" si="274"/>
        <v>0</v>
      </c>
      <c r="BL202" s="98">
        <f t="shared" si="306"/>
        <v>0</v>
      </c>
      <c r="BM202" s="98">
        <f t="shared" si="275"/>
        <v>0</v>
      </c>
      <c r="BN202" s="98">
        <f t="shared" si="276"/>
        <v>0</v>
      </c>
      <c r="BO202" s="98">
        <f t="shared" si="307"/>
        <v>0</v>
      </c>
      <c r="BP202" s="98">
        <f t="shared" si="277"/>
        <v>0</v>
      </c>
      <c r="BQ202" s="98">
        <f t="shared" si="308"/>
        <v>0</v>
      </c>
      <c r="BR202" s="98">
        <f t="shared" si="278"/>
        <v>0</v>
      </c>
    </row>
    <row r="203" spans="1:70" x14ac:dyDescent="0.25">
      <c r="A203" t="s">
        <v>75</v>
      </c>
      <c r="B203" t="s">
        <v>13</v>
      </c>
      <c r="C203">
        <v>2024</v>
      </c>
      <c r="D203" s="98">
        <f>INDEX('Reference Sheet'!$G$9:$J$100, MATCH(A203,'Reference Sheet'!$F$9:$F$100,0), MATCH(C203,'Reference Sheet'!$G$8:$J$8,0))/2080</f>
        <v>31.73076923076923</v>
      </c>
      <c r="E203" s="99">
        <v>0</v>
      </c>
      <c r="F203" s="98">
        <f t="shared" si="159"/>
        <v>31.73076923076923</v>
      </c>
      <c r="G203" s="98"/>
      <c r="H203" s="98"/>
      <c r="I203" s="32"/>
      <c r="J203" s="32"/>
      <c r="K203" s="32"/>
      <c r="L203" s="32"/>
      <c r="M203" s="32"/>
      <c r="N203" s="32"/>
      <c r="O203" s="32"/>
      <c r="P203" s="32"/>
      <c r="Q203" s="32">
        <v>10</v>
      </c>
      <c r="R203" s="32"/>
      <c r="S203" s="32"/>
      <c r="T203" s="32"/>
      <c r="U203" s="32"/>
      <c r="V203" s="32"/>
      <c r="W203" s="32"/>
      <c r="X203" s="32"/>
      <c r="Y203" s="32"/>
      <c r="Z203" s="32"/>
      <c r="AA203" s="98">
        <f t="shared" si="297"/>
        <v>10</v>
      </c>
      <c r="AB203" s="98">
        <f t="shared" si="296"/>
        <v>10</v>
      </c>
      <c r="AC203" s="98">
        <f t="shared" si="160"/>
        <v>0</v>
      </c>
      <c r="AD203" s="100">
        <f t="shared" si="252"/>
        <v>0</v>
      </c>
      <c r="AE203" s="100">
        <f t="shared" si="253"/>
        <v>0</v>
      </c>
      <c r="AF203" s="100">
        <f t="shared" si="254"/>
        <v>0</v>
      </c>
      <c r="AG203" s="100">
        <f t="shared" si="255"/>
        <v>0</v>
      </c>
      <c r="AH203" s="100">
        <f t="shared" si="256"/>
        <v>0</v>
      </c>
      <c r="AI203" s="100">
        <f t="shared" si="257"/>
        <v>0</v>
      </c>
      <c r="AJ203" s="100">
        <f t="shared" si="258"/>
        <v>0</v>
      </c>
      <c r="AK203" s="100">
        <f t="shared" si="259"/>
        <v>0</v>
      </c>
      <c r="AL203" s="100">
        <f t="shared" si="298"/>
        <v>0</v>
      </c>
      <c r="AM203" s="100">
        <f t="shared" si="260"/>
        <v>0</v>
      </c>
      <c r="AN203" s="100">
        <f t="shared" si="261"/>
        <v>10</v>
      </c>
      <c r="AO203" s="100">
        <f t="shared" si="262"/>
        <v>0</v>
      </c>
      <c r="AP203" s="100">
        <f t="shared" si="263"/>
        <v>0</v>
      </c>
      <c r="AQ203" s="100">
        <f t="shared" si="264"/>
        <v>0</v>
      </c>
      <c r="AR203" s="100">
        <f t="shared" si="265"/>
        <v>0</v>
      </c>
      <c r="AS203" s="100">
        <f t="shared" si="266"/>
        <v>0</v>
      </c>
      <c r="AT203" s="100">
        <f t="shared" si="299"/>
        <v>0</v>
      </c>
      <c r="AU203" s="100">
        <f t="shared" si="178"/>
        <v>0</v>
      </c>
      <c r="AV203" s="100">
        <f t="shared" si="300"/>
        <v>0</v>
      </c>
      <c r="AW203" s="100">
        <f t="shared" si="180"/>
        <v>0</v>
      </c>
      <c r="AX203">
        <f t="shared" si="181"/>
        <v>10</v>
      </c>
      <c r="AY203" s="98">
        <f t="shared" si="301"/>
        <v>0</v>
      </c>
      <c r="AZ203" s="98">
        <f t="shared" si="302"/>
        <v>0</v>
      </c>
      <c r="BA203" s="98">
        <f t="shared" si="267"/>
        <v>0</v>
      </c>
      <c r="BB203" s="98">
        <f t="shared" si="303"/>
        <v>0</v>
      </c>
      <c r="BC203" s="98">
        <f t="shared" si="268"/>
        <v>0</v>
      </c>
      <c r="BD203" s="98">
        <f t="shared" si="269"/>
        <v>0</v>
      </c>
      <c r="BE203" s="98">
        <f t="shared" si="270"/>
        <v>0</v>
      </c>
      <c r="BF203" s="98">
        <f t="shared" si="304"/>
        <v>0</v>
      </c>
      <c r="BG203" s="98">
        <f t="shared" si="305"/>
        <v>0</v>
      </c>
      <c r="BH203" s="98">
        <f t="shared" si="271"/>
        <v>0</v>
      </c>
      <c r="BI203" s="98">
        <f t="shared" si="272"/>
        <v>317.30769230769232</v>
      </c>
      <c r="BJ203" s="98">
        <f t="shared" si="273"/>
        <v>0</v>
      </c>
      <c r="BK203" s="98">
        <f t="shared" si="274"/>
        <v>0</v>
      </c>
      <c r="BL203" s="98">
        <f t="shared" si="306"/>
        <v>0</v>
      </c>
      <c r="BM203" s="98">
        <f t="shared" si="275"/>
        <v>0</v>
      </c>
      <c r="BN203" s="98">
        <f t="shared" si="276"/>
        <v>0</v>
      </c>
      <c r="BO203" s="98">
        <f t="shared" si="307"/>
        <v>0</v>
      </c>
      <c r="BP203" s="98">
        <f t="shared" si="277"/>
        <v>0</v>
      </c>
      <c r="BQ203" s="98">
        <f t="shared" si="308"/>
        <v>0</v>
      </c>
      <c r="BR203" s="98">
        <f t="shared" si="278"/>
        <v>0</v>
      </c>
    </row>
    <row r="204" spans="1:70" x14ac:dyDescent="0.25">
      <c r="A204" t="s">
        <v>75</v>
      </c>
      <c r="B204" t="s">
        <v>14</v>
      </c>
      <c r="C204">
        <v>2024</v>
      </c>
      <c r="D204" s="98">
        <f>INDEX('Reference Sheet'!$G$9:$J$100, MATCH(A204,'Reference Sheet'!$F$9:$F$100,0), MATCH(C204,'Reference Sheet'!$G$8:$J$8,0))/2080</f>
        <v>31.73076923076923</v>
      </c>
      <c r="E204" s="99">
        <v>0</v>
      </c>
      <c r="F204" s="98">
        <f t="shared" ref="F204:F257" si="309">D204*(1+E204)</f>
        <v>31.73076923076923</v>
      </c>
      <c r="G204" s="98"/>
      <c r="H204" s="98"/>
      <c r="I204" s="32"/>
      <c r="J204" s="32"/>
      <c r="K204" s="32"/>
      <c r="L204" s="32"/>
      <c r="M204" s="32"/>
      <c r="N204" s="32"/>
      <c r="O204" s="32"/>
      <c r="P204" s="32"/>
      <c r="Q204" s="32">
        <v>10</v>
      </c>
      <c r="R204" s="32"/>
      <c r="S204" s="32"/>
      <c r="T204" s="32"/>
      <c r="U204" s="32"/>
      <c r="V204" s="32"/>
      <c r="W204" s="32"/>
      <c r="X204" s="32"/>
      <c r="Y204" s="32"/>
      <c r="Z204" s="32"/>
      <c r="AA204" s="98">
        <f t="shared" si="297"/>
        <v>10</v>
      </c>
      <c r="AB204" s="98">
        <f t="shared" si="296"/>
        <v>10</v>
      </c>
      <c r="AC204" s="98">
        <f t="shared" ref="AC204:AC257" si="310">AB204-AA204</f>
        <v>0</v>
      </c>
      <c r="AD204" s="100">
        <f t="shared" si="252"/>
        <v>0</v>
      </c>
      <c r="AE204" s="100">
        <f t="shared" si="253"/>
        <v>0</v>
      </c>
      <c r="AF204" s="100">
        <f t="shared" si="254"/>
        <v>0</v>
      </c>
      <c r="AG204" s="100">
        <f t="shared" si="255"/>
        <v>0</v>
      </c>
      <c r="AH204" s="100">
        <f t="shared" si="256"/>
        <v>0</v>
      </c>
      <c r="AI204" s="100">
        <f t="shared" si="257"/>
        <v>0</v>
      </c>
      <c r="AJ204" s="100">
        <f t="shared" si="258"/>
        <v>0</v>
      </c>
      <c r="AK204" s="100">
        <f t="shared" si="259"/>
        <v>0</v>
      </c>
      <c r="AL204" s="100">
        <f t="shared" si="298"/>
        <v>0</v>
      </c>
      <c r="AM204" s="100">
        <f t="shared" si="260"/>
        <v>0</v>
      </c>
      <c r="AN204" s="100">
        <f t="shared" si="261"/>
        <v>10</v>
      </c>
      <c r="AO204" s="100">
        <f t="shared" si="262"/>
        <v>0</v>
      </c>
      <c r="AP204" s="100">
        <f t="shared" si="263"/>
        <v>0</v>
      </c>
      <c r="AQ204" s="100">
        <f t="shared" si="264"/>
        <v>0</v>
      </c>
      <c r="AR204" s="100">
        <f t="shared" si="265"/>
        <v>0</v>
      </c>
      <c r="AS204" s="100">
        <f t="shared" si="266"/>
        <v>0</v>
      </c>
      <c r="AT204" s="100">
        <f t="shared" si="299"/>
        <v>0</v>
      </c>
      <c r="AU204" s="100">
        <f t="shared" ref="AU204:AU257" si="311">(X204/$AA204)*$AB204</f>
        <v>0</v>
      </c>
      <c r="AV204" s="100">
        <f t="shared" si="300"/>
        <v>0</v>
      </c>
      <c r="AW204" s="100">
        <f t="shared" ref="AW204:AW257" si="312">(Z204/$AA204)*$AB204</f>
        <v>0</v>
      </c>
      <c r="AX204">
        <f t="shared" ref="AX204:AX257" si="313">SUM(AF204:AW204)</f>
        <v>10</v>
      </c>
      <c r="AY204" s="98">
        <f t="shared" si="301"/>
        <v>0</v>
      </c>
      <c r="AZ204" s="98">
        <f t="shared" si="302"/>
        <v>0</v>
      </c>
      <c r="BA204" s="98">
        <f t="shared" si="267"/>
        <v>0</v>
      </c>
      <c r="BB204" s="98">
        <f t="shared" si="303"/>
        <v>0</v>
      </c>
      <c r="BC204" s="98">
        <f t="shared" si="268"/>
        <v>0</v>
      </c>
      <c r="BD204" s="98">
        <f t="shared" si="269"/>
        <v>0</v>
      </c>
      <c r="BE204" s="98">
        <f t="shared" si="270"/>
        <v>0</v>
      </c>
      <c r="BF204" s="98">
        <f t="shared" si="304"/>
        <v>0</v>
      </c>
      <c r="BG204" s="98">
        <f t="shared" si="305"/>
        <v>0</v>
      </c>
      <c r="BH204" s="98">
        <f t="shared" si="271"/>
        <v>0</v>
      </c>
      <c r="BI204" s="98">
        <f t="shared" si="272"/>
        <v>317.30769230769232</v>
      </c>
      <c r="BJ204" s="98">
        <f t="shared" si="273"/>
        <v>0</v>
      </c>
      <c r="BK204" s="98">
        <f t="shared" si="274"/>
        <v>0</v>
      </c>
      <c r="BL204" s="98">
        <f t="shared" si="306"/>
        <v>0</v>
      </c>
      <c r="BM204" s="98">
        <f t="shared" si="275"/>
        <v>0</v>
      </c>
      <c r="BN204" s="98">
        <f t="shared" si="276"/>
        <v>0</v>
      </c>
      <c r="BO204" s="98">
        <f t="shared" si="307"/>
        <v>0</v>
      </c>
      <c r="BP204" s="98">
        <f t="shared" si="277"/>
        <v>0</v>
      </c>
      <c r="BQ204" s="98">
        <f t="shared" si="308"/>
        <v>0</v>
      </c>
      <c r="BR204" s="98">
        <f t="shared" si="278"/>
        <v>0</v>
      </c>
    </row>
    <row r="205" spans="1:70" x14ac:dyDescent="0.25">
      <c r="A205" t="s">
        <v>75</v>
      </c>
      <c r="B205" t="s">
        <v>15</v>
      </c>
      <c r="C205">
        <v>2024</v>
      </c>
      <c r="D205" s="98">
        <f>INDEX('Reference Sheet'!$G$9:$J$100, MATCH(A205,'Reference Sheet'!$F$9:$F$100,0), MATCH(C205,'Reference Sheet'!$G$8:$J$8,0))/2080</f>
        <v>31.73076923076923</v>
      </c>
      <c r="E205" s="99">
        <v>0</v>
      </c>
      <c r="F205" s="98">
        <f t="shared" si="309"/>
        <v>31.73076923076923</v>
      </c>
      <c r="G205" s="98"/>
      <c r="H205" s="98"/>
      <c r="I205" s="32"/>
      <c r="J205" s="32"/>
      <c r="K205" s="32"/>
      <c r="L205" s="32"/>
      <c r="M205" s="32"/>
      <c r="N205" s="32"/>
      <c r="O205" s="32"/>
      <c r="P205" s="32"/>
      <c r="Q205" s="32">
        <v>10</v>
      </c>
      <c r="R205" s="32"/>
      <c r="S205" s="32"/>
      <c r="T205" s="32"/>
      <c r="U205" s="32"/>
      <c r="V205" s="32">
        <v>10</v>
      </c>
      <c r="W205" s="32"/>
      <c r="X205" s="32"/>
      <c r="Y205" s="32"/>
      <c r="Z205" s="32"/>
      <c r="AA205" s="98">
        <f t="shared" si="297"/>
        <v>20</v>
      </c>
      <c r="AB205" s="98">
        <f t="shared" si="296"/>
        <v>20</v>
      </c>
      <c r="AC205" s="98">
        <f t="shared" si="310"/>
        <v>0</v>
      </c>
      <c r="AD205" s="100">
        <f t="shared" ref="AD205:AD236" si="314">(G205/$AA205)*$AB205</f>
        <v>0</v>
      </c>
      <c r="AE205" s="100">
        <f t="shared" ref="AE205:AE236" si="315">(H205/$AA205)*$AB205</f>
        <v>0</v>
      </c>
      <c r="AF205" s="100">
        <f t="shared" ref="AF205:AF236" si="316">(I205/$AA205)*$AB205</f>
        <v>0</v>
      </c>
      <c r="AG205" s="100">
        <f t="shared" ref="AG205:AG236" si="317">(J205/$AA205)*$AB205</f>
        <v>0</v>
      </c>
      <c r="AH205" s="100">
        <f t="shared" ref="AH205:AH236" si="318">(K205/$AA205)*$AB205</f>
        <v>0</v>
      </c>
      <c r="AI205" s="100">
        <f t="shared" ref="AI205:AI236" si="319">(L205/$AA205)*$AB205</f>
        <v>0</v>
      </c>
      <c r="AJ205" s="100">
        <f t="shared" ref="AJ205:AJ236" si="320">(M205/$AA205)*$AB205</f>
        <v>0</v>
      </c>
      <c r="AK205" s="100">
        <f t="shared" ref="AK205:AK236" si="321">(N205/$AA205)*$AB205</f>
        <v>0</v>
      </c>
      <c r="AL205" s="100">
        <f t="shared" si="298"/>
        <v>0</v>
      </c>
      <c r="AM205" s="100">
        <f t="shared" ref="AM205:AM236" si="322">(P205/$AA205)*$AB205</f>
        <v>0</v>
      </c>
      <c r="AN205" s="100">
        <f t="shared" ref="AN205:AN236" si="323">(Q205/$AA205)*$AB205</f>
        <v>10</v>
      </c>
      <c r="AO205" s="100">
        <f t="shared" ref="AO205:AO236" si="324">(R205/$AA205)*$AB205</f>
        <v>0</v>
      </c>
      <c r="AP205" s="100">
        <f t="shared" ref="AP205:AP236" si="325">(S205/$AA205)*$AB205</f>
        <v>0</v>
      </c>
      <c r="AQ205" s="100">
        <f t="shared" ref="AQ205:AQ236" si="326">(T205/$AA205)*$AB205</f>
        <v>0</v>
      </c>
      <c r="AR205" s="100">
        <f t="shared" ref="AR205:AR236" si="327">(U205/$AA205)*$AB205</f>
        <v>0</v>
      </c>
      <c r="AS205" s="100">
        <f t="shared" ref="AS205:AS236" si="328">(V205/$AA205)*$AB205</f>
        <v>10</v>
      </c>
      <c r="AT205" s="100">
        <f t="shared" si="299"/>
        <v>0</v>
      </c>
      <c r="AU205" s="100">
        <f t="shared" si="311"/>
        <v>0</v>
      </c>
      <c r="AV205" s="100">
        <f t="shared" si="300"/>
        <v>0</v>
      </c>
      <c r="AW205" s="100">
        <f t="shared" si="312"/>
        <v>0</v>
      </c>
      <c r="AX205">
        <f t="shared" si="313"/>
        <v>20</v>
      </c>
      <c r="AY205" s="98">
        <f t="shared" si="301"/>
        <v>0</v>
      </c>
      <c r="AZ205" s="98">
        <f t="shared" si="302"/>
        <v>0</v>
      </c>
      <c r="BA205" s="98">
        <f t="shared" si="267"/>
        <v>0</v>
      </c>
      <c r="BB205" s="98">
        <f t="shared" si="303"/>
        <v>0</v>
      </c>
      <c r="BC205" s="98">
        <f t="shared" si="268"/>
        <v>0</v>
      </c>
      <c r="BD205" s="98">
        <f t="shared" si="269"/>
        <v>0</v>
      </c>
      <c r="BE205" s="98">
        <f t="shared" si="270"/>
        <v>0</v>
      </c>
      <c r="BF205" s="98">
        <f t="shared" si="304"/>
        <v>0</v>
      </c>
      <c r="BG205" s="98">
        <f t="shared" si="305"/>
        <v>0</v>
      </c>
      <c r="BH205" s="98">
        <f t="shared" si="271"/>
        <v>0</v>
      </c>
      <c r="BI205" s="98">
        <f t="shared" si="272"/>
        <v>317.30769230769232</v>
      </c>
      <c r="BJ205" s="98">
        <f t="shared" si="273"/>
        <v>0</v>
      </c>
      <c r="BK205" s="98">
        <f t="shared" si="274"/>
        <v>0</v>
      </c>
      <c r="BL205" s="98">
        <f t="shared" si="306"/>
        <v>0</v>
      </c>
      <c r="BM205" s="98">
        <f t="shared" si="275"/>
        <v>0</v>
      </c>
      <c r="BN205" s="98">
        <f t="shared" si="276"/>
        <v>317.30769230769232</v>
      </c>
      <c r="BO205" s="98">
        <f t="shared" si="307"/>
        <v>0</v>
      </c>
      <c r="BP205" s="98">
        <f t="shared" si="277"/>
        <v>0</v>
      </c>
      <c r="BQ205" s="98">
        <f t="shared" si="308"/>
        <v>0</v>
      </c>
      <c r="BR205" s="98">
        <f t="shared" si="278"/>
        <v>0</v>
      </c>
    </row>
    <row r="206" spans="1:70" x14ac:dyDescent="0.25">
      <c r="A206" t="s">
        <v>75</v>
      </c>
      <c r="B206" t="s">
        <v>16</v>
      </c>
      <c r="C206">
        <v>2024</v>
      </c>
      <c r="D206" s="98">
        <f>INDEX('Reference Sheet'!$G$9:$J$100, MATCH(A206,'Reference Sheet'!$F$9:$F$100,0), MATCH(C206,'Reference Sheet'!$G$8:$J$8,0))/2080</f>
        <v>31.73076923076923</v>
      </c>
      <c r="E206" s="99">
        <v>0</v>
      </c>
      <c r="F206" s="98">
        <f t="shared" si="309"/>
        <v>31.73076923076923</v>
      </c>
      <c r="G206" s="98"/>
      <c r="H206" s="98"/>
      <c r="I206" s="32"/>
      <c r="J206" s="32"/>
      <c r="K206" s="32"/>
      <c r="L206" s="32"/>
      <c r="M206" s="32"/>
      <c r="N206" s="32"/>
      <c r="O206" s="32"/>
      <c r="P206" s="32"/>
      <c r="Q206" s="32">
        <v>10</v>
      </c>
      <c r="R206" s="32"/>
      <c r="S206" s="32"/>
      <c r="T206" s="32"/>
      <c r="U206" s="32"/>
      <c r="V206" s="32">
        <v>10</v>
      </c>
      <c r="W206" s="32"/>
      <c r="X206" s="32"/>
      <c r="Y206" s="32"/>
      <c r="Z206" s="32"/>
      <c r="AA206" s="98">
        <f t="shared" si="297"/>
        <v>20</v>
      </c>
      <c r="AB206" s="98">
        <f t="shared" si="296"/>
        <v>20</v>
      </c>
      <c r="AC206" s="98">
        <f t="shared" si="310"/>
        <v>0</v>
      </c>
      <c r="AD206" s="100">
        <f t="shared" si="314"/>
        <v>0</v>
      </c>
      <c r="AE206" s="100">
        <f t="shared" si="315"/>
        <v>0</v>
      </c>
      <c r="AF206" s="100">
        <f t="shared" si="316"/>
        <v>0</v>
      </c>
      <c r="AG206" s="100">
        <f t="shared" si="317"/>
        <v>0</v>
      </c>
      <c r="AH206" s="100">
        <f t="shared" si="318"/>
        <v>0</v>
      </c>
      <c r="AI206" s="100">
        <f t="shared" si="319"/>
        <v>0</v>
      </c>
      <c r="AJ206" s="100">
        <f t="shared" si="320"/>
        <v>0</v>
      </c>
      <c r="AK206" s="100">
        <f t="shared" si="321"/>
        <v>0</v>
      </c>
      <c r="AL206" s="100">
        <f t="shared" si="298"/>
        <v>0</v>
      </c>
      <c r="AM206" s="100">
        <f t="shared" si="322"/>
        <v>0</v>
      </c>
      <c r="AN206" s="100">
        <f t="shared" si="323"/>
        <v>10</v>
      </c>
      <c r="AO206" s="100">
        <f t="shared" si="324"/>
        <v>0</v>
      </c>
      <c r="AP206" s="100">
        <f t="shared" si="325"/>
        <v>0</v>
      </c>
      <c r="AQ206" s="100">
        <f t="shared" si="326"/>
        <v>0</v>
      </c>
      <c r="AR206" s="100">
        <f t="shared" si="327"/>
        <v>0</v>
      </c>
      <c r="AS206" s="100">
        <f t="shared" si="328"/>
        <v>10</v>
      </c>
      <c r="AT206" s="100">
        <f t="shared" si="299"/>
        <v>0</v>
      </c>
      <c r="AU206" s="100">
        <f t="shared" si="311"/>
        <v>0</v>
      </c>
      <c r="AV206" s="100">
        <f t="shared" si="300"/>
        <v>0</v>
      </c>
      <c r="AW206" s="100">
        <f t="shared" si="312"/>
        <v>0</v>
      </c>
      <c r="AX206">
        <f t="shared" si="313"/>
        <v>20</v>
      </c>
      <c r="AY206" s="98">
        <f t="shared" si="301"/>
        <v>0</v>
      </c>
      <c r="AZ206" s="98">
        <f t="shared" si="302"/>
        <v>0</v>
      </c>
      <c r="BA206" s="98">
        <f t="shared" si="267"/>
        <v>0</v>
      </c>
      <c r="BB206" s="98">
        <f t="shared" si="303"/>
        <v>0</v>
      </c>
      <c r="BC206" s="98">
        <f t="shared" si="268"/>
        <v>0</v>
      </c>
      <c r="BD206" s="98">
        <f t="shared" si="269"/>
        <v>0</v>
      </c>
      <c r="BE206" s="98">
        <f t="shared" si="270"/>
        <v>0</v>
      </c>
      <c r="BF206" s="98">
        <f t="shared" si="304"/>
        <v>0</v>
      </c>
      <c r="BG206" s="98">
        <f t="shared" si="305"/>
        <v>0</v>
      </c>
      <c r="BH206" s="98">
        <f t="shared" si="271"/>
        <v>0</v>
      </c>
      <c r="BI206" s="98">
        <f t="shared" si="272"/>
        <v>317.30769230769232</v>
      </c>
      <c r="BJ206" s="98">
        <f t="shared" si="273"/>
        <v>0</v>
      </c>
      <c r="BK206" s="98">
        <f t="shared" si="274"/>
        <v>0</v>
      </c>
      <c r="BL206" s="98">
        <f t="shared" si="306"/>
        <v>0</v>
      </c>
      <c r="BM206" s="98">
        <f t="shared" si="275"/>
        <v>0</v>
      </c>
      <c r="BN206" s="98">
        <f t="shared" si="276"/>
        <v>317.30769230769232</v>
      </c>
      <c r="BO206" s="98">
        <f t="shared" si="307"/>
        <v>0</v>
      </c>
      <c r="BP206" s="98">
        <f t="shared" si="277"/>
        <v>0</v>
      </c>
      <c r="BQ206" s="98">
        <f t="shared" si="308"/>
        <v>0</v>
      </c>
      <c r="BR206" s="98">
        <f t="shared" si="278"/>
        <v>0</v>
      </c>
    </row>
    <row r="207" spans="1:70" x14ac:dyDescent="0.25">
      <c r="A207" t="s">
        <v>75</v>
      </c>
      <c r="B207" t="s">
        <v>17</v>
      </c>
      <c r="C207">
        <v>2024</v>
      </c>
      <c r="D207" s="98">
        <f>INDEX('Reference Sheet'!$G$9:$J$100, MATCH(A207,'Reference Sheet'!$F$9:$F$100,0), MATCH(C207,'Reference Sheet'!$G$8:$J$8,0))/2080</f>
        <v>31.73076923076923</v>
      </c>
      <c r="E207" s="99">
        <v>0</v>
      </c>
      <c r="F207" s="98">
        <f t="shared" si="309"/>
        <v>31.73076923076923</v>
      </c>
      <c r="G207" s="98"/>
      <c r="H207" s="98"/>
      <c r="I207" s="32"/>
      <c r="J207" s="32"/>
      <c r="K207" s="32"/>
      <c r="L207" s="32"/>
      <c r="M207" s="32"/>
      <c r="N207" s="32"/>
      <c r="O207" s="32"/>
      <c r="P207" s="32"/>
      <c r="Q207" s="32">
        <v>10</v>
      </c>
      <c r="R207" s="32"/>
      <c r="S207" s="32"/>
      <c r="T207" s="32"/>
      <c r="U207" s="32"/>
      <c r="V207" s="32">
        <v>10</v>
      </c>
      <c r="W207" s="32"/>
      <c r="X207" s="32"/>
      <c r="Y207" s="32"/>
      <c r="Z207" s="32"/>
      <c r="AA207" s="98">
        <f t="shared" si="297"/>
        <v>20</v>
      </c>
      <c r="AB207" s="98">
        <f t="shared" si="296"/>
        <v>20</v>
      </c>
      <c r="AC207" s="98">
        <f t="shared" si="310"/>
        <v>0</v>
      </c>
      <c r="AD207" s="100">
        <f t="shared" si="314"/>
        <v>0</v>
      </c>
      <c r="AE207" s="100">
        <f t="shared" si="315"/>
        <v>0</v>
      </c>
      <c r="AF207" s="100">
        <f t="shared" si="316"/>
        <v>0</v>
      </c>
      <c r="AG207" s="100">
        <f t="shared" si="317"/>
        <v>0</v>
      </c>
      <c r="AH207" s="100">
        <f t="shared" si="318"/>
        <v>0</v>
      </c>
      <c r="AI207" s="100">
        <f t="shared" si="319"/>
        <v>0</v>
      </c>
      <c r="AJ207" s="100">
        <f t="shared" si="320"/>
        <v>0</v>
      </c>
      <c r="AK207" s="100">
        <f t="shared" si="321"/>
        <v>0</v>
      </c>
      <c r="AL207" s="100">
        <f t="shared" si="298"/>
        <v>0</v>
      </c>
      <c r="AM207" s="100">
        <f t="shared" si="322"/>
        <v>0</v>
      </c>
      <c r="AN207" s="100">
        <f t="shared" si="323"/>
        <v>10</v>
      </c>
      <c r="AO207" s="100">
        <f t="shared" si="324"/>
        <v>0</v>
      </c>
      <c r="AP207" s="100">
        <f t="shared" si="325"/>
        <v>0</v>
      </c>
      <c r="AQ207" s="100">
        <f t="shared" si="326"/>
        <v>0</v>
      </c>
      <c r="AR207" s="100">
        <f t="shared" si="327"/>
        <v>0</v>
      </c>
      <c r="AS207" s="100">
        <f t="shared" si="328"/>
        <v>10</v>
      </c>
      <c r="AT207" s="100">
        <f t="shared" si="299"/>
        <v>0</v>
      </c>
      <c r="AU207" s="100">
        <f t="shared" si="311"/>
        <v>0</v>
      </c>
      <c r="AV207" s="100">
        <f t="shared" si="300"/>
        <v>0</v>
      </c>
      <c r="AW207" s="100">
        <f t="shared" si="312"/>
        <v>0</v>
      </c>
      <c r="AX207">
        <f t="shared" si="313"/>
        <v>20</v>
      </c>
      <c r="AY207" s="98">
        <f t="shared" si="301"/>
        <v>0</v>
      </c>
      <c r="AZ207" s="98">
        <f t="shared" si="302"/>
        <v>0</v>
      </c>
      <c r="BA207" s="98">
        <f t="shared" si="267"/>
        <v>0</v>
      </c>
      <c r="BB207" s="98">
        <f t="shared" si="303"/>
        <v>0</v>
      </c>
      <c r="BC207" s="98">
        <f t="shared" si="268"/>
        <v>0</v>
      </c>
      <c r="BD207" s="98">
        <f t="shared" si="269"/>
        <v>0</v>
      </c>
      <c r="BE207" s="98">
        <f t="shared" si="270"/>
        <v>0</v>
      </c>
      <c r="BF207" s="98">
        <f t="shared" si="304"/>
        <v>0</v>
      </c>
      <c r="BG207" s="98">
        <f t="shared" si="305"/>
        <v>0</v>
      </c>
      <c r="BH207" s="98">
        <f t="shared" si="271"/>
        <v>0</v>
      </c>
      <c r="BI207" s="98">
        <f t="shared" si="272"/>
        <v>317.30769230769232</v>
      </c>
      <c r="BJ207" s="98">
        <f t="shared" si="273"/>
        <v>0</v>
      </c>
      <c r="BK207" s="98">
        <f t="shared" si="274"/>
        <v>0</v>
      </c>
      <c r="BL207" s="98">
        <f t="shared" si="306"/>
        <v>0</v>
      </c>
      <c r="BM207" s="98">
        <f t="shared" si="275"/>
        <v>0</v>
      </c>
      <c r="BN207" s="98">
        <f t="shared" si="276"/>
        <v>317.30769230769232</v>
      </c>
      <c r="BO207" s="98">
        <f t="shared" si="307"/>
        <v>0</v>
      </c>
      <c r="BP207" s="98">
        <f t="shared" si="277"/>
        <v>0</v>
      </c>
      <c r="BQ207" s="98">
        <f t="shared" si="308"/>
        <v>0</v>
      </c>
      <c r="BR207" s="98">
        <f t="shared" si="278"/>
        <v>0</v>
      </c>
    </row>
    <row r="208" spans="1:70" x14ac:dyDescent="0.25">
      <c r="A208" t="s">
        <v>75</v>
      </c>
      <c r="B208" t="s">
        <v>6</v>
      </c>
      <c r="C208">
        <v>2025</v>
      </c>
      <c r="D208" s="98">
        <f>INDEX('Reference Sheet'!$G$9:$J$100, MATCH(A208,'Reference Sheet'!$F$9:$F$100,0), MATCH(C208,'Reference Sheet'!$G$8:$J$8,0))/2080</f>
        <v>34.79567307692308</v>
      </c>
      <c r="E208" s="99">
        <v>0</v>
      </c>
      <c r="F208" s="98">
        <f t="shared" si="309"/>
        <v>34.79567307692308</v>
      </c>
      <c r="G208" s="98"/>
      <c r="H208" s="98"/>
      <c r="I208" s="32"/>
      <c r="J208" s="32"/>
      <c r="K208" s="32"/>
      <c r="L208" s="32"/>
      <c r="M208" s="32"/>
      <c r="N208" s="32">
        <v>3.08</v>
      </c>
      <c r="O208" s="32"/>
      <c r="P208" s="32"/>
      <c r="Q208" s="32">
        <v>10</v>
      </c>
      <c r="R208" s="32"/>
      <c r="S208" s="32"/>
      <c r="T208" s="32"/>
      <c r="U208" s="32"/>
      <c r="V208" s="32">
        <v>10</v>
      </c>
      <c r="W208" s="32"/>
      <c r="X208" s="32"/>
      <c r="Y208" s="32"/>
      <c r="Z208" s="32">
        <v>42</v>
      </c>
      <c r="AA208" s="98">
        <f t="shared" si="297"/>
        <v>65.08</v>
      </c>
      <c r="AB208" s="98">
        <v>65.08</v>
      </c>
      <c r="AC208" s="98">
        <f t="shared" si="310"/>
        <v>0</v>
      </c>
      <c r="AD208" s="100">
        <f t="shared" si="314"/>
        <v>0</v>
      </c>
      <c r="AE208" s="100">
        <f t="shared" si="315"/>
        <v>0</v>
      </c>
      <c r="AF208" s="100">
        <f t="shared" si="316"/>
        <v>0</v>
      </c>
      <c r="AG208" s="100">
        <f t="shared" si="317"/>
        <v>0</v>
      </c>
      <c r="AH208" s="100">
        <f t="shared" si="318"/>
        <v>0</v>
      </c>
      <c r="AI208" s="100">
        <f t="shared" si="319"/>
        <v>0</v>
      </c>
      <c r="AJ208" s="100">
        <f t="shared" si="320"/>
        <v>0</v>
      </c>
      <c r="AK208" s="100">
        <f t="shared" si="321"/>
        <v>3.08</v>
      </c>
      <c r="AL208" s="100">
        <f t="shared" si="298"/>
        <v>0</v>
      </c>
      <c r="AM208" s="100">
        <f t="shared" si="322"/>
        <v>0</v>
      </c>
      <c r="AN208" s="100">
        <f t="shared" si="323"/>
        <v>10</v>
      </c>
      <c r="AO208" s="100">
        <f t="shared" si="324"/>
        <v>0</v>
      </c>
      <c r="AP208" s="100">
        <f t="shared" si="325"/>
        <v>0</v>
      </c>
      <c r="AQ208" s="100">
        <f t="shared" si="326"/>
        <v>0</v>
      </c>
      <c r="AR208" s="100">
        <f t="shared" si="327"/>
        <v>0</v>
      </c>
      <c r="AS208" s="100">
        <f t="shared" si="328"/>
        <v>10</v>
      </c>
      <c r="AT208" s="100">
        <f t="shared" si="299"/>
        <v>0</v>
      </c>
      <c r="AU208" s="100">
        <f t="shared" si="311"/>
        <v>0</v>
      </c>
      <c r="AV208" s="100">
        <f t="shared" si="300"/>
        <v>0</v>
      </c>
      <c r="AW208" s="100">
        <f t="shared" si="312"/>
        <v>42</v>
      </c>
      <c r="AX208">
        <f t="shared" si="313"/>
        <v>65.08</v>
      </c>
      <c r="AY208" s="98">
        <f t="shared" si="301"/>
        <v>0</v>
      </c>
      <c r="AZ208" s="98">
        <f t="shared" si="302"/>
        <v>0</v>
      </c>
      <c r="BA208" s="98">
        <f t="shared" si="267"/>
        <v>0</v>
      </c>
      <c r="BB208" s="98">
        <f t="shared" si="303"/>
        <v>0</v>
      </c>
      <c r="BC208" s="98">
        <f t="shared" si="268"/>
        <v>0</v>
      </c>
      <c r="BD208" s="98">
        <f t="shared" si="269"/>
        <v>0</v>
      </c>
      <c r="BE208" s="98">
        <f t="shared" si="270"/>
        <v>0</v>
      </c>
      <c r="BF208" s="98">
        <f t="shared" si="304"/>
        <v>107.17067307692309</v>
      </c>
      <c r="BG208" s="98">
        <f t="shared" si="305"/>
        <v>0</v>
      </c>
      <c r="BH208" s="98">
        <f t="shared" si="271"/>
        <v>0</v>
      </c>
      <c r="BI208" s="98">
        <f t="shared" si="272"/>
        <v>347.95673076923083</v>
      </c>
      <c r="BJ208" s="98">
        <f t="shared" si="273"/>
        <v>0</v>
      </c>
      <c r="BK208" s="98">
        <f t="shared" si="274"/>
        <v>0</v>
      </c>
      <c r="BL208" s="98">
        <f t="shared" si="306"/>
        <v>0</v>
      </c>
      <c r="BM208" s="98">
        <f t="shared" si="275"/>
        <v>0</v>
      </c>
      <c r="BN208" s="98">
        <f t="shared" si="276"/>
        <v>347.95673076923083</v>
      </c>
      <c r="BO208" s="98">
        <f t="shared" si="307"/>
        <v>0</v>
      </c>
      <c r="BP208" s="98">
        <f t="shared" si="277"/>
        <v>0</v>
      </c>
      <c r="BQ208" s="98">
        <f t="shared" si="308"/>
        <v>0</v>
      </c>
      <c r="BR208" s="98">
        <f t="shared" si="278"/>
        <v>1461.4182692307693</v>
      </c>
    </row>
    <row r="209" spans="1:70" x14ac:dyDescent="0.25">
      <c r="A209" t="s">
        <v>75</v>
      </c>
      <c r="B209" t="s">
        <v>7</v>
      </c>
      <c r="C209">
        <v>2025</v>
      </c>
      <c r="D209" s="98">
        <f>INDEX('Reference Sheet'!$G$9:$J$100, MATCH(A209,'Reference Sheet'!$F$9:$F$100,0), MATCH(C209,'Reference Sheet'!$G$8:$J$8,0))/2080</f>
        <v>34.79567307692308</v>
      </c>
      <c r="E209" s="99">
        <v>0</v>
      </c>
      <c r="F209" s="98">
        <f t="shared" si="309"/>
        <v>34.79567307692308</v>
      </c>
      <c r="G209" s="98"/>
      <c r="H209" s="98"/>
      <c r="I209" s="32"/>
      <c r="J209" s="32"/>
      <c r="K209" s="32"/>
      <c r="L209" s="32"/>
      <c r="M209" s="32"/>
      <c r="N209" s="32">
        <v>3.08</v>
      </c>
      <c r="O209" s="32"/>
      <c r="P209" s="32"/>
      <c r="Q209" s="32">
        <v>10</v>
      </c>
      <c r="R209" s="32"/>
      <c r="S209" s="32"/>
      <c r="T209" s="32"/>
      <c r="U209" s="32"/>
      <c r="V209" s="32">
        <v>10</v>
      </c>
      <c r="W209" s="32"/>
      <c r="X209" s="32"/>
      <c r="Y209" s="32"/>
      <c r="Z209" s="32">
        <v>42</v>
      </c>
      <c r="AA209" s="98">
        <f t="shared" si="297"/>
        <v>65.08</v>
      </c>
      <c r="AB209" s="98">
        <v>65.08</v>
      </c>
      <c r="AC209" s="98">
        <f t="shared" si="310"/>
        <v>0</v>
      </c>
      <c r="AD209" s="100">
        <f t="shared" si="314"/>
        <v>0</v>
      </c>
      <c r="AE209" s="100">
        <f t="shared" si="315"/>
        <v>0</v>
      </c>
      <c r="AF209" s="100">
        <f t="shared" si="316"/>
        <v>0</v>
      </c>
      <c r="AG209" s="100">
        <f t="shared" si="317"/>
        <v>0</v>
      </c>
      <c r="AH209" s="100">
        <f t="shared" si="318"/>
        <v>0</v>
      </c>
      <c r="AI209" s="100">
        <f t="shared" si="319"/>
        <v>0</v>
      </c>
      <c r="AJ209" s="100">
        <f t="shared" si="320"/>
        <v>0</v>
      </c>
      <c r="AK209" s="100">
        <f t="shared" si="321"/>
        <v>3.08</v>
      </c>
      <c r="AL209" s="100">
        <f t="shared" si="298"/>
        <v>0</v>
      </c>
      <c r="AM209" s="100">
        <f t="shared" si="322"/>
        <v>0</v>
      </c>
      <c r="AN209" s="100">
        <f t="shared" si="323"/>
        <v>10</v>
      </c>
      <c r="AO209" s="100">
        <f t="shared" si="324"/>
        <v>0</v>
      </c>
      <c r="AP209" s="100">
        <f t="shared" si="325"/>
        <v>0</v>
      </c>
      <c r="AQ209" s="100">
        <f t="shared" si="326"/>
        <v>0</v>
      </c>
      <c r="AR209" s="100">
        <f t="shared" si="327"/>
        <v>0</v>
      </c>
      <c r="AS209" s="100">
        <f t="shared" si="328"/>
        <v>10</v>
      </c>
      <c r="AT209" s="100">
        <f t="shared" si="299"/>
        <v>0</v>
      </c>
      <c r="AU209" s="100">
        <f t="shared" si="311"/>
        <v>0</v>
      </c>
      <c r="AV209" s="100">
        <f t="shared" si="300"/>
        <v>0</v>
      </c>
      <c r="AW209" s="100">
        <f t="shared" si="312"/>
        <v>42</v>
      </c>
      <c r="AX209">
        <f t="shared" si="313"/>
        <v>65.08</v>
      </c>
      <c r="AY209" s="98">
        <f t="shared" si="301"/>
        <v>0</v>
      </c>
      <c r="AZ209" s="98">
        <f t="shared" si="302"/>
        <v>0</v>
      </c>
      <c r="BA209" s="98">
        <f t="shared" si="267"/>
        <v>0</v>
      </c>
      <c r="BB209" s="98">
        <f t="shared" si="303"/>
        <v>0</v>
      </c>
      <c r="BC209" s="98">
        <f t="shared" si="268"/>
        <v>0</v>
      </c>
      <c r="BD209" s="98">
        <f t="shared" si="269"/>
        <v>0</v>
      </c>
      <c r="BE209" s="98">
        <f t="shared" si="270"/>
        <v>0</v>
      </c>
      <c r="BF209" s="98">
        <f t="shared" si="304"/>
        <v>107.17067307692309</v>
      </c>
      <c r="BG209" s="98">
        <f t="shared" si="305"/>
        <v>0</v>
      </c>
      <c r="BH209" s="98">
        <f t="shared" si="271"/>
        <v>0</v>
      </c>
      <c r="BI209" s="98">
        <f t="shared" si="272"/>
        <v>347.95673076923083</v>
      </c>
      <c r="BJ209" s="98">
        <f t="shared" si="273"/>
        <v>0</v>
      </c>
      <c r="BK209" s="98">
        <f t="shared" si="274"/>
        <v>0</v>
      </c>
      <c r="BL209" s="98">
        <f t="shared" si="306"/>
        <v>0</v>
      </c>
      <c r="BM209" s="98">
        <f t="shared" si="275"/>
        <v>0</v>
      </c>
      <c r="BN209" s="98">
        <f t="shared" si="276"/>
        <v>347.95673076923083</v>
      </c>
      <c r="BO209" s="98">
        <f t="shared" si="307"/>
        <v>0</v>
      </c>
      <c r="BP209" s="98">
        <f t="shared" si="277"/>
        <v>0</v>
      </c>
      <c r="BQ209" s="98">
        <f t="shared" si="308"/>
        <v>0</v>
      </c>
      <c r="BR209" s="98">
        <f t="shared" si="278"/>
        <v>1461.4182692307693</v>
      </c>
    </row>
    <row r="210" spans="1:70" x14ac:dyDescent="0.25">
      <c r="A210" t="s">
        <v>75</v>
      </c>
      <c r="B210" t="s">
        <v>8</v>
      </c>
      <c r="C210">
        <v>2025</v>
      </c>
      <c r="D210" s="98">
        <f>INDEX('Reference Sheet'!$G$9:$J$100, MATCH(A210,'Reference Sheet'!$F$9:$F$100,0), MATCH(C210,'Reference Sheet'!$G$8:$J$8,0))/2080</f>
        <v>34.79567307692308</v>
      </c>
      <c r="E210" s="99">
        <v>0</v>
      </c>
      <c r="F210" s="98">
        <f t="shared" si="309"/>
        <v>34.79567307692308</v>
      </c>
      <c r="G210" s="98"/>
      <c r="H210" s="98"/>
      <c r="I210" s="32"/>
      <c r="J210" s="32"/>
      <c r="K210" s="32"/>
      <c r="L210" s="32"/>
      <c r="M210" s="32"/>
      <c r="N210" s="32">
        <v>3.08</v>
      </c>
      <c r="O210" s="32"/>
      <c r="P210" s="32"/>
      <c r="Q210" s="32">
        <v>10</v>
      </c>
      <c r="R210" s="32"/>
      <c r="S210" s="32"/>
      <c r="T210" s="32"/>
      <c r="U210" s="32"/>
      <c r="V210" s="32">
        <v>10</v>
      </c>
      <c r="W210" s="32"/>
      <c r="X210" s="32"/>
      <c r="Y210" s="32"/>
      <c r="Z210" s="32">
        <v>42</v>
      </c>
      <c r="AA210" s="98">
        <f t="shared" si="297"/>
        <v>65.08</v>
      </c>
      <c r="AB210" s="98">
        <v>65.08</v>
      </c>
      <c r="AC210" s="98">
        <f t="shared" si="310"/>
        <v>0</v>
      </c>
      <c r="AD210" s="100">
        <f t="shared" si="314"/>
        <v>0</v>
      </c>
      <c r="AE210" s="100">
        <f t="shared" si="315"/>
        <v>0</v>
      </c>
      <c r="AF210" s="100">
        <f t="shared" si="316"/>
        <v>0</v>
      </c>
      <c r="AG210" s="100">
        <f t="shared" si="317"/>
        <v>0</v>
      </c>
      <c r="AH210" s="100">
        <f t="shared" si="318"/>
        <v>0</v>
      </c>
      <c r="AI210" s="100">
        <f t="shared" si="319"/>
        <v>0</v>
      </c>
      <c r="AJ210" s="100">
        <f t="shared" si="320"/>
        <v>0</v>
      </c>
      <c r="AK210" s="100">
        <f t="shared" si="321"/>
        <v>3.08</v>
      </c>
      <c r="AL210" s="100">
        <f t="shared" si="298"/>
        <v>0</v>
      </c>
      <c r="AM210" s="100">
        <f t="shared" si="322"/>
        <v>0</v>
      </c>
      <c r="AN210" s="100">
        <f t="shared" si="323"/>
        <v>10</v>
      </c>
      <c r="AO210" s="100">
        <f t="shared" si="324"/>
        <v>0</v>
      </c>
      <c r="AP210" s="100">
        <f t="shared" si="325"/>
        <v>0</v>
      </c>
      <c r="AQ210" s="100">
        <f t="shared" si="326"/>
        <v>0</v>
      </c>
      <c r="AR210" s="100">
        <f t="shared" si="327"/>
        <v>0</v>
      </c>
      <c r="AS210" s="100">
        <f t="shared" si="328"/>
        <v>10</v>
      </c>
      <c r="AT210" s="100">
        <f t="shared" si="299"/>
        <v>0</v>
      </c>
      <c r="AU210" s="100">
        <f t="shared" si="311"/>
        <v>0</v>
      </c>
      <c r="AV210" s="100">
        <f t="shared" si="300"/>
        <v>0</v>
      </c>
      <c r="AW210" s="100">
        <f t="shared" si="312"/>
        <v>42</v>
      </c>
      <c r="AX210">
        <f t="shared" si="313"/>
        <v>65.08</v>
      </c>
      <c r="AY210" s="98">
        <f t="shared" si="301"/>
        <v>0</v>
      </c>
      <c r="AZ210" s="98">
        <f t="shared" si="302"/>
        <v>0</v>
      </c>
      <c r="BA210" s="98">
        <f t="shared" si="267"/>
        <v>0</v>
      </c>
      <c r="BB210" s="98">
        <f t="shared" si="303"/>
        <v>0</v>
      </c>
      <c r="BC210" s="98">
        <f t="shared" si="268"/>
        <v>0</v>
      </c>
      <c r="BD210" s="98">
        <f t="shared" si="269"/>
        <v>0</v>
      </c>
      <c r="BE210" s="98">
        <f t="shared" si="270"/>
        <v>0</v>
      </c>
      <c r="BF210" s="98">
        <f t="shared" si="304"/>
        <v>107.17067307692309</v>
      </c>
      <c r="BG210" s="98">
        <f t="shared" si="305"/>
        <v>0</v>
      </c>
      <c r="BH210" s="98">
        <f t="shared" si="271"/>
        <v>0</v>
      </c>
      <c r="BI210" s="98">
        <f t="shared" si="272"/>
        <v>347.95673076923083</v>
      </c>
      <c r="BJ210" s="98">
        <f t="shared" si="273"/>
        <v>0</v>
      </c>
      <c r="BK210" s="98">
        <f t="shared" si="274"/>
        <v>0</v>
      </c>
      <c r="BL210" s="98">
        <f t="shared" si="306"/>
        <v>0</v>
      </c>
      <c r="BM210" s="98">
        <f t="shared" si="275"/>
        <v>0</v>
      </c>
      <c r="BN210" s="98">
        <f t="shared" si="276"/>
        <v>347.95673076923083</v>
      </c>
      <c r="BO210" s="98">
        <f t="shared" si="307"/>
        <v>0</v>
      </c>
      <c r="BP210" s="98">
        <f t="shared" si="277"/>
        <v>0</v>
      </c>
      <c r="BQ210" s="98">
        <f t="shared" si="308"/>
        <v>0</v>
      </c>
      <c r="BR210" s="98">
        <f t="shared" si="278"/>
        <v>1461.4182692307693</v>
      </c>
    </row>
    <row r="211" spans="1:70" x14ac:dyDescent="0.25">
      <c r="A211" t="s">
        <v>75</v>
      </c>
      <c r="B211" t="s">
        <v>9</v>
      </c>
      <c r="C211">
        <v>2025</v>
      </c>
      <c r="D211" s="98">
        <f>INDEX('Reference Sheet'!$G$9:$J$100, MATCH(A211,'Reference Sheet'!$F$9:$F$100,0), MATCH(C211,'Reference Sheet'!$G$8:$J$8,0))/2080</f>
        <v>34.79567307692308</v>
      </c>
      <c r="E211" s="99">
        <v>0</v>
      </c>
      <c r="F211" s="98">
        <f t="shared" si="309"/>
        <v>34.79567307692308</v>
      </c>
      <c r="G211" s="98"/>
      <c r="H211" s="98"/>
      <c r="I211" s="32"/>
      <c r="J211" s="32"/>
      <c r="K211" s="32"/>
      <c r="L211" s="32"/>
      <c r="M211" s="32"/>
      <c r="N211" s="32">
        <v>3.08</v>
      </c>
      <c r="O211" s="32"/>
      <c r="P211" s="32"/>
      <c r="Q211" s="32">
        <v>10</v>
      </c>
      <c r="R211" s="32"/>
      <c r="S211" s="32"/>
      <c r="T211" s="32"/>
      <c r="U211" s="32"/>
      <c r="V211" s="32">
        <v>10</v>
      </c>
      <c r="W211" s="32"/>
      <c r="X211" s="32"/>
      <c r="Y211" s="32"/>
      <c r="Z211" s="32">
        <v>42</v>
      </c>
      <c r="AA211" s="98">
        <f t="shared" si="297"/>
        <v>65.08</v>
      </c>
      <c r="AB211" s="98">
        <v>65.08</v>
      </c>
      <c r="AC211" s="98">
        <f t="shared" si="310"/>
        <v>0</v>
      </c>
      <c r="AD211" s="100">
        <f t="shared" si="314"/>
        <v>0</v>
      </c>
      <c r="AE211" s="100">
        <f t="shared" si="315"/>
        <v>0</v>
      </c>
      <c r="AF211" s="100">
        <f t="shared" si="316"/>
        <v>0</v>
      </c>
      <c r="AG211" s="100">
        <f t="shared" si="317"/>
        <v>0</v>
      </c>
      <c r="AH211" s="100">
        <f t="shared" si="318"/>
        <v>0</v>
      </c>
      <c r="AI211" s="100">
        <f t="shared" si="319"/>
        <v>0</v>
      </c>
      <c r="AJ211" s="100">
        <f t="shared" si="320"/>
        <v>0</v>
      </c>
      <c r="AK211" s="100">
        <f t="shared" si="321"/>
        <v>3.08</v>
      </c>
      <c r="AL211" s="100">
        <f t="shared" si="298"/>
        <v>0</v>
      </c>
      <c r="AM211" s="100">
        <f t="shared" si="322"/>
        <v>0</v>
      </c>
      <c r="AN211" s="100">
        <f t="shared" si="323"/>
        <v>10</v>
      </c>
      <c r="AO211" s="100">
        <f t="shared" si="324"/>
        <v>0</v>
      </c>
      <c r="AP211" s="100">
        <f t="shared" si="325"/>
        <v>0</v>
      </c>
      <c r="AQ211" s="100">
        <f t="shared" si="326"/>
        <v>0</v>
      </c>
      <c r="AR211" s="100">
        <f t="shared" si="327"/>
        <v>0</v>
      </c>
      <c r="AS211" s="100">
        <f t="shared" si="328"/>
        <v>10</v>
      </c>
      <c r="AT211" s="100">
        <f t="shared" si="299"/>
        <v>0</v>
      </c>
      <c r="AU211" s="100">
        <f t="shared" si="311"/>
        <v>0</v>
      </c>
      <c r="AV211" s="100">
        <f t="shared" si="300"/>
        <v>0</v>
      </c>
      <c r="AW211" s="100">
        <f t="shared" si="312"/>
        <v>42</v>
      </c>
      <c r="AX211">
        <f t="shared" si="313"/>
        <v>65.08</v>
      </c>
      <c r="AY211" s="98">
        <f t="shared" si="301"/>
        <v>0</v>
      </c>
      <c r="AZ211" s="98">
        <f t="shared" si="302"/>
        <v>0</v>
      </c>
      <c r="BA211" s="98">
        <f t="shared" si="267"/>
        <v>0</v>
      </c>
      <c r="BB211" s="98">
        <f t="shared" si="303"/>
        <v>0</v>
      </c>
      <c r="BC211" s="98">
        <f t="shared" si="268"/>
        <v>0</v>
      </c>
      <c r="BD211" s="98">
        <f t="shared" si="269"/>
        <v>0</v>
      </c>
      <c r="BE211" s="98">
        <f t="shared" si="270"/>
        <v>0</v>
      </c>
      <c r="BF211" s="98">
        <f t="shared" si="304"/>
        <v>107.17067307692309</v>
      </c>
      <c r="BG211" s="98">
        <f t="shared" si="305"/>
        <v>0</v>
      </c>
      <c r="BH211" s="98">
        <f t="shared" si="271"/>
        <v>0</v>
      </c>
      <c r="BI211" s="98">
        <f t="shared" si="272"/>
        <v>347.95673076923083</v>
      </c>
      <c r="BJ211" s="98">
        <f t="shared" si="273"/>
        <v>0</v>
      </c>
      <c r="BK211" s="98">
        <f t="shared" si="274"/>
        <v>0</v>
      </c>
      <c r="BL211" s="98">
        <f t="shared" si="306"/>
        <v>0</v>
      </c>
      <c r="BM211" s="98">
        <f t="shared" si="275"/>
        <v>0</v>
      </c>
      <c r="BN211" s="98">
        <f t="shared" si="276"/>
        <v>347.95673076923083</v>
      </c>
      <c r="BO211" s="98">
        <f t="shared" si="307"/>
        <v>0</v>
      </c>
      <c r="BP211" s="98">
        <f t="shared" si="277"/>
        <v>0</v>
      </c>
      <c r="BQ211" s="98">
        <f t="shared" si="308"/>
        <v>0</v>
      </c>
      <c r="BR211" s="98">
        <f t="shared" si="278"/>
        <v>1461.4182692307693</v>
      </c>
    </row>
    <row r="212" spans="1:70" x14ac:dyDescent="0.25">
      <c r="A212" t="s">
        <v>75</v>
      </c>
      <c r="B212" t="s">
        <v>10</v>
      </c>
      <c r="C212">
        <v>2025</v>
      </c>
      <c r="D212" s="98">
        <f>INDEX('Reference Sheet'!$G$9:$J$100, MATCH(A212,'Reference Sheet'!$F$9:$F$100,0), MATCH(C212,'Reference Sheet'!$G$8:$J$8,0))/2080</f>
        <v>34.79567307692308</v>
      </c>
      <c r="E212" s="99">
        <v>0</v>
      </c>
      <c r="F212" s="98">
        <f t="shared" si="309"/>
        <v>34.79567307692308</v>
      </c>
      <c r="G212" s="98"/>
      <c r="H212" s="98"/>
      <c r="I212" s="32"/>
      <c r="J212" s="32"/>
      <c r="K212" s="32"/>
      <c r="L212" s="32"/>
      <c r="M212" s="32"/>
      <c r="N212" s="32">
        <v>3.08</v>
      </c>
      <c r="O212" s="32"/>
      <c r="P212" s="32"/>
      <c r="Q212" s="32">
        <v>10</v>
      </c>
      <c r="R212" s="32"/>
      <c r="S212" s="32"/>
      <c r="T212" s="32"/>
      <c r="U212" s="32"/>
      <c r="V212" s="32">
        <v>10</v>
      </c>
      <c r="W212" s="32"/>
      <c r="X212" s="32"/>
      <c r="Y212" s="32"/>
      <c r="Z212" s="32">
        <v>42</v>
      </c>
      <c r="AA212" s="98">
        <f t="shared" si="297"/>
        <v>65.08</v>
      </c>
      <c r="AB212" s="98">
        <v>65.08</v>
      </c>
      <c r="AC212" s="98">
        <f t="shared" si="310"/>
        <v>0</v>
      </c>
      <c r="AD212" s="100">
        <f t="shared" si="314"/>
        <v>0</v>
      </c>
      <c r="AE212" s="100">
        <f t="shared" si="315"/>
        <v>0</v>
      </c>
      <c r="AF212" s="100">
        <f t="shared" si="316"/>
        <v>0</v>
      </c>
      <c r="AG212" s="100">
        <f t="shared" si="317"/>
        <v>0</v>
      </c>
      <c r="AH212" s="100">
        <f t="shared" si="318"/>
        <v>0</v>
      </c>
      <c r="AI212" s="100">
        <f t="shared" si="319"/>
        <v>0</v>
      </c>
      <c r="AJ212" s="100">
        <f t="shared" si="320"/>
        <v>0</v>
      </c>
      <c r="AK212" s="100">
        <f t="shared" si="321"/>
        <v>3.08</v>
      </c>
      <c r="AL212" s="100">
        <f t="shared" si="298"/>
        <v>0</v>
      </c>
      <c r="AM212" s="100">
        <f t="shared" si="322"/>
        <v>0</v>
      </c>
      <c r="AN212" s="100">
        <f t="shared" si="323"/>
        <v>10</v>
      </c>
      <c r="AO212" s="100">
        <f t="shared" si="324"/>
        <v>0</v>
      </c>
      <c r="AP212" s="100">
        <f t="shared" si="325"/>
        <v>0</v>
      </c>
      <c r="AQ212" s="100">
        <f t="shared" si="326"/>
        <v>0</v>
      </c>
      <c r="AR212" s="100">
        <f t="shared" si="327"/>
        <v>0</v>
      </c>
      <c r="AS212" s="100">
        <f t="shared" si="328"/>
        <v>10</v>
      </c>
      <c r="AT212" s="100">
        <f t="shared" si="299"/>
        <v>0</v>
      </c>
      <c r="AU212" s="100">
        <f t="shared" si="311"/>
        <v>0</v>
      </c>
      <c r="AV212" s="100">
        <f t="shared" si="300"/>
        <v>0</v>
      </c>
      <c r="AW212" s="100">
        <f t="shared" si="312"/>
        <v>42</v>
      </c>
      <c r="AX212">
        <f t="shared" si="313"/>
        <v>65.08</v>
      </c>
      <c r="AY212" s="98">
        <f t="shared" si="301"/>
        <v>0</v>
      </c>
      <c r="AZ212" s="98">
        <f t="shared" si="302"/>
        <v>0</v>
      </c>
      <c r="BA212" s="98">
        <f t="shared" si="267"/>
        <v>0</v>
      </c>
      <c r="BB212" s="98">
        <f t="shared" si="303"/>
        <v>0</v>
      </c>
      <c r="BC212" s="98">
        <f t="shared" si="268"/>
        <v>0</v>
      </c>
      <c r="BD212" s="98">
        <f t="shared" si="269"/>
        <v>0</v>
      </c>
      <c r="BE212" s="98">
        <f t="shared" si="270"/>
        <v>0</v>
      </c>
      <c r="BF212" s="98">
        <f t="shared" si="304"/>
        <v>107.17067307692309</v>
      </c>
      <c r="BG212" s="98">
        <f t="shared" si="305"/>
        <v>0</v>
      </c>
      <c r="BH212" s="98">
        <f t="shared" si="271"/>
        <v>0</v>
      </c>
      <c r="BI212" s="98">
        <f t="shared" si="272"/>
        <v>347.95673076923083</v>
      </c>
      <c r="BJ212" s="98">
        <f t="shared" si="273"/>
        <v>0</v>
      </c>
      <c r="BK212" s="98">
        <f t="shared" si="274"/>
        <v>0</v>
      </c>
      <c r="BL212" s="98">
        <f t="shared" si="306"/>
        <v>0</v>
      </c>
      <c r="BM212" s="98">
        <f t="shared" si="275"/>
        <v>0</v>
      </c>
      <c r="BN212" s="98">
        <f t="shared" si="276"/>
        <v>347.95673076923083</v>
      </c>
      <c r="BO212" s="98">
        <f t="shared" si="307"/>
        <v>0</v>
      </c>
      <c r="BP212" s="98">
        <f t="shared" si="277"/>
        <v>0</v>
      </c>
      <c r="BQ212" s="98">
        <f t="shared" si="308"/>
        <v>0</v>
      </c>
      <c r="BR212" s="98">
        <f t="shared" si="278"/>
        <v>1461.4182692307693</v>
      </c>
    </row>
    <row r="213" spans="1:70" x14ac:dyDescent="0.25">
      <c r="A213" t="s">
        <v>75</v>
      </c>
      <c r="B213" t="s">
        <v>11</v>
      </c>
      <c r="C213">
        <v>2025</v>
      </c>
      <c r="D213" s="98">
        <f>INDEX('Reference Sheet'!$G$9:$J$100, MATCH(A213,'Reference Sheet'!$F$9:$F$100,0), MATCH(C213,'Reference Sheet'!$G$8:$J$8,0))/2080</f>
        <v>34.79567307692308</v>
      </c>
      <c r="E213" s="99">
        <v>0</v>
      </c>
      <c r="F213" s="98">
        <f t="shared" si="309"/>
        <v>34.79567307692308</v>
      </c>
      <c r="G213" s="98"/>
      <c r="H213" s="98"/>
      <c r="I213" s="32"/>
      <c r="J213" s="32"/>
      <c r="K213" s="32"/>
      <c r="L213" s="32"/>
      <c r="M213" s="32"/>
      <c r="N213" s="32">
        <v>3.08</v>
      </c>
      <c r="O213" s="32"/>
      <c r="P213" s="32"/>
      <c r="Q213" s="32">
        <v>10</v>
      </c>
      <c r="R213" s="32"/>
      <c r="S213" s="32"/>
      <c r="T213" s="32"/>
      <c r="U213" s="32"/>
      <c r="V213" s="32">
        <v>10</v>
      </c>
      <c r="W213" s="32"/>
      <c r="X213" s="32"/>
      <c r="Y213" s="32"/>
      <c r="Z213" s="32">
        <v>42</v>
      </c>
      <c r="AA213" s="98">
        <f t="shared" si="297"/>
        <v>65.08</v>
      </c>
      <c r="AB213" s="98">
        <v>65.08</v>
      </c>
      <c r="AC213" s="98">
        <f t="shared" si="310"/>
        <v>0</v>
      </c>
      <c r="AD213" s="100">
        <f t="shared" si="314"/>
        <v>0</v>
      </c>
      <c r="AE213" s="100">
        <f t="shared" si="315"/>
        <v>0</v>
      </c>
      <c r="AF213" s="100">
        <f t="shared" si="316"/>
        <v>0</v>
      </c>
      <c r="AG213" s="100">
        <f t="shared" si="317"/>
        <v>0</v>
      </c>
      <c r="AH213" s="100">
        <f t="shared" si="318"/>
        <v>0</v>
      </c>
      <c r="AI213" s="100">
        <f t="shared" si="319"/>
        <v>0</v>
      </c>
      <c r="AJ213" s="100">
        <f t="shared" si="320"/>
        <v>0</v>
      </c>
      <c r="AK213" s="100">
        <f t="shared" si="321"/>
        <v>3.08</v>
      </c>
      <c r="AL213" s="100">
        <f t="shared" si="298"/>
        <v>0</v>
      </c>
      <c r="AM213" s="100">
        <f t="shared" si="322"/>
        <v>0</v>
      </c>
      <c r="AN213" s="100">
        <f t="shared" si="323"/>
        <v>10</v>
      </c>
      <c r="AO213" s="100">
        <f t="shared" si="324"/>
        <v>0</v>
      </c>
      <c r="AP213" s="100">
        <f t="shared" si="325"/>
        <v>0</v>
      </c>
      <c r="AQ213" s="100">
        <f t="shared" si="326"/>
        <v>0</v>
      </c>
      <c r="AR213" s="100">
        <f t="shared" si="327"/>
        <v>0</v>
      </c>
      <c r="AS213" s="100">
        <f t="shared" si="328"/>
        <v>10</v>
      </c>
      <c r="AT213" s="100">
        <f t="shared" si="299"/>
        <v>0</v>
      </c>
      <c r="AU213" s="100">
        <f t="shared" si="311"/>
        <v>0</v>
      </c>
      <c r="AV213" s="100">
        <f t="shared" si="300"/>
        <v>0</v>
      </c>
      <c r="AW213" s="100">
        <f t="shared" si="312"/>
        <v>42</v>
      </c>
      <c r="AX213">
        <f t="shared" si="313"/>
        <v>65.08</v>
      </c>
      <c r="AY213" s="98">
        <f t="shared" si="301"/>
        <v>0</v>
      </c>
      <c r="AZ213" s="98">
        <f t="shared" si="302"/>
        <v>0</v>
      </c>
      <c r="BA213" s="98">
        <f t="shared" si="267"/>
        <v>0</v>
      </c>
      <c r="BB213" s="98">
        <f t="shared" si="303"/>
        <v>0</v>
      </c>
      <c r="BC213" s="98">
        <f t="shared" si="268"/>
        <v>0</v>
      </c>
      <c r="BD213" s="98">
        <f t="shared" si="269"/>
        <v>0</v>
      </c>
      <c r="BE213" s="98">
        <f t="shared" si="270"/>
        <v>0</v>
      </c>
      <c r="BF213" s="98">
        <f t="shared" si="304"/>
        <v>107.17067307692309</v>
      </c>
      <c r="BG213" s="98">
        <f t="shared" si="305"/>
        <v>0</v>
      </c>
      <c r="BH213" s="98">
        <f t="shared" si="271"/>
        <v>0</v>
      </c>
      <c r="BI213" s="98">
        <f t="shared" si="272"/>
        <v>347.95673076923083</v>
      </c>
      <c r="BJ213" s="98">
        <f t="shared" si="273"/>
        <v>0</v>
      </c>
      <c r="BK213" s="98">
        <f t="shared" si="274"/>
        <v>0</v>
      </c>
      <c r="BL213" s="98">
        <f t="shared" si="306"/>
        <v>0</v>
      </c>
      <c r="BM213" s="98">
        <f t="shared" si="275"/>
        <v>0</v>
      </c>
      <c r="BN213" s="98">
        <f t="shared" si="276"/>
        <v>347.95673076923083</v>
      </c>
      <c r="BO213" s="98">
        <f t="shared" si="307"/>
        <v>0</v>
      </c>
      <c r="BP213" s="98">
        <f t="shared" si="277"/>
        <v>0</v>
      </c>
      <c r="BQ213" s="98">
        <f t="shared" si="308"/>
        <v>0</v>
      </c>
      <c r="BR213" s="98">
        <f t="shared" si="278"/>
        <v>1461.4182692307693</v>
      </c>
    </row>
    <row r="214" spans="1:70" x14ac:dyDescent="0.25">
      <c r="A214" t="s">
        <v>75</v>
      </c>
      <c r="B214" t="s">
        <v>12</v>
      </c>
      <c r="C214">
        <v>2025</v>
      </c>
      <c r="D214" s="98">
        <f>INDEX('Reference Sheet'!$G$9:$J$100, MATCH(A214,'Reference Sheet'!$F$9:$F$100,0), MATCH(C214,'Reference Sheet'!$G$8:$J$8,0))/2080</f>
        <v>34.79567307692308</v>
      </c>
      <c r="E214" s="99">
        <v>0</v>
      </c>
      <c r="F214" s="98">
        <f t="shared" si="309"/>
        <v>34.79567307692308</v>
      </c>
      <c r="G214" s="98"/>
      <c r="H214" s="98"/>
      <c r="I214" s="32"/>
      <c r="J214" s="32"/>
      <c r="K214" s="32"/>
      <c r="L214" s="32"/>
      <c r="M214" s="32"/>
      <c r="N214" s="32">
        <v>3.08</v>
      </c>
      <c r="O214" s="32"/>
      <c r="P214" s="32"/>
      <c r="Q214" s="32">
        <v>10</v>
      </c>
      <c r="R214" s="32"/>
      <c r="S214" s="32"/>
      <c r="T214" s="32"/>
      <c r="U214" s="32"/>
      <c r="V214" s="32">
        <v>10</v>
      </c>
      <c r="W214" s="32"/>
      <c r="X214" s="32"/>
      <c r="Y214" s="32"/>
      <c r="Z214" s="32">
        <v>42</v>
      </c>
      <c r="AA214" s="98">
        <f t="shared" si="297"/>
        <v>65.08</v>
      </c>
      <c r="AB214" s="98">
        <v>65.08</v>
      </c>
      <c r="AC214" s="98">
        <f t="shared" si="310"/>
        <v>0</v>
      </c>
      <c r="AD214" s="100">
        <f t="shared" si="314"/>
        <v>0</v>
      </c>
      <c r="AE214" s="100">
        <f t="shared" si="315"/>
        <v>0</v>
      </c>
      <c r="AF214" s="100">
        <f t="shared" si="316"/>
        <v>0</v>
      </c>
      <c r="AG214" s="100">
        <f t="shared" si="317"/>
        <v>0</v>
      </c>
      <c r="AH214" s="100">
        <f t="shared" si="318"/>
        <v>0</v>
      </c>
      <c r="AI214" s="100">
        <f t="shared" si="319"/>
        <v>0</v>
      </c>
      <c r="AJ214" s="100">
        <f t="shared" si="320"/>
        <v>0</v>
      </c>
      <c r="AK214" s="100">
        <f t="shared" si="321"/>
        <v>3.08</v>
      </c>
      <c r="AL214" s="100">
        <f t="shared" si="298"/>
        <v>0</v>
      </c>
      <c r="AM214" s="100">
        <f t="shared" si="322"/>
        <v>0</v>
      </c>
      <c r="AN214" s="100">
        <f t="shared" si="323"/>
        <v>10</v>
      </c>
      <c r="AO214" s="100">
        <f t="shared" si="324"/>
        <v>0</v>
      </c>
      <c r="AP214" s="100">
        <f t="shared" si="325"/>
        <v>0</v>
      </c>
      <c r="AQ214" s="100">
        <f t="shared" si="326"/>
        <v>0</v>
      </c>
      <c r="AR214" s="100">
        <f t="shared" si="327"/>
        <v>0</v>
      </c>
      <c r="AS214" s="100">
        <f t="shared" si="328"/>
        <v>10</v>
      </c>
      <c r="AT214" s="100">
        <f t="shared" si="299"/>
        <v>0</v>
      </c>
      <c r="AU214" s="100">
        <f t="shared" si="311"/>
        <v>0</v>
      </c>
      <c r="AV214" s="100">
        <f t="shared" si="300"/>
        <v>0</v>
      </c>
      <c r="AW214" s="100">
        <f t="shared" si="312"/>
        <v>42</v>
      </c>
      <c r="AX214">
        <f t="shared" si="313"/>
        <v>65.08</v>
      </c>
      <c r="AY214" s="98">
        <f t="shared" si="301"/>
        <v>0</v>
      </c>
      <c r="AZ214" s="98">
        <f t="shared" si="302"/>
        <v>0</v>
      </c>
      <c r="BA214" s="98">
        <f t="shared" si="267"/>
        <v>0</v>
      </c>
      <c r="BB214" s="98">
        <f t="shared" si="303"/>
        <v>0</v>
      </c>
      <c r="BC214" s="98">
        <f t="shared" si="268"/>
        <v>0</v>
      </c>
      <c r="BD214" s="98">
        <f t="shared" si="269"/>
        <v>0</v>
      </c>
      <c r="BE214" s="98">
        <f t="shared" si="270"/>
        <v>0</v>
      </c>
      <c r="BF214" s="98">
        <f t="shared" si="304"/>
        <v>107.17067307692309</v>
      </c>
      <c r="BG214" s="98">
        <f t="shared" si="305"/>
        <v>0</v>
      </c>
      <c r="BH214" s="98">
        <f t="shared" si="271"/>
        <v>0</v>
      </c>
      <c r="BI214" s="98">
        <f t="shared" si="272"/>
        <v>347.95673076923083</v>
      </c>
      <c r="BJ214" s="98">
        <f t="shared" si="273"/>
        <v>0</v>
      </c>
      <c r="BK214" s="98">
        <f t="shared" si="274"/>
        <v>0</v>
      </c>
      <c r="BL214" s="98">
        <f t="shared" si="306"/>
        <v>0</v>
      </c>
      <c r="BM214" s="98">
        <f t="shared" si="275"/>
        <v>0</v>
      </c>
      <c r="BN214" s="98">
        <f t="shared" si="276"/>
        <v>347.95673076923083</v>
      </c>
      <c r="BO214" s="98">
        <f t="shared" si="307"/>
        <v>0</v>
      </c>
      <c r="BP214" s="98">
        <f t="shared" si="277"/>
        <v>0</v>
      </c>
      <c r="BQ214" s="98">
        <f t="shared" si="308"/>
        <v>0</v>
      </c>
      <c r="BR214" s="98">
        <f t="shared" si="278"/>
        <v>1461.4182692307693</v>
      </c>
    </row>
    <row r="215" spans="1:70" x14ac:dyDescent="0.25">
      <c r="A215" t="s">
        <v>75</v>
      </c>
      <c r="B215" t="s">
        <v>13</v>
      </c>
      <c r="C215">
        <v>2025</v>
      </c>
      <c r="D215" s="98">
        <f>INDEX('Reference Sheet'!$G$9:$J$100, MATCH(A215,'Reference Sheet'!$F$9:$F$100,0), MATCH(C215,'Reference Sheet'!$G$8:$J$8,0))/2080</f>
        <v>34.79567307692308</v>
      </c>
      <c r="E215" s="99">
        <v>0</v>
      </c>
      <c r="F215" s="98">
        <f t="shared" si="309"/>
        <v>34.79567307692308</v>
      </c>
      <c r="G215" s="98"/>
      <c r="H215" s="98"/>
      <c r="I215" s="32"/>
      <c r="J215" s="32"/>
      <c r="K215" s="32"/>
      <c r="L215" s="32"/>
      <c r="M215" s="32"/>
      <c r="N215" s="32">
        <v>3.08</v>
      </c>
      <c r="O215" s="32"/>
      <c r="P215" s="32"/>
      <c r="Q215" s="32">
        <v>10</v>
      </c>
      <c r="R215" s="32"/>
      <c r="S215" s="32"/>
      <c r="T215" s="32"/>
      <c r="U215" s="32"/>
      <c r="V215" s="32">
        <v>10</v>
      </c>
      <c r="W215" s="32"/>
      <c r="X215" s="32"/>
      <c r="Y215" s="32"/>
      <c r="Z215" s="32">
        <v>42</v>
      </c>
      <c r="AA215" s="98">
        <f t="shared" si="297"/>
        <v>65.08</v>
      </c>
      <c r="AB215" s="98">
        <v>65.08</v>
      </c>
      <c r="AC215" s="98">
        <f t="shared" si="310"/>
        <v>0</v>
      </c>
      <c r="AD215" s="100">
        <f t="shared" si="314"/>
        <v>0</v>
      </c>
      <c r="AE215" s="100">
        <f t="shared" si="315"/>
        <v>0</v>
      </c>
      <c r="AF215" s="100">
        <f t="shared" si="316"/>
        <v>0</v>
      </c>
      <c r="AG215" s="100">
        <f t="shared" si="317"/>
        <v>0</v>
      </c>
      <c r="AH215" s="100">
        <f t="shared" si="318"/>
        <v>0</v>
      </c>
      <c r="AI215" s="100">
        <f t="shared" si="319"/>
        <v>0</v>
      </c>
      <c r="AJ215" s="100">
        <f t="shared" si="320"/>
        <v>0</v>
      </c>
      <c r="AK215" s="100">
        <f t="shared" si="321"/>
        <v>3.08</v>
      </c>
      <c r="AL215" s="100">
        <f t="shared" si="298"/>
        <v>0</v>
      </c>
      <c r="AM215" s="100">
        <f t="shared" si="322"/>
        <v>0</v>
      </c>
      <c r="AN215" s="100">
        <f t="shared" si="323"/>
        <v>10</v>
      </c>
      <c r="AO215" s="100">
        <f t="shared" si="324"/>
        <v>0</v>
      </c>
      <c r="AP215" s="100">
        <f t="shared" si="325"/>
        <v>0</v>
      </c>
      <c r="AQ215" s="100">
        <f t="shared" si="326"/>
        <v>0</v>
      </c>
      <c r="AR215" s="100">
        <f t="shared" si="327"/>
        <v>0</v>
      </c>
      <c r="AS215" s="100">
        <f t="shared" si="328"/>
        <v>10</v>
      </c>
      <c r="AT215" s="100">
        <f t="shared" si="299"/>
        <v>0</v>
      </c>
      <c r="AU215" s="100">
        <f t="shared" si="311"/>
        <v>0</v>
      </c>
      <c r="AV215" s="100">
        <f t="shared" si="300"/>
        <v>0</v>
      </c>
      <c r="AW215" s="100">
        <f t="shared" si="312"/>
        <v>42</v>
      </c>
      <c r="AX215">
        <f t="shared" si="313"/>
        <v>65.08</v>
      </c>
      <c r="AY215" s="98">
        <f t="shared" si="301"/>
        <v>0</v>
      </c>
      <c r="AZ215" s="98">
        <f t="shared" si="302"/>
        <v>0</v>
      </c>
      <c r="BA215" s="98">
        <f t="shared" si="267"/>
        <v>0</v>
      </c>
      <c r="BB215" s="98">
        <f t="shared" si="303"/>
        <v>0</v>
      </c>
      <c r="BC215" s="98">
        <f t="shared" si="268"/>
        <v>0</v>
      </c>
      <c r="BD215" s="98">
        <f t="shared" si="269"/>
        <v>0</v>
      </c>
      <c r="BE215" s="98">
        <f t="shared" si="270"/>
        <v>0</v>
      </c>
      <c r="BF215" s="98">
        <f t="shared" si="304"/>
        <v>107.17067307692309</v>
      </c>
      <c r="BG215" s="98">
        <f t="shared" si="305"/>
        <v>0</v>
      </c>
      <c r="BH215" s="98">
        <f t="shared" si="271"/>
        <v>0</v>
      </c>
      <c r="BI215" s="98">
        <f t="shared" si="272"/>
        <v>347.95673076923083</v>
      </c>
      <c r="BJ215" s="98">
        <f t="shared" si="273"/>
        <v>0</v>
      </c>
      <c r="BK215" s="98">
        <f t="shared" si="274"/>
        <v>0</v>
      </c>
      <c r="BL215" s="98">
        <f t="shared" si="306"/>
        <v>0</v>
      </c>
      <c r="BM215" s="98">
        <f t="shared" si="275"/>
        <v>0</v>
      </c>
      <c r="BN215" s="98">
        <f t="shared" si="276"/>
        <v>347.95673076923083</v>
      </c>
      <c r="BO215" s="98">
        <f t="shared" si="307"/>
        <v>0</v>
      </c>
      <c r="BP215" s="98">
        <f t="shared" si="277"/>
        <v>0</v>
      </c>
      <c r="BQ215" s="98">
        <f t="shared" si="308"/>
        <v>0</v>
      </c>
      <c r="BR215" s="98">
        <f t="shared" si="278"/>
        <v>1461.4182692307693</v>
      </c>
    </row>
    <row r="216" spans="1:70" x14ac:dyDescent="0.25">
      <c r="A216" t="s">
        <v>75</v>
      </c>
      <c r="B216" t="s">
        <v>14</v>
      </c>
      <c r="C216">
        <v>2025</v>
      </c>
      <c r="D216" s="98">
        <f>INDEX('Reference Sheet'!$G$9:$J$100, MATCH(A216,'Reference Sheet'!$F$9:$F$100,0), MATCH(C216,'Reference Sheet'!$G$8:$J$8,0))/2080</f>
        <v>34.79567307692308</v>
      </c>
      <c r="E216" s="99">
        <v>0</v>
      </c>
      <c r="F216" s="98">
        <f t="shared" si="309"/>
        <v>34.79567307692308</v>
      </c>
      <c r="G216" s="98"/>
      <c r="H216" s="98"/>
      <c r="I216" s="32"/>
      <c r="J216" s="32"/>
      <c r="K216" s="32"/>
      <c r="L216" s="32"/>
      <c r="M216" s="32"/>
      <c r="N216" s="32">
        <v>3.08</v>
      </c>
      <c r="O216" s="32"/>
      <c r="P216" s="32"/>
      <c r="Q216" s="32">
        <v>10</v>
      </c>
      <c r="R216" s="32"/>
      <c r="S216" s="32"/>
      <c r="T216" s="32"/>
      <c r="U216" s="32"/>
      <c r="V216" s="32">
        <v>10</v>
      </c>
      <c r="W216" s="32"/>
      <c r="X216" s="32"/>
      <c r="Y216" s="32"/>
      <c r="Z216" s="32">
        <v>42</v>
      </c>
      <c r="AA216" s="98">
        <f t="shared" si="297"/>
        <v>65.08</v>
      </c>
      <c r="AB216" s="98">
        <v>65.08</v>
      </c>
      <c r="AC216" s="98">
        <f t="shared" si="310"/>
        <v>0</v>
      </c>
      <c r="AD216" s="100">
        <f t="shared" si="314"/>
        <v>0</v>
      </c>
      <c r="AE216" s="100">
        <f t="shared" si="315"/>
        <v>0</v>
      </c>
      <c r="AF216" s="100">
        <f t="shared" si="316"/>
        <v>0</v>
      </c>
      <c r="AG216" s="100">
        <f t="shared" si="317"/>
        <v>0</v>
      </c>
      <c r="AH216" s="100">
        <f t="shared" si="318"/>
        <v>0</v>
      </c>
      <c r="AI216" s="100">
        <f t="shared" si="319"/>
        <v>0</v>
      </c>
      <c r="AJ216" s="100">
        <f t="shared" si="320"/>
        <v>0</v>
      </c>
      <c r="AK216" s="100">
        <f t="shared" si="321"/>
        <v>3.08</v>
      </c>
      <c r="AL216" s="100">
        <f t="shared" si="298"/>
        <v>0</v>
      </c>
      <c r="AM216" s="100">
        <f t="shared" si="322"/>
        <v>0</v>
      </c>
      <c r="AN216" s="100">
        <f t="shared" si="323"/>
        <v>10</v>
      </c>
      <c r="AO216" s="100">
        <f t="shared" si="324"/>
        <v>0</v>
      </c>
      <c r="AP216" s="100">
        <f t="shared" si="325"/>
        <v>0</v>
      </c>
      <c r="AQ216" s="100">
        <f t="shared" si="326"/>
        <v>0</v>
      </c>
      <c r="AR216" s="100">
        <f t="shared" si="327"/>
        <v>0</v>
      </c>
      <c r="AS216" s="100">
        <f t="shared" si="328"/>
        <v>10</v>
      </c>
      <c r="AT216" s="100">
        <f t="shared" si="299"/>
        <v>0</v>
      </c>
      <c r="AU216" s="100">
        <f t="shared" si="311"/>
        <v>0</v>
      </c>
      <c r="AV216" s="100">
        <f t="shared" si="300"/>
        <v>0</v>
      </c>
      <c r="AW216" s="100">
        <f t="shared" si="312"/>
        <v>42</v>
      </c>
      <c r="AX216">
        <f t="shared" si="313"/>
        <v>65.08</v>
      </c>
      <c r="AY216" s="98">
        <f t="shared" si="301"/>
        <v>0</v>
      </c>
      <c r="AZ216" s="98">
        <f t="shared" si="302"/>
        <v>0</v>
      </c>
      <c r="BA216" s="98">
        <f t="shared" si="267"/>
        <v>0</v>
      </c>
      <c r="BB216" s="98">
        <f t="shared" si="303"/>
        <v>0</v>
      </c>
      <c r="BC216" s="98">
        <f t="shared" si="268"/>
        <v>0</v>
      </c>
      <c r="BD216" s="98">
        <f t="shared" si="269"/>
        <v>0</v>
      </c>
      <c r="BE216" s="98">
        <f t="shared" si="270"/>
        <v>0</v>
      </c>
      <c r="BF216" s="98">
        <f t="shared" si="304"/>
        <v>107.17067307692309</v>
      </c>
      <c r="BG216" s="98">
        <f t="shared" si="305"/>
        <v>0</v>
      </c>
      <c r="BH216" s="98">
        <f t="shared" si="271"/>
        <v>0</v>
      </c>
      <c r="BI216" s="98">
        <f t="shared" si="272"/>
        <v>347.95673076923083</v>
      </c>
      <c r="BJ216" s="98">
        <f t="shared" si="273"/>
        <v>0</v>
      </c>
      <c r="BK216" s="98">
        <f t="shared" si="274"/>
        <v>0</v>
      </c>
      <c r="BL216" s="98">
        <f t="shared" si="306"/>
        <v>0</v>
      </c>
      <c r="BM216" s="98">
        <f t="shared" si="275"/>
        <v>0</v>
      </c>
      <c r="BN216" s="98">
        <f t="shared" si="276"/>
        <v>347.95673076923083</v>
      </c>
      <c r="BO216" s="98">
        <f t="shared" si="307"/>
        <v>0</v>
      </c>
      <c r="BP216" s="98">
        <f t="shared" si="277"/>
        <v>0</v>
      </c>
      <c r="BQ216" s="98">
        <f t="shared" si="308"/>
        <v>0</v>
      </c>
      <c r="BR216" s="98">
        <f t="shared" si="278"/>
        <v>1461.4182692307693</v>
      </c>
    </row>
    <row r="217" spans="1:70" x14ac:dyDescent="0.25">
      <c r="A217" t="s">
        <v>75</v>
      </c>
      <c r="B217" t="s">
        <v>15</v>
      </c>
      <c r="C217">
        <v>2025</v>
      </c>
      <c r="D217" s="98">
        <f>INDEX('Reference Sheet'!$G$9:$J$100, MATCH(A217,'Reference Sheet'!$F$9:$F$100,0), MATCH(C217,'Reference Sheet'!$G$8:$J$8,0))/2080</f>
        <v>34.79567307692308</v>
      </c>
      <c r="E217" s="99">
        <v>0</v>
      </c>
      <c r="F217" s="98">
        <f t="shared" si="309"/>
        <v>34.79567307692308</v>
      </c>
      <c r="G217" s="98"/>
      <c r="H217" s="98"/>
      <c r="I217" s="32"/>
      <c r="J217" s="32"/>
      <c r="K217" s="32"/>
      <c r="L217" s="32"/>
      <c r="M217" s="32"/>
      <c r="N217" s="32">
        <v>3.08</v>
      </c>
      <c r="O217" s="32"/>
      <c r="P217" s="32"/>
      <c r="Q217" s="32">
        <v>10</v>
      </c>
      <c r="R217" s="32"/>
      <c r="S217" s="32"/>
      <c r="T217" s="32"/>
      <c r="U217" s="32"/>
      <c r="V217" s="32">
        <v>10</v>
      </c>
      <c r="W217" s="32"/>
      <c r="X217" s="32"/>
      <c r="Y217" s="32"/>
      <c r="Z217" s="32">
        <v>42</v>
      </c>
      <c r="AA217" s="98">
        <f t="shared" si="297"/>
        <v>65.08</v>
      </c>
      <c r="AB217" s="98">
        <v>65.08</v>
      </c>
      <c r="AC217" s="98">
        <f t="shared" si="310"/>
        <v>0</v>
      </c>
      <c r="AD217" s="100">
        <f t="shared" si="314"/>
        <v>0</v>
      </c>
      <c r="AE217" s="100">
        <f t="shared" si="315"/>
        <v>0</v>
      </c>
      <c r="AF217" s="100">
        <f t="shared" si="316"/>
        <v>0</v>
      </c>
      <c r="AG217" s="100">
        <f t="shared" si="317"/>
        <v>0</v>
      </c>
      <c r="AH217" s="100">
        <f t="shared" si="318"/>
        <v>0</v>
      </c>
      <c r="AI217" s="100">
        <f t="shared" si="319"/>
        <v>0</v>
      </c>
      <c r="AJ217" s="100">
        <f t="shared" si="320"/>
        <v>0</v>
      </c>
      <c r="AK217" s="100">
        <f t="shared" si="321"/>
        <v>3.08</v>
      </c>
      <c r="AL217" s="100">
        <f t="shared" si="298"/>
        <v>0</v>
      </c>
      <c r="AM217" s="100">
        <f t="shared" si="322"/>
        <v>0</v>
      </c>
      <c r="AN217" s="100">
        <f t="shared" si="323"/>
        <v>10</v>
      </c>
      <c r="AO217" s="100">
        <f t="shared" si="324"/>
        <v>0</v>
      </c>
      <c r="AP217" s="100">
        <f t="shared" si="325"/>
        <v>0</v>
      </c>
      <c r="AQ217" s="100">
        <f t="shared" si="326"/>
        <v>0</v>
      </c>
      <c r="AR217" s="100">
        <f t="shared" si="327"/>
        <v>0</v>
      </c>
      <c r="AS217" s="100">
        <f t="shared" si="328"/>
        <v>10</v>
      </c>
      <c r="AT217" s="100">
        <f t="shared" si="299"/>
        <v>0</v>
      </c>
      <c r="AU217" s="100">
        <f t="shared" si="311"/>
        <v>0</v>
      </c>
      <c r="AV217" s="100">
        <f t="shared" si="300"/>
        <v>0</v>
      </c>
      <c r="AW217" s="100">
        <f t="shared" si="312"/>
        <v>42</v>
      </c>
      <c r="AX217">
        <f t="shared" si="313"/>
        <v>65.08</v>
      </c>
      <c r="AY217" s="98">
        <f t="shared" si="301"/>
        <v>0</v>
      </c>
      <c r="AZ217" s="98">
        <f t="shared" si="302"/>
        <v>0</v>
      </c>
      <c r="BA217" s="98">
        <f t="shared" si="267"/>
        <v>0</v>
      </c>
      <c r="BB217" s="98">
        <f t="shared" si="303"/>
        <v>0</v>
      </c>
      <c r="BC217" s="98">
        <f t="shared" si="268"/>
        <v>0</v>
      </c>
      <c r="BD217" s="98">
        <f t="shared" si="269"/>
        <v>0</v>
      </c>
      <c r="BE217" s="98">
        <f t="shared" si="270"/>
        <v>0</v>
      </c>
      <c r="BF217" s="98">
        <f t="shared" si="304"/>
        <v>107.17067307692309</v>
      </c>
      <c r="BG217" s="98">
        <f t="shared" si="305"/>
        <v>0</v>
      </c>
      <c r="BH217" s="98">
        <f t="shared" si="271"/>
        <v>0</v>
      </c>
      <c r="BI217" s="98">
        <f t="shared" si="272"/>
        <v>347.95673076923083</v>
      </c>
      <c r="BJ217" s="98">
        <f t="shared" si="273"/>
        <v>0</v>
      </c>
      <c r="BK217" s="98">
        <f t="shared" si="274"/>
        <v>0</v>
      </c>
      <c r="BL217" s="98">
        <f t="shared" si="306"/>
        <v>0</v>
      </c>
      <c r="BM217" s="98">
        <f t="shared" si="275"/>
        <v>0</v>
      </c>
      <c r="BN217" s="98">
        <f t="shared" si="276"/>
        <v>347.95673076923083</v>
      </c>
      <c r="BO217" s="98">
        <f t="shared" si="307"/>
        <v>0</v>
      </c>
      <c r="BP217" s="98">
        <f t="shared" si="277"/>
        <v>0</v>
      </c>
      <c r="BQ217" s="98">
        <f t="shared" si="308"/>
        <v>0</v>
      </c>
      <c r="BR217" s="98">
        <f t="shared" si="278"/>
        <v>1461.4182692307693</v>
      </c>
    </row>
    <row r="218" spans="1:70" x14ac:dyDescent="0.25">
      <c r="A218" t="s">
        <v>75</v>
      </c>
      <c r="B218" t="s">
        <v>16</v>
      </c>
      <c r="C218">
        <v>2025</v>
      </c>
      <c r="D218" s="98">
        <f>INDEX('Reference Sheet'!$G$9:$J$100, MATCH(A218,'Reference Sheet'!$F$9:$F$100,0), MATCH(C218,'Reference Sheet'!$G$8:$J$8,0))/2080</f>
        <v>34.79567307692308</v>
      </c>
      <c r="E218" s="99">
        <v>0</v>
      </c>
      <c r="F218" s="98">
        <f t="shared" si="309"/>
        <v>34.79567307692308</v>
      </c>
      <c r="G218" s="98"/>
      <c r="H218" s="98"/>
      <c r="I218" s="32"/>
      <c r="J218" s="32"/>
      <c r="K218" s="32"/>
      <c r="L218" s="32"/>
      <c r="M218" s="32"/>
      <c r="N218" s="32">
        <v>3.08</v>
      </c>
      <c r="O218" s="32"/>
      <c r="P218" s="32"/>
      <c r="Q218" s="32">
        <v>10</v>
      </c>
      <c r="R218" s="32"/>
      <c r="S218" s="32"/>
      <c r="T218" s="32"/>
      <c r="U218" s="32"/>
      <c r="V218" s="32">
        <v>10</v>
      </c>
      <c r="W218" s="32"/>
      <c r="X218" s="32"/>
      <c r="Y218" s="32"/>
      <c r="Z218" s="32">
        <v>42</v>
      </c>
      <c r="AA218" s="98">
        <f t="shared" si="297"/>
        <v>65.08</v>
      </c>
      <c r="AB218" s="98">
        <v>65.08</v>
      </c>
      <c r="AC218" s="98">
        <f t="shared" si="310"/>
        <v>0</v>
      </c>
      <c r="AD218" s="100">
        <f t="shared" si="314"/>
        <v>0</v>
      </c>
      <c r="AE218" s="100">
        <f t="shared" si="315"/>
        <v>0</v>
      </c>
      <c r="AF218" s="100">
        <f t="shared" si="316"/>
        <v>0</v>
      </c>
      <c r="AG218" s="100">
        <f t="shared" si="317"/>
        <v>0</v>
      </c>
      <c r="AH218" s="100">
        <f t="shared" si="318"/>
        <v>0</v>
      </c>
      <c r="AI218" s="100">
        <f t="shared" si="319"/>
        <v>0</v>
      </c>
      <c r="AJ218" s="100">
        <f t="shared" si="320"/>
        <v>0</v>
      </c>
      <c r="AK218" s="100">
        <f t="shared" si="321"/>
        <v>3.08</v>
      </c>
      <c r="AL218" s="100">
        <f t="shared" si="298"/>
        <v>0</v>
      </c>
      <c r="AM218" s="100">
        <f t="shared" si="322"/>
        <v>0</v>
      </c>
      <c r="AN218" s="100">
        <f t="shared" si="323"/>
        <v>10</v>
      </c>
      <c r="AO218" s="100">
        <f t="shared" si="324"/>
        <v>0</v>
      </c>
      <c r="AP218" s="100">
        <f t="shared" si="325"/>
        <v>0</v>
      </c>
      <c r="AQ218" s="100">
        <f t="shared" si="326"/>
        <v>0</v>
      </c>
      <c r="AR218" s="100">
        <f t="shared" si="327"/>
        <v>0</v>
      </c>
      <c r="AS218" s="100">
        <f t="shared" si="328"/>
        <v>10</v>
      </c>
      <c r="AT218" s="100">
        <f t="shared" si="299"/>
        <v>0</v>
      </c>
      <c r="AU218" s="100">
        <f t="shared" si="311"/>
        <v>0</v>
      </c>
      <c r="AV218" s="100">
        <f t="shared" si="300"/>
        <v>0</v>
      </c>
      <c r="AW218" s="100">
        <f t="shared" si="312"/>
        <v>42</v>
      </c>
      <c r="AX218">
        <f t="shared" si="313"/>
        <v>65.08</v>
      </c>
      <c r="AY218" s="98">
        <f t="shared" si="301"/>
        <v>0</v>
      </c>
      <c r="AZ218" s="98">
        <f t="shared" si="302"/>
        <v>0</v>
      </c>
      <c r="BA218" s="98">
        <f t="shared" si="267"/>
        <v>0</v>
      </c>
      <c r="BB218" s="98">
        <f t="shared" si="303"/>
        <v>0</v>
      </c>
      <c r="BC218" s="98">
        <f t="shared" si="268"/>
        <v>0</v>
      </c>
      <c r="BD218" s="98">
        <f t="shared" si="269"/>
        <v>0</v>
      </c>
      <c r="BE218" s="98">
        <f t="shared" si="270"/>
        <v>0</v>
      </c>
      <c r="BF218" s="98">
        <f t="shared" si="304"/>
        <v>107.17067307692309</v>
      </c>
      <c r="BG218" s="98">
        <f t="shared" si="305"/>
        <v>0</v>
      </c>
      <c r="BH218" s="98">
        <f t="shared" si="271"/>
        <v>0</v>
      </c>
      <c r="BI218" s="98">
        <f t="shared" si="272"/>
        <v>347.95673076923083</v>
      </c>
      <c r="BJ218" s="98">
        <f t="shared" si="273"/>
        <v>0</v>
      </c>
      <c r="BK218" s="98">
        <f t="shared" si="274"/>
        <v>0</v>
      </c>
      <c r="BL218" s="98">
        <f t="shared" si="306"/>
        <v>0</v>
      </c>
      <c r="BM218" s="98">
        <f t="shared" si="275"/>
        <v>0</v>
      </c>
      <c r="BN218" s="98">
        <f t="shared" si="276"/>
        <v>347.95673076923083</v>
      </c>
      <c r="BO218" s="98">
        <f t="shared" si="307"/>
        <v>0</v>
      </c>
      <c r="BP218" s="98">
        <f t="shared" si="277"/>
        <v>0</v>
      </c>
      <c r="BQ218" s="98">
        <f t="shared" si="308"/>
        <v>0</v>
      </c>
      <c r="BR218" s="98">
        <f t="shared" si="278"/>
        <v>1461.4182692307693</v>
      </c>
    </row>
    <row r="219" spans="1:70" x14ac:dyDescent="0.25">
      <c r="A219" t="s">
        <v>75</v>
      </c>
      <c r="B219" t="s">
        <v>17</v>
      </c>
      <c r="C219">
        <v>2025</v>
      </c>
      <c r="D219" s="98">
        <f>INDEX('Reference Sheet'!$G$9:$J$100, MATCH(A219,'Reference Sheet'!$F$9:$F$100,0), MATCH(C219,'Reference Sheet'!$G$8:$J$8,0))/2080</f>
        <v>34.79567307692308</v>
      </c>
      <c r="E219" s="99">
        <v>0</v>
      </c>
      <c r="F219" s="98">
        <f t="shared" si="309"/>
        <v>34.79567307692308</v>
      </c>
      <c r="G219" s="98"/>
      <c r="H219" s="98"/>
      <c r="I219" s="32"/>
      <c r="J219" s="32"/>
      <c r="K219" s="32"/>
      <c r="L219" s="32"/>
      <c r="M219" s="32"/>
      <c r="N219" s="32">
        <v>3.12</v>
      </c>
      <c r="O219" s="32"/>
      <c r="P219" s="32"/>
      <c r="Q219" s="32">
        <v>10</v>
      </c>
      <c r="R219" s="32"/>
      <c r="S219" s="32"/>
      <c r="T219" s="32"/>
      <c r="U219" s="32"/>
      <c r="V219" s="32">
        <v>10</v>
      </c>
      <c r="W219" s="32"/>
      <c r="X219" s="32"/>
      <c r="Y219" s="32"/>
      <c r="Z219" s="32">
        <v>42</v>
      </c>
      <c r="AA219" s="98">
        <f t="shared" si="297"/>
        <v>65.12</v>
      </c>
      <c r="AB219" s="98">
        <v>65.12</v>
      </c>
      <c r="AC219" s="98">
        <f t="shared" si="310"/>
        <v>0</v>
      </c>
      <c r="AD219" s="100">
        <f t="shared" si="314"/>
        <v>0</v>
      </c>
      <c r="AE219" s="100">
        <f t="shared" si="315"/>
        <v>0</v>
      </c>
      <c r="AF219" s="100">
        <f t="shared" si="316"/>
        <v>0</v>
      </c>
      <c r="AG219" s="100">
        <f t="shared" si="317"/>
        <v>0</v>
      </c>
      <c r="AH219" s="100">
        <f t="shared" si="318"/>
        <v>0</v>
      </c>
      <c r="AI219" s="100">
        <f t="shared" si="319"/>
        <v>0</v>
      </c>
      <c r="AJ219" s="100">
        <f t="shared" si="320"/>
        <v>0</v>
      </c>
      <c r="AK219" s="100">
        <f t="shared" si="321"/>
        <v>3.12</v>
      </c>
      <c r="AL219" s="100">
        <f t="shared" si="298"/>
        <v>0</v>
      </c>
      <c r="AM219" s="100">
        <f t="shared" si="322"/>
        <v>0</v>
      </c>
      <c r="AN219" s="100">
        <f t="shared" si="323"/>
        <v>10</v>
      </c>
      <c r="AO219" s="100">
        <f t="shared" si="324"/>
        <v>0</v>
      </c>
      <c r="AP219" s="100">
        <f t="shared" si="325"/>
        <v>0</v>
      </c>
      <c r="AQ219" s="100">
        <f t="shared" si="326"/>
        <v>0</v>
      </c>
      <c r="AR219" s="100">
        <f t="shared" si="327"/>
        <v>0</v>
      </c>
      <c r="AS219" s="100">
        <f t="shared" si="328"/>
        <v>10</v>
      </c>
      <c r="AT219" s="100">
        <f t="shared" si="299"/>
        <v>0</v>
      </c>
      <c r="AU219" s="100">
        <f t="shared" si="311"/>
        <v>0</v>
      </c>
      <c r="AV219" s="100">
        <f t="shared" si="300"/>
        <v>0</v>
      </c>
      <c r="AW219" s="100">
        <f t="shared" si="312"/>
        <v>42</v>
      </c>
      <c r="AX219">
        <f t="shared" si="313"/>
        <v>65.12</v>
      </c>
      <c r="AY219" s="98">
        <f t="shared" si="301"/>
        <v>0</v>
      </c>
      <c r="AZ219" s="98">
        <f t="shared" si="302"/>
        <v>0</v>
      </c>
      <c r="BA219" s="98">
        <f t="shared" si="267"/>
        <v>0</v>
      </c>
      <c r="BB219" s="98">
        <f t="shared" si="303"/>
        <v>0</v>
      </c>
      <c r="BC219" s="98">
        <f t="shared" si="268"/>
        <v>0</v>
      </c>
      <c r="BD219" s="98">
        <f t="shared" si="269"/>
        <v>0</v>
      </c>
      <c r="BE219" s="98">
        <f t="shared" si="270"/>
        <v>0</v>
      </c>
      <c r="BF219" s="98">
        <f t="shared" si="304"/>
        <v>108.56250000000001</v>
      </c>
      <c r="BG219" s="98">
        <f t="shared" si="305"/>
        <v>0</v>
      </c>
      <c r="BH219" s="98">
        <f t="shared" si="271"/>
        <v>0</v>
      </c>
      <c r="BI219" s="98">
        <f t="shared" si="272"/>
        <v>347.95673076923083</v>
      </c>
      <c r="BJ219" s="98">
        <f t="shared" si="273"/>
        <v>0</v>
      </c>
      <c r="BK219" s="98">
        <f t="shared" si="274"/>
        <v>0</v>
      </c>
      <c r="BL219" s="98">
        <f t="shared" si="306"/>
        <v>0</v>
      </c>
      <c r="BM219" s="98">
        <f t="shared" si="275"/>
        <v>0</v>
      </c>
      <c r="BN219" s="98">
        <f t="shared" si="276"/>
        <v>347.95673076923083</v>
      </c>
      <c r="BO219" s="98">
        <f t="shared" si="307"/>
        <v>0</v>
      </c>
      <c r="BP219" s="98">
        <f t="shared" si="277"/>
        <v>0</v>
      </c>
      <c r="BQ219" s="98">
        <f t="shared" si="308"/>
        <v>0</v>
      </c>
      <c r="BR219" s="98">
        <f t="shared" si="278"/>
        <v>1461.4182692307693</v>
      </c>
    </row>
    <row r="220" spans="1:70" x14ac:dyDescent="0.25">
      <c r="A220" t="s">
        <v>75</v>
      </c>
      <c r="B220" t="s">
        <v>6</v>
      </c>
      <c r="C220">
        <v>2026</v>
      </c>
      <c r="D220" s="98">
        <f>INDEX('Reference Sheet'!$G$9:$J$100, MATCH(A220,'Reference Sheet'!$F$9:$F$100,0), MATCH(C220,'Reference Sheet'!$G$8:$J$8,0))/2080</f>
        <v>38.942307692307693</v>
      </c>
      <c r="E220" s="99">
        <v>0</v>
      </c>
      <c r="F220" s="98">
        <f t="shared" si="309"/>
        <v>38.942307692307693</v>
      </c>
      <c r="G220" s="98"/>
      <c r="H220" s="98"/>
      <c r="I220" s="32"/>
      <c r="J220" s="32"/>
      <c r="K220" s="32"/>
      <c r="L220" s="32"/>
      <c r="M220" s="32"/>
      <c r="N220" s="32"/>
      <c r="O220" s="32"/>
      <c r="P220" s="32"/>
      <c r="Q220" s="32">
        <v>10</v>
      </c>
      <c r="R220" s="32"/>
      <c r="S220" s="32"/>
      <c r="T220" s="32"/>
      <c r="U220" s="32"/>
      <c r="V220" s="32">
        <v>10</v>
      </c>
      <c r="W220" s="32"/>
      <c r="X220" s="32"/>
      <c r="Y220" s="32"/>
      <c r="Z220" s="32"/>
      <c r="AA220" s="98">
        <f t="shared" si="297"/>
        <v>20</v>
      </c>
      <c r="AB220" s="98">
        <f t="shared" si="296"/>
        <v>20</v>
      </c>
      <c r="AC220" s="98">
        <f t="shared" si="310"/>
        <v>0</v>
      </c>
      <c r="AD220" s="100">
        <f t="shared" si="314"/>
        <v>0</v>
      </c>
      <c r="AE220" s="100">
        <f t="shared" si="315"/>
        <v>0</v>
      </c>
      <c r="AF220" s="100">
        <f t="shared" si="316"/>
        <v>0</v>
      </c>
      <c r="AG220" s="100">
        <f t="shared" si="317"/>
        <v>0</v>
      </c>
      <c r="AH220" s="100">
        <f t="shared" si="318"/>
        <v>0</v>
      </c>
      <c r="AI220" s="100">
        <f t="shared" si="319"/>
        <v>0</v>
      </c>
      <c r="AJ220" s="100">
        <f t="shared" si="320"/>
        <v>0</v>
      </c>
      <c r="AK220" s="100">
        <f t="shared" si="321"/>
        <v>0</v>
      </c>
      <c r="AL220" s="100">
        <f t="shared" si="298"/>
        <v>0</v>
      </c>
      <c r="AM220" s="100">
        <f t="shared" si="322"/>
        <v>0</v>
      </c>
      <c r="AN220" s="100">
        <f t="shared" si="323"/>
        <v>10</v>
      </c>
      <c r="AO220" s="100">
        <f t="shared" si="324"/>
        <v>0</v>
      </c>
      <c r="AP220" s="100">
        <f t="shared" si="325"/>
        <v>0</v>
      </c>
      <c r="AQ220" s="100">
        <f t="shared" si="326"/>
        <v>0</v>
      </c>
      <c r="AR220" s="100">
        <f t="shared" si="327"/>
        <v>0</v>
      </c>
      <c r="AS220" s="100">
        <f t="shared" si="328"/>
        <v>10</v>
      </c>
      <c r="AT220" s="100">
        <f t="shared" si="299"/>
        <v>0</v>
      </c>
      <c r="AU220" s="100">
        <f t="shared" si="311"/>
        <v>0</v>
      </c>
      <c r="AV220" s="100">
        <f t="shared" si="300"/>
        <v>0</v>
      </c>
      <c r="AW220" s="100">
        <f t="shared" si="312"/>
        <v>0</v>
      </c>
      <c r="AX220">
        <f t="shared" si="313"/>
        <v>20</v>
      </c>
      <c r="AY220" s="98">
        <f t="shared" si="301"/>
        <v>0</v>
      </c>
      <c r="AZ220" s="98">
        <f t="shared" si="302"/>
        <v>0</v>
      </c>
      <c r="BA220" s="98">
        <f t="shared" si="267"/>
        <v>0</v>
      </c>
      <c r="BB220" s="98">
        <f t="shared" si="303"/>
        <v>0</v>
      </c>
      <c r="BC220" s="98">
        <f t="shared" si="268"/>
        <v>0</v>
      </c>
      <c r="BD220" s="98">
        <f t="shared" si="269"/>
        <v>0</v>
      </c>
      <c r="BE220" s="98">
        <f t="shared" si="270"/>
        <v>0</v>
      </c>
      <c r="BF220" s="98">
        <f t="shared" si="304"/>
        <v>0</v>
      </c>
      <c r="BG220" s="98">
        <f t="shared" si="305"/>
        <v>0</v>
      </c>
      <c r="BH220" s="98">
        <f t="shared" si="271"/>
        <v>0</v>
      </c>
      <c r="BI220" s="98">
        <f t="shared" si="272"/>
        <v>389.42307692307691</v>
      </c>
      <c r="BJ220" s="98">
        <f t="shared" si="273"/>
        <v>0</v>
      </c>
      <c r="BK220" s="98">
        <f t="shared" si="274"/>
        <v>0</v>
      </c>
      <c r="BL220" s="98">
        <f t="shared" si="306"/>
        <v>0</v>
      </c>
      <c r="BM220" s="98">
        <f t="shared" si="275"/>
        <v>0</v>
      </c>
      <c r="BN220" s="98">
        <f t="shared" si="276"/>
        <v>389.42307692307691</v>
      </c>
      <c r="BO220" s="98">
        <f t="shared" si="307"/>
        <v>0</v>
      </c>
      <c r="BP220" s="98">
        <f t="shared" si="277"/>
        <v>0</v>
      </c>
      <c r="BQ220" s="98">
        <f t="shared" si="308"/>
        <v>0</v>
      </c>
      <c r="BR220" s="98">
        <f t="shared" si="278"/>
        <v>0</v>
      </c>
    </row>
    <row r="221" spans="1:70" x14ac:dyDescent="0.25">
      <c r="A221" t="s">
        <v>75</v>
      </c>
      <c r="B221" t="s">
        <v>7</v>
      </c>
      <c r="C221">
        <v>2026</v>
      </c>
      <c r="D221" s="98">
        <f>INDEX('Reference Sheet'!$G$9:$J$100, MATCH(A221,'Reference Sheet'!$F$9:$F$100,0), MATCH(C221,'Reference Sheet'!$G$8:$J$8,0))/2080</f>
        <v>38.942307692307693</v>
      </c>
      <c r="E221" s="99">
        <v>0</v>
      </c>
      <c r="F221" s="98">
        <f t="shared" si="309"/>
        <v>38.942307692307693</v>
      </c>
      <c r="G221" s="98"/>
      <c r="H221" s="98"/>
      <c r="I221" s="32"/>
      <c r="J221" s="32"/>
      <c r="K221" s="32"/>
      <c r="L221" s="32"/>
      <c r="M221" s="32"/>
      <c r="N221" s="32"/>
      <c r="O221" s="32"/>
      <c r="P221" s="32"/>
      <c r="Q221" s="32">
        <v>10</v>
      </c>
      <c r="R221" s="32"/>
      <c r="S221" s="32"/>
      <c r="T221" s="32"/>
      <c r="U221" s="32"/>
      <c r="V221" s="32">
        <v>10</v>
      </c>
      <c r="W221" s="32"/>
      <c r="X221" s="32"/>
      <c r="Y221" s="32"/>
      <c r="Z221" s="32"/>
      <c r="AA221" s="98">
        <f t="shared" si="297"/>
        <v>20</v>
      </c>
      <c r="AB221" s="98">
        <f t="shared" si="296"/>
        <v>20</v>
      </c>
      <c r="AC221" s="98">
        <f t="shared" si="310"/>
        <v>0</v>
      </c>
      <c r="AD221" s="100">
        <f t="shared" si="314"/>
        <v>0</v>
      </c>
      <c r="AE221" s="100">
        <f t="shared" si="315"/>
        <v>0</v>
      </c>
      <c r="AF221" s="100">
        <f t="shared" si="316"/>
        <v>0</v>
      </c>
      <c r="AG221" s="100">
        <f t="shared" si="317"/>
        <v>0</v>
      </c>
      <c r="AH221" s="100">
        <f t="shared" si="318"/>
        <v>0</v>
      </c>
      <c r="AI221" s="100">
        <f t="shared" si="319"/>
        <v>0</v>
      </c>
      <c r="AJ221" s="100">
        <f t="shared" si="320"/>
        <v>0</v>
      </c>
      <c r="AK221" s="100">
        <f t="shared" si="321"/>
        <v>0</v>
      </c>
      <c r="AL221" s="100">
        <f t="shared" si="298"/>
        <v>0</v>
      </c>
      <c r="AM221" s="100">
        <f t="shared" si="322"/>
        <v>0</v>
      </c>
      <c r="AN221" s="100">
        <f t="shared" si="323"/>
        <v>10</v>
      </c>
      <c r="AO221" s="100">
        <f t="shared" si="324"/>
        <v>0</v>
      </c>
      <c r="AP221" s="100">
        <f t="shared" si="325"/>
        <v>0</v>
      </c>
      <c r="AQ221" s="100">
        <f t="shared" si="326"/>
        <v>0</v>
      </c>
      <c r="AR221" s="100">
        <f t="shared" si="327"/>
        <v>0</v>
      </c>
      <c r="AS221" s="100">
        <f t="shared" si="328"/>
        <v>10</v>
      </c>
      <c r="AT221" s="100">
        <f t="shared" si="299"/>
        <v>0</v>
      </c>
      <c r="AU221" s="100">
        <f t="shared" si="311"/>
        <v>0</v>
      </c>
      <c r="AV221" s="100">
        <f t="shared" si="300"/>
        <v>0</v>
      </c>
      <c r="AW221" s="100">
        <f t="shared" si="312"/>
        <v>0</v>
      </c>
      <c r="AX221">
        <f t="shared" si="313"/>
        <v>20</v>
      </c>
      <c r="AY221" s="98">
        <f t="shared" si="301"/>
        <v>0</v>
      </c>
      <c r="AZ221" s="98">
        <f t="shared" si="302"/>
        <v>0</v>
      </c>
      <c r="BA221" s="98">
        <f t="shared" si="267"/>
        <v>0</v>
      </c>
      <c r="BB221" s="98">
        <f t="shared" si="303"/>
        <v>0</v>
      </c>
      <c r="BC221" s="98">
        <f t="shared" si="268"/>
        <v>0</v>
      </c>
      <c r="BD221" s="98">
        <f t="shared" si="269"/>
        <v>0</v>
      </c>
      <c r="BE221" s="98">
        <f t="shared" si="270"/>
        <v>0</v>
      </c>
      <c r="BF221" s="98">
        <f t="shared" si="304"/>
        <v>0</v>
      </c>
      <c r="BG221" s="98">
        <f t="shared" si="305"/>
        <v>0</v>
      </c>
      <c r="BH221" s="98">
        <f t="shared" si="271"/>
        <v>0</v>
      </c>
      <c r="BI221" s="98">
        <f t="shared" si="272"/>
        <v>389.42307692307691</v>
      </c>
      <c r="BJ221" s="98">
        <f t="shared" si="273"/>
        <v>0</v>
      </c>
      <c r="BK221" s="98">
        <f t="shared" si="274"/>
        <v>0</v>
      </c>
      <c r="BL221" s="98">
        <f t="shared" si="306"/>
        <v>0</v>
      </c>
      <c r="BM221" s="98">
        <f t="shared" si="275"/>
        <v>0</v>
      </c>
      <c r="BN221" s="98">
        <f t="shared" si="276"/>
        <v>389.42307692307691</v>
      </c>
      <c r="BO221" s="98">
        <f t="shared" si="307"/>
        <v>0</v>
      </c>
      <c r="BP221" s="98">
        <f t="shared" si="277"/>
        <v>0</v>
      </c>
      <c r="BQ221" s="98">
        <f t="shared" si="308"/>
        <v>0</v>
      </c>
      <c r="BR221" s="98">
        <f t="shared" si="278"/>
        <v>0</v>
      </c>
    </row>
    <row r="222" spans="1:70" x14ac:dyDescent="0.25">
      <c r="A222" t="s">
        <v>75</v>
      </c>
      <c r="B222" t="s">
        <v>8</v>
      </c>
      <c r="C222">
        <v>2026</v>
      </c>
      <c r="D222" s="98">
        <f>INDEX('Reference Sheet'!$G$9:$J$100, MATCH(A222,'Reference Sheet'!$F$9:$F$100,0), MATCH(C222,'Reference Sheet'!$G$8:$J$8,0))/2080</f>
        <v>38.942307692307693</v>
      </c>
      <c r="E222" s="99">
        <v>0</v>
      </c>
      <c r="F222" s="98">
        <f t="shared" si="309"/>
        <v>38.942307692307693</v>
      </c>
      <c r="G222" s="98"/>
      <c r="H222" s="98"/>
      <c r="I222" s="32"/>
      <c r="J222" s="32"/>
      <c r="K222" s="32"/>
      <c r="L222" s="32"/>
      <c r="M222" s="32"/>
      <c r="N222" s="32"/>
      <c r="O222" s="32"/>
      <c r="P222" s="32"/>
      <c r="Q222" s="32">
        <v>10</v>
      </c>
      <c r="R222" s="32"/>
      <c r="S222" s="32"/>
      <c r="T222" s="32"/>
      <c r="U222" s="32"/>
      <c r="V222" s="32">
        <v>10</v>
      </c>
      <c r="W222" s="32"/>
      <c r="X222" s="32"/>
      <c r="Y222" s="32"/>
      <c r="Z222" s="32"/>
      <c r="AA222" s="98">
        <f t="shared" si="297"/>
        <v>20</v>
      </c>
      <c r="AB222" s="98">
        <f t="shared" si="296"/>
        <v>20</v>
      </c>
      <c r="AC222" s="98">
        <f t="shared" si="310"/>
        <v>0</v>
      </c>
      <c r="AD222" s="100">
        <f t="shared" si="314"/>
        <v>0</v>
      </c>
      <c r="AE222" s="100">
        <f t="shared" si="315"/>
        <v>0</v>
      </c>
      <c r="AF222" s="100">
        <f t="shared" si="316"/>
        <v>0</v>
      </c>
      <c r="AG222" s="100">
        <f t="shared" si="317"/>
        <v>0</v>
      </c>
      <c r="AH222" s="100">
        <f t="shared" si="318"/>
        <v>0</v>
      </c>
      <c r="AI222" s="100">
        <f t="shared" si="319"/>
        <v>0</v>
      </c>
      <c r="AJ222" s="100">
        <f t="shared" si="320"/>
        <v>0</v>
      </c>
      <c r="AK222" s="100">
        <f t="shared" si="321"/>
        <v>0</v>
      </c>
      <c r="AL222" s="100">
        <f t="shared" si="298"/>
        <v>0</v>
      </c>
      <c r="AM222" s="100">
        <f t="shared" si="322"/>
        <v>0</v>
      </c>
      <c r="AN222" s="100">
        <f t="shared" si="323"/>
        <v>10</v>
      </c>
      <c r="AO222" s="100">
        <f t="shared" si="324"/>
        <v>0</v>
      </c>
      <c r="AP222" s="100">
        <f t="shared" si="325"/>
        <v>0</v>
      </c>
      <c r="AQ222" s="100">
        <f t="shared" si="326"/>
        <v>0</v>
      </c>
      <c r="AR222" s="100">
        <f t="shared" si="327"/>
        <v>0</v>
      </c>
      <c r="AS222" s="100">
        <f t="shared" si="328"/>
        <v>10</v>
      </c>
      <c r="AT222" s="100">
        <f t="shared" si="299"/>
        <v>0</v>
      </c>
      <c r="AU222" s="100">
        <f t="shared" si="311"/>
        <v>0</v>
      </c>
      <c r="AV222" s="100">
        <f t="shared" si="300"/>
        <v>0</v>
      </c>
      <c r="AW222" s="100">
        <f t="shared" si="312"/>
        <v>0</v>
      </c>
      <c r="AX222">
        <f t="shared" si="313"/>
        <v>20</v>
      </c>
      <c r="AY222" s="98">
        <f t="shared" si="301"/>
        <v>0</v>
      </c>
      <c r="AZ222" s="98">
        <f t="shared" si="302"/>
        <v>0</v>
      </c>
      <c r="BA222" s="98">
        <f t="shared" si="267"/>
        <v>0</v>
      </c>
      <c r="BB222" s="98">
        <f t="shared" si="303"/>
        <v>0</v>
      </c>
      <c r="BC222" s="98">
        <f t="shared" si="268"/>
        <v>0</v>
      </c>
      <c r="BD222" s="98">
        <f t="shared" si="269"/>
        <v>0</v>
      </c>
      <c r="BE222" s="98">
        <f t="shared" si="270"/>
        <v>0</v>
      </c>
      <c r="BF222" s="98">
        <f t="shared" si="304"/>
        <v>0</v>
      </c>
      <c r="BG222" s="98">
        <f t="shared" si="305"/>
        <v>0</v>
      </c>
      <c r="BH222" s="98">
        <f t="shared" si="271"/>
        <v>0</v>
      </c>
      <c r="BI222" s="98">
        <f t="shared" si="272"/>
        <v>389.42307692307691</v>
      </c>
      <c r="BJ222" s="98">
        <f t="shared" si="273"/>
        <v>0</v>
      </c>
      <c r="BK222" s="98">
        <f t="shared" si="274"/>
        <v>0</v>
      </c>
      <c r="BL222" s="98">
        <f t="shared" si="306"/>
        <v>0</v>
      </c>
      <c r="BM222" s="98">
        <f t="shared" si="275"/>
        <v>0</v>
      </c>
      <c r="BN222" s="98">
        <f t="shared" si="276"/>
        <v>389.42307692307691</v>
      </c>
      <c r="BO222" s="98">
        <f t="shared" si="307"/>
        <v>0</v>
      </c>
      <c r="BP222" s="98">
        <f t="shared" si="277"/>
        <v>0</v>
      </c>
      <c r="BQ222" s="98">
        <f t="shared" si="308"/>
        <v>0</v>
      </c>
      <c r="BR222" s="98">
        <f t="shared" si="278"/>
        <v>0</v>
      </c>
    </row>
    <row r="223" spans="1:70" x14ac:dyDescent="0.25">
      <c r="A223" t="s">
        <v>75</v>
      </c>
      <c r="B223" t="s">
        <v>9</v>
      </c>
      <c r="C223">
        <v>2026</v>
      </c>
      <c r="D223" s="98">
        <f>INDEX('Reference Sheet'!$G$9:$J$100, MATCH(A223,'Reference Sheet'!$F$9:$F$100,0), MATCH(C223,'Reference Sheet'!$G$8:$J$8,0))/2080</f>
        <v>38.942307692307693</v>
      </c>
      <c r="E223" s="99">
        <v>0</v>
      </c>
      <c r="F223" s="98">
        <f t="shared" si="309"/>
        <v>38.942307692307693</v>
      </c>
      <c r="G223" s="98"/>
      <c r="H223" s="98"/>
      <c r="I223" s="32"/>
      <c r="J223" s="32"/>
      <c r="K223" s="32"/>
      <c r="L223" s="32"/>
      <c r="M223" s="32"/>
      <c r="N223" s="32"/>
      <c r="O223" s="32"/>
      <c r="P223" s="32"/>
      <c r="Q223" s="32">
        <v>10</v>
      </c>
      <c r="R223" s="32"/>
      <c r="S223" s="32"/>
      <c r="T223" s="32"/>
      <c r="U223" s="32"/>
      <c r="V223" s="32">
        <v>10</v>
      </c>
      <c r="W223" s="32"/>
      <c r="X223" s="32"/>
      <c r="Y223" s="32"/>
      <c r="Z223" s="32"/>
      <c r="AA223" s="98">
        <f t="shared" si="297"/>
        <v>20</v>
      </c>
      <c r="AB223" s="98">
        <f t="shared" si="296"/>
        <v>20</v>
      </c>
      <c r="AC223" s="98">
        <f t="shared" si="310"/>
        <v>0</v>
      </c>
      <c r="AD223" s="100">
        <f t="shared" si="314"/>
        <v>0</v>
      </c>
      <c r="AE223" s="100">
        <f t="shared" si="315"/>
        <v>0</v>
      </c>
      <c r="AF223" s="100">
        <f t="shared" si="316"/>
        <v>0</v>
      </c>
      <c r="AG223" s="100">
        <f t="shared" si="317"/>
        <v>0</v>
      </c>
      <c r="AH223" s="100">
        <f t="shared" si="318"/>
        <v>0</v>
      </c>
      <c r="AI223" s="100">
        <f t="shared" si="319"/>
        <v>0</v>
      </c>
      <c r="AJ223" s="100">
        <f t="shared" si="320"/>
        <v>0</v>
      </c>
      <c r="AK223" s="100">
        <f t="shared" si="321"/>
        <v>0</v>
      </c>
      <c r="AL223" s="100">
        <f t="shared" si="298"/>
        <v>0</v>
      </c>
      <c r="AM223" s="100">
        <f t="shared" si="322"/>
        <v>0</v>
      </c>
      <c r="AN223" s="100">
        <f t="shared" si="323"/>
        <v>10</v>
      </c>
      <c r="AO223" s="100">
        <f t="shared" si="324"/>
        <v>0</v>
      </c>
      <c r="AP223" s="100">
        <f t="shared" si="325"/>
        <v>0</v>
      </c>
      <c r="AQ223" s="100">
        <f t="shared" si="326"/>
        <v>0</v>
      </c>
      <c r="AR223" s="100">
        <f t="shared" si="327"/>
        <v>0</v>
      </c>
      <c r="AS223" s="100">
        <f t="shared" si="328"/>
        <v>10</v>
      </c>
      <c r="AT223" s="100">
        <f t="shared" si="299"/>
        <v>0</v>
      </c>
      <c r="AU223" s="100">
        <f t="shared" si="311"/>
        <v>0</v>
      </c>
      <c r="AV223" s="100">
        <f t="shared" si="300"/>
        <v>0</v>
      </c>
      <c r="AW223" s="100">
        <f t="shared" si="312"/>
        <v>0</v>
      </c>
      <c r="AX223">
        <f t="shared" si="313"/>
        <v>20</v>
      </c>
      <c r="AY223" s="98">
        <f t="shared" si="301"/>
        <v>0</v>
      </c>
      <c r="AZ223" s="98">
        <f t="shared" si="302"/>
        <v>0</v>
      </c>
      <c r="BA223" s="98">
        <f t="shared" si="267"/>
        <v>0</v>
      </c>
      <c r="BB223" s="98">
        <f t="shared" si="303"/>
        <v>0</v>
      </c>
      <c r="BC223" s="98">
        <f t="shared" si="268"/>
        <v>0</v>
      </c>
      <c r="BD223" s="98">
        <f t="shared" si="269"/>
        <v>0</v>
      </c>
      <c r="BE223" s="98">
        <f t="shared" si="270"/>
        <v>0</v>
      </c>
      <c r="BF223" s="98">
        <f t="shared" si="304"/>
        <v>0</v>
      </c>
      <c r="BG223" s="98">
        <f t="shared" si="305"/>
        <v>0</v>
      </c>
      <c r="BH223" s="98">
        <f t="shared" si="271"/>
        <v>0</v>
      </c>
      <c r="BI223" s="98">
        <f t="shared" si="272"/>
        <v>389.42307692307691</v>
      </c>
      <c r="BJ223" s="98">
        <f t="shared" si="273"/>
        <v>0</v>
      </c>
      <c r="BK223" s="98">
        <f t="shared" si="274"/>
        <v>0</v>
      </c>
      <c r="BL223" s="98">
        <f t="shared" si="306"/>
        <v>0</v>
      </c>
      <c r="BM223" s="98">
        <f t="shared" si="275"/>
        <v>0</v>
      </c>
      <c r="BN223" s="98">
        <f t="shared" si="276"/>
        <v>389.42307692307691</v>
      </c>
      <c r="BO223" s="98">
        <f t="shared" si="307"/>
        <v>0</v>
      </c>
      <c r="BP223" s="98">
        <f t="shared" si="277"/>
        <v>0</v>
      </c>
      <c r="BQ223" s="98">
        <f t="shared" si="308"/>
        <v>0</v>
      </c>
      <c r="BR223" s="98">
        <f t="shared" si="278"/>
        <v>0</v>
      </c>
    </row>
    <row r="224" spans="1:70" x14ac:dyDescent="0.25">
      <c r="A224" t="s">
        <v>75</v>
      </c>
      <c r="B224" t="s">
        <v>10</v>
      </c>
      <c r="C224">
        <v>2026</v>
      </c>
      <c r="D224" s="98">
        <f>INDEX('Reference Sheet'!$G$9:$J$100, MATCH(A224,'Reference Sheet'!$F$9:$F$100,0), MATCH(C224,'Reference Sheet'!$G$8:$J$8,0))/2080</f>
        <v>38.942307692307693</v>
      </c>
      <c r="E224" s="99">
        <v>0</v>
      </c>
      <c r="F224" s="98">
        <f t="shared" si="309"/>
        <v>38.942307692307693</v>
      </c>
      <c r="G224" s="98"/>
      <c r="H224" s="98"/>
      <c r="I224" s="32"/>
      <c r="J224" s="32"/>
      <c r="K224" s="32"/>
      <c r="L224" s="32"/>
      <c r="M224" s="32"/>
      <c r="N224" s="32"/>
      <c r="O224" s="32"/>
      <c r="P224" s="32"/>
      <c r="Q224" s="32">
        <v>10</v>
      </c>
      <c r="R224" s="32"/>
      <c r="S224" s="32"/>
      <c r="T224" s="32"/>
      <c r="U224" s="32"/>
      <c r="V224" s="32">
        <v>10</v>
      </c>
      <c r="W224" s="32"/>
      <c r="X224" s="32"/>
      <c r="Y224" s="32"/>
      <c r="Z224" s="32"/>
      <c r="AA224" s="98">
        <f t="shared" si="297"/>
        <v>20</v>
      </c>
      <c r="AB224" s="98">
        <f t="shared" si="296"/>
        <v>20</v>
      </c>
      <c r="AC224" s="98">
        <f t="shared" si="310"/>
        <v>0</v>
      </c>
      <c r="AD224" s="100">
        <f t="shared" si="314"/>
        <v>0</v>
      </c>
      <c r="AE224" s="100">
        <f t="shared" si="315"/>
        <v>0</v>
      </c>
      <c r="AF224" s="100">
        <f t="shared" si="316"/>
        <v>0</v>
      </c>
      <c r="AG224" s="100">
        <f t="shared" si="317"/>
        <v>0</v>
      </c>
      <c r="AH224" s="100">
        <f t="shared" si="318"/>
        <v>0</v>
      </c>
      <c r="AI224" s="100">
        <f t="shared" si="319"/>
        <v>0</v>
      </c>
      <c r="AJ224" s="100">
        <f t="shared" si="320"/>
        <v>0</v>
      </c>
      <c r="AK224" s="100">
        <f t="shared" si="321"/>
        <v>0</v>
      </c>
      <c r="AL224" s="100">
        <f t="shared" si="298"/>
        <v>0</v>
      </c>
      <c r="AM224" s="100">
        <f t="shared" si="322"/>
        <v>0</v>
      </c>
      <c r="AN224" s="100">
        <f t="shared" si="323"/>
        <v>10</v>
      </c>
      <c r="AO224" s="100">
        <f t="shared" si="324"/>
        <v>0</v>
      </c>
      <c r="AP224" s="100">
        <f t="shared" si="325"/>
        <v>0</v>
      </c>
      <c r="AQ224" s="100">
        <f t="shared" si="326"/>
        <v>0</v>
      </c>
      <c r="AR224" s="100">
        <f t="shared" si="327"/>
        <v>0</v>
      </c>
      <c r="AS224" s="100">
        <f t="shared" si="328"/>
        <v>10</v>
      </c>
      <c r="AT224" s="100">
        <f t="shared" si="299"/>
        <v>0</v>
      </c>
      <c r="AU224" s="100">
        <f t="shared" si="311"/>
        <v>0</v>
      </c>
      <c r="AV224" s="100">
        <f t="shared" si="300"/>
        <v>0</v>
      </c>
      <c r="AW224" s="100">
        <f t="shared" si="312"/>
        <v>0</v>
      </c>
      <c r="AX224">
        <f t="shared" si="313"/>
        <v>20</v>
      </c>
      <c r="AY224" s="98">
        <f t="shared" si="301"/>
        <v>0</v>
      </c>
      <c r="AZ224" s="98">
        <f t="shared" si="302"/>
        <v>0</v>
      </c>
      <c r="BA224" s="98">
        <f t="shared" si="267"/>
        <v>0</v>
      </c>
      <c r="BB224" s="98">
        <f t="shared" si="303"/>
        <v>0</v>
      </c>
      <c r="BC224" s="98">
        <f t="shared" si="268"/>
        <v>0</v>
      </c>
      <c r="BD224" s="98">
        <f t="shared" si="269"/>
        <v>0</v>
      </c>
      <c r="BE224" s="98">
        <f t="shared" si="270"/>
        <v>0</v>
      </c>
      <c r="BF224" s="98">
        <f t="shared" si="304"/>
        <v>0</v>
      </c>
      <c r="BG224" s="98">
        <f t="shared" si="305"/>
        <v>0</v>
      </c>
      <c r="BH224" s="98">
        <f t="shared" si="271"/>
        <v>0</v>
      </c>
      <c r="BI224" s="98">
        <f t="shared" si="272"/>
        <v>389.42307692307691</v>
      </c>
      <c r="BJ224" s="98">
        <f t="shared" si="273"/>
        <v>0</v>
      </c>
      <c r="BK224" s="98">
        <f t="shared" si="274"/>
        <v>0</v>
      </c>
      <c r="BL224" s="98">
        <f t="shared" si="306"/>
        <v>0</v>
      </c>
      <c r="BM224" s="98">
        <f t="shared" si="275"/>
        <v>0</v>
      </c>
      <c r="BN224" s="98">
        <f t="shared" si="276"/>
        <v>389.42307692307691</v>
      </c>
      <c r="BO224" s="98">
        <f t="shared" si="307"/>
        <v>0</v>
      </c>
      <c r="BP224" s="98">
        <f t="shared" si="277"/>
        <v>0</v>
      </c>
      <c r="BQ224" s="98">
        <f t="shared" si="308"/>
        <v>0</v>
      </c>
      <c r="BR224" s="98">
        <f t="shared" si="278"/>
        <v>0</v>
      </c>
    </row>
    <row r="225" spans="1:70" x14ac:dyDescent="0.25">
      <c r="A225" t="s">
        <v>75</v>
      </c>
      <c r="B225" t="s">
        <v>11</v>
      </c>
      <c r="C225">
        <v>2026</v>
      </c>
      <c r="D225" s="98">
        <f>INDEX('Reference Sheet'!$G$9:$J$100, MATCH(A225,'Reference Sheet'!$F$9:$F$100,0), MATCH(C225,'Reference Sheet'!$G$8:$J$8,0))/2080</f>
        <v>38.942307692307693</v>
      </c>
      <c r="E225" s="99">
        <v>0</v>
      </c>
      <c r="F225" s="98">
        <f t="shared" si="309"/>
        <v>38.942307692307693</v>
      </c>
      <c r="G225" s="98"/>
      <c r="H225" s="98"/>
      <c r="I225" s="32"/>
      <c r="J225" s="32"/>
      <c r="K225" s="32"/>
      <c r="L225" s="32"/>
      <c r="M225" s="32"/>
      <c r="N225" s="32"/>
      <c r="O225" s="32"/>
      <c r="P225" s="32"/>
      <c r="Q225" s="32">
        <v>10</v>
      </c>
      <c r="R225" s="32"/>
      <c r="S225" s="32"/>
      <c r="T225" s="32"/>
      <c r="U225" s="32"/>
      <c r="V225" s="32"/>
      <c r="W225" s="32"/>
      <c r="X225" s="32"/>
      <c r="Y225" s="32"/>
      <c r="Z225" s="32"/>
      <c r="AA225" s="98">
        <f t="shared" si="297"/>
        <v>10</v>
      </c>
      <c r="AB225" s="98">
        <f t="shared" si="296"/>
        <v>10</v>
      </c>
      <c r="AC225" s="98">
        <f t="shared" si="310"/>
        <v>0</v>
      </c>
      <c r="AD225" s="100">
        <f t="shared" si="314"/>
        <v>0</v>
      </c>
      <c r="AE225" s="100">
        <f t="shared" si="315"/>
        <v>0</v>
      </c>
      <c r="AF225" s="100">
        <f t="shared" si="316"/>
        <v>0</v>
      </c>
      <c r="AG225" s="100">
        <f t="shared" si="317"/>
        <v>0</v>
      </c>
      <c r="AH225" s="100">
        <f t="shared" si="318"/>
        <v>0</v>
      </c>
      <c r="AI225" s="100">
        <f t="shared" si="319"/>
        <v>0</v>
      </c>
      <c r="AJ225" s="100">
        <f t="shared" si="320"/>
        <v>0</v>
      </c>
      <c r="AK225" s="100">
        <f t="shared" si="321"/>
        <v>0</v>
      </c>
      <c r="AL225" s="100">
        <f t="shared" si="298"/>
        <v>0</v>
      </c>
      <c r="AM225" s="100">
        <f t="shared" si="322"/>
        <v>0</v>
      </c>
      <c r="AN225" s="100">
        <f t="shared" si="323"/>
        <v>10</v>
      </c>
      <c r="AO225" s="100">
        <f t="shared" si="324"/>
        <v>0</v>
      </c>
      <c r="AP225" s="100">
        <f t="shared" si="325"/>
        <v>0</v>
      </c>
      <c r="AQ225" s="100">
        <f t="shared" si="326"/>
        <v>0</v>
      </c>
      <c r="AR225" s="100">
        <f t="shared" si="327"/>
        <v>0</v>
      </c>
      <c r="AS225" s="100">
        <f t="shared" si="328"/>
        <v>0</v>
      </c>
      <c r="AT225" s="100">
        <f t="shared" si="299"/>
        <v>0</v>
      </c>
      <c r="AU225" s="100">
        <f t="shared" si="311"/>
        <v>0</v>
      </c>
      <c r="AV225" s="100">
        <f t="shared" si="300"/>
        <v>0</v>
      </c>
      <c r="AW225" s="100">
        <f t="shared" si="312"/>
        <v>0</v>
      </c>
      <c r="AX225">
        <f t="shared" si="313"/>
        <v>10</v>
      </c>
      <c r="AY225" s="98">
        <f t="shared" si="301"/>
        <v>0</v>
      </c>
      <c r="AZ225" s="98">
        <f t="shared" si="302"/>
        <v>0</v>
      </c>
      <c r="BA225" s="98">
        <f t="shared" si="267"/>
        <v>0</v>
      </c>
      <c r="BB225" s="98">
        <f t="shared" si="303"/>
        <v>0</v>
      </c>
      <c r="BC225" s="98">
        <f t="shared" si="268"/>
        <v>0</v>
      </c>
      <c r="BD225" s="98">
        <f t="shared" si="269"/>
        <v>0</v>
      </c>
      <c r="BE225" s="98">
        <f t="shared" si="270"/>
        <v>0</v>
      </c>
      <c r="BF225" s="98">
        <f t="shared" si="304"/>
        <v>0</v>
      </c>
      <c r="BG225" s="98">
        <f t="shared" si="305"/>
        <v>0</v>
      </c>
      <c r="BH225" s="98">
        <f t="shared" si="271"/>
        <v>0</v>
      </c>
      <c r="BI225" s="98">
        <f t="shared" si="272"/>
        <v>389.42307692307691</v>
      </c>
      <c r="BJ225" s="98">
        <f t="shared" si="273"/>
        <v>0</v>
      </c>
      <c r="BK225" s="98">
        <f t="shared" si="274"/>
        <v>0</v>
      </c>
      <c r="BL225" s="98">
        <f t="shared" si="306"/>
        <v>0</v>
      </c>
      <c r="BM225" s="98">
        <f t="shared" si="275"/>
        <v>0</v>
      </c>
      <c r="BN225" s="98">
        <f t="shared" si="276"/>
        <v>0</v>
      </c>
      <c r="BO225" s="98">
        <f t="shared" si="307"/>
        <v>0</v>
      </c>
      <c r="BP225" s="98">
        <f t="shared" si="277"/>
        <v>0</v>
      </c>
      <c r="BQ225" s="98">
        <f t="shared" si="308"/>
        <v>0</v>
      </c>
      <c r="BR225" s="98">
        <f t="shared" si="278"/>
        <v>0</v>
      </c>
    </row>
    <row r="226" spans="1:70" x14ac:dyDescent="0.25">
      <c r="A226" t="s">
        <v>61</v>
      </c>
      <c r="B226" t="s">
        <v>7</v>
      </c>
      <c r="C226">
        <v>2024</v>
      </c>
      <c r="D226" s="98">
        <f>INDEX('Reference Sheet'!$G$9:$J$100, MATCH(A226,'Reference Sheet'!$F$9:$F$100,0), MATCH(C226,'Reference Sheet'!$G$8:$J$8,0))/2080</f>
        <v>32.904956730769229</v>
      </c>
      <c r="E226" s="99">
        <f>VLOOKUP(C226,'Reference Sheet'!$A$2:$B$5,2)</f>
        <v>0.1913</v>
      </c>
      <c r="F226" s="98">
        <f t="shared" si="309"/>
        <v>39.199674953365381</v>
      </c>
      <c r="G226" s="98"/>
      <c r="H226" s="98"/>
      <c r="I226" s="21"/>
      <c r="J226" s="21"/>
      <c r="K226" s="21"/>
      <c r="L226" s="21"/>
      <c r="M226" s="21"/>
      <c r="N226" s="21"/>
      <c r="O226" s="21"/>
      <c r="P226" s="21"/>
      <c r="Q226" s="21"/>
      <c r="R226" s="21"/>
      <c r="S226" s="21"/>
      <c r="T226" s="21"/>
      <c r="U226" s="21"/>
      <c r="V226" s="21">
        <v>63</v>
      </c>
      <c r="W226" s="21"/>
      <c r="X226" s="21"/>
      <c r="Y226" s="21"/>
      <c r="Z226" s="21"/>
      <c r="AA226" s="98">
        <f t="shared" si="297"/>
        <v>63</v>
      </c>
      <c r="AB226" s="98">
        <f>IF(OR(B226="",C226=""),"",SUMIFS('Reference Sheet'!$D$9:$D$42,'Reference Sheet'!$A$9:$A$42,C226,'Reference Sheet'!$B$9:$B$42,B226))</f>
        <v>168</v>
      </c>
      <c r="AC226" s="98">
        <f t="shared" si="310"/>
        <v>105</v>
      </c>
      <c r="AD226" s="100">
        <f t="shared" si="314"/>
        <v>0</v>
      </c>
      <c r="AE226" s="100">
        <f t="shared" si="315"/>
        <v>0</v>
      </c>
      <c r="AF226" s="100">
        <f t="shared" si="316"/>
        <v>0</v>
      </c>
      <c r="AG226" s="100">
        <f t="shared" si="317"/>
        <v>0</v>
      </c>
      <c r="AH226" s="100">
        <f t="shared" si="318"/>
        <v>0</v>
      </c>
      <c r="AI226" s="100">
        <f t="shared" si="319"/>
        <v>0</v>
      </c>
      <c r="AJ226" s="100">
        <f t="shared" si="320"/>
        <v>0</v>
      </c>
      <c r="AK226" s="100">
        <f t="shared" si="321"/>
        <v>0</v>
      </c>
      <c r="AL226" s="100">
        <f t="shared" si="298"/>
        <v>0</v>
      </c>
      <c r="AM226" s="100">
        <f t="shared" si="322"/>
        <v>0</v>
      </c>
      <c r="AN226" s="100">
        <f t="shared" si="323"/>
        <v>0</v>
      </c>
      <c r="AO226" s="100">
        <f t="shared" si="324"/>
        <v>0</v>
      </c>
      <c r="AP226" s="100">
        <f t="shared" si="325"/>
        <v>0</v>
      </c>
      <c r="AQ226" s="100">
        <f t="shared" si="326"/>
        <v>0</v>
      </c>
      <c r="AR226" s="100">
        <f t="shared" si="327"/>
        <v>0</v>
      </c>
      <c r="AS226" s="100">
        <f t="shared" si="328"/>
        <v>168</v>
      </c>
      <c r="AT226" s="100">
        <f t="shared" si="299"/>
        <v>0</v>
      </c>
      <c r="AU226" s="100">
        <f t="shared" si="311"/>
        <v>0</v>
      </c>
      <c r="AV226" s="100">
        <f t="shared" si="300"/>
        <v>0</v>
      </c>
      <c r="AW226" s="100">
        <f t="shared" si="312"/>
        <v>0</v>
      </c>
      <c r="AX226">
        <f t="shared" si="313"/>
        <v>168</v>
      </c>
      <c r="AY226" s="98">
        <f t="shared" si="301"/>
        <v>0</v>
      </c>
      <c r="AZ226" s="98">
        <f t="shared" si="302"/>
        <v>0</v>
      </c>
      <c r="BA226" s="98">
        <f t="shared" si="267"/>
        <v>0</v>
      </c>
      <c r="BB226" s="98">
        <f t="shared" si="303"/>
        <v>0</v>
      </c>
      <c r="BC226" s="98">
        <f t="shared" si="268"/>
        <v>0</v>
      </c>
      <c r="BD226" s="98">
        <f t="shared" si="269"/>
        <v>0</v>
      </c>
      <c r="BE226" s="98">
        <f t="shared" si="270"/>
        <v>0</v>
      </c>
      <c r="BF226" s="98">
        <f t="shared" si="304"/>
        <v>0</v>
      </c>
      <c r="BG226" s="98">
        <f t="shared" si="305"/>
        <v>0</v>
      </c>
      <c r="BH226" s="98">
        <f t="shared" si="271"/>
        <v>0</v>
      </c>
      <c r="BI226" s="98">
        <f t="shared" si="272"/>
        <v>0</v>
      </c>
      <c r="BJ226" s="98">
        <f t="shared" si="273"/>
        <v>0</v>
      </c>
      <c r="BK226" s="98">
        <f t="shared" si="274"/>
        <v>0</v>
      </c>
      <c r="BL226" s="98">
        <f t="shared" si="306"/>
        <v>0</v>
      </c>
      <c r="BM226" s="98">
        <f t="shared" si="275"/>
        <v>0</v>
      </c>
      <c r="BN226" s="98">
        <f t="shared" si="276"/>
        <v>6585.5453921653843</v>
      </c>
      <c r="BO226" s="98">
        <f t="shared" si="307"/>
        <v>0</v>
      </c>
      <c r="BP226" s="98">
        <f t="shared" si="277"/>
        <v>0</v>
      </c>
      <c r="BQ226" s="98">
        <f t="shared" si="308"/>
        <v>0</v>
      </c>
      <c r="BR226" s="98">
        <f t="shared" si="278"/>
        <v>0</v>
      </c>
    </row>
    <row r="227" spans="1:70" x14ac:dyDescent="0.25">
      <c r="A227" t="s">
        <v>61</v>
      </c>
      <c r="B227" t="s">
        <v>6</v>
      </c>
      <c r="C227">
        <v>2024</v>
      </c>
      <c r="D227" s="98">
        <f>INDEX('Reference Sheet'!$G$9:$J$100, MATCH(A227,'Reference Sheet'!$F$9:$F$100,0), MATCH(C227,'Reference Sheet'!$G$8:$J$8,0))/2080</f>
        <v>32.904956730769229</v>
      </c>
      <c r="E227" s="99">
        <f>VLOOKUP(C227,'Reference Sheet'!$A$2:$B$5,2)</f>
        <v>0.1913</v>
      </c>
      <c r="F227" s="98">
        <f t="shared" si="309"/>
        <v>39.199674953365381</v>
      </c>
      <c r="G227" s="98"/>
      <c r="H227" s="98"/>
      <c r="I227" s="21"/>
      <c r="J227" s="21"/>
      <c r="K227" s="21"/>
      <c r="L227" s="21"/>
      <c r="M227" s="21"/>
      <c r="N227" s="21"/>
      <c r="O227" s="21"/>
      <c r="P227" s="21"/>
      <c r="Q227" s="21"/>
      <c r="R227" s="21"/>
      <c r="S227" s="21"/>
      <c r="T227" s="21"/>
      <c r="U227" s="21"/>
      <c r="V227" s="21">
        <v>69</v>
      </c>
      <c r="W227" s="21"/>
      <c r="X227" s="21"/>
      <c r="Y227" s="21"/>
      <c r="Z227" s="21"/>
      <c r="AA227" s="98">
        <f t="shared" si="297"/>
        <v>69</v>
      </c>
      <c r="AB227" s="98">
        <f>IF(OR(B227="",C227=""),"",SUMIFS('Reference Sheet'!$D$9:$D$42,'Reference Sheet'!$A$9:$A$42,C227,'Reference Sheet'!$B$9:$B$42,B227))</f>
        <v>184</v>
      </c>
      <c r="AC227" s="98">
        <f t="shared" si="310"/>
        <v>115</v>
      </c>
      <c r="AD227" s="100">
        <f t="shared" si="314"/>
        <v>0</v>
      </c>
      <c r="AE227" s="100">
        <f t="shared" si="315"/>
        <v>0</v>
      </c>
      <c r="AF227" s="100">
        <f t="shared" si="316"/>
        <v>0</v>
      </c>
      <c r="AG227" s="100">
        <f t="shared" si="317"/>
        <v>0</v>
      </c>
      <c r="AH227" s="100">
        <f t="shared" si="318"/>
        <v>0</v>
      </c>
      <c r="AI227" s="100">
        <f t="shared" si="319"/>
        <v>0</v>
      </c>
      <c r="AJ227" s="100">
        <f t="shared" si="320"/>
        <v>0</v>
      </c>
      <c r="AK227" s="100">
        <f t="shared" si="321"/>
        <v>0</v>
      </c>
      <c r="AL227" s="100">
        <f t="shared" si="298"/>
        <v>0</v>
      </c>
      <c r="AM227" s="100">
        <f t="shared" si="322"/>
        <v>0</v>
      </c>
      <c r="AN227" s="100">
        <f t="shared" si="323"/>
        <v>0</v>
      </c>
      <c r="AO227" s="100">
        <f t="shared" si="324"/>
        <v>0</v>
      </c>
      <c r="AP227" s="100">
        <f t="shared" si="325"/>
        <v>0</v>
      </c>
      <c r="AQ227" s="100">
        <f t="shared" si="326"/>
        <v>0</v>
      </c>
      <c r="AR227" s="100">
        <f t="shared" si="327"/>
        <v>0</v>
      </c>
      <c r="AS227" s="100">
        <f t="shared" si="328"/>
        <v>184</v>
      </c>
      <c r="AT227" s="100">
        <f t="shared" si="299"/>
        <v>0</v>
      </c>
      <c r="AU227" s="100">
        <f t="shared" si="311"/>
        <v>0</v>
      </c>
      <c r="AV227" s="100">
        <f t="shared" si="300"/>
        <v>0</v>
      </c>
      <c r="AW227" s="100">
        <f t="shared" si="312"/>
        <v>0</v>
      </c>
      <c r="AX227">
        <f t="shared" si="313"/>
        <v>184</v>
      </c>
      <c r="AY227" s="98">
        <f t="shared" si="301"/>
        <v>0</v>
      </c>
      <c r="AZ227" s="98">
        <f t="shared" si="302"/>
        <v>0</v>
      </c>
      <c r="BA227" s="98">
        <f t="shared" si="267"/>
        <v>0</v>
      </c>
      <c r="BB227" s="98">
        <f t="shared" si="303"/>
        <v>0</v>
      </c>
      <c r="BC227" s="98">
        <f t="shared" si="268"/>
        <v>0</v>
      </c>
      <c r="BD227" s="98">
        <f t="shared" si="269"/>
        <v>0</v>
      </c>
      <c r="BE227" s="98">
        <f t="shared" si="270"/>
        <v>0</v>
      </c>
      <c r="BF227" s="98">
        <f t="shared" si="304"/>
        <v>0</v>
      </c>
      <c r="BG227" s="98">
        <f t="shared" si="305"/>
        <v>0</v>
      </c>
      <c r="BH227" s="98">
        <f t="shared" si="271"/>
        <v>0</v>
      </c>
      <c r="BI227" s="98">
        <f t="shared" si="272"/>
        <v>0</v>
      </c>
      <c r="BJ227" s="98">
        <f t="shared" si="273"/>
        <v>0</v>
      </c>
      <c r="BK227" s="98">
        <f t="shared" si="274"/>
        <v>0</v>
      </c>
      <c r="BL227" s="98">
        <f t="shared" si="306"/>
        <v>0</v>
      </c>
      <c r="BM227" s="98">
        <f t="shared" si="275"/>
        <v>0</v>
      </c>
      <c r="BN227" s="98">
        <f t="shared" si="276"/>
        <v>7212.7401914192305</v>
      </c>
      <c r="BO227" s="98">
        <f t="shared" si="307"/>
        <v>0</v>
      </c>
      <c r="BP227" s="98">
        <f t="shared" si="277"/>
        <v>0</v>
      </c>
      <c r="BQ227" s="98">
        <f t="shared" si="308"/>
        <v>0</v>
      </c>
      <c r="BR227" s="98">
        <f t="shared" si="278"/>
        <v>0</v>
      </c>
    </row>
    <row r="228" spans="1:70" x14ac:dyDescent="0.25">
      <c r="A228" t="s">
        <v>61</v>
      </c>
      <c r="B228" t="s">
        <v>8</v>
      </c>
      <c r="C228">
        <v>2024</v>
      </c>
      <c r="D228" s="98">
        <f>INDEX('Reference Sheet'!$G$9:$J$100, MATCH(A228,'Reference Sheet'!$F$9:$F$100,0), MATCH(C228,'Reference Sheet'!$G$8:$J$8,0))/2080</f>
        <v>32.904956730769229</v>
      </c>
      <c r="E228" s="99">
        <f>VLOOKUP(C228,'Reference Sheet'!$A$2:$B$5,2)</f>
        <v>0.1913</v>
      </c>
      <c r="F228" s="98">
        <f t="shared" si="309"/>
        <v>39.199674953365381</v>
      </c>
      <c r="G228" s="98"/>
      <c r="H228" s="98"/>
      <c r="I228" s="21"/>
      <c r="J228" s="21"/>
      <c r="K228" s="21"/>
      <c r="L228" s="21"/>
      <c r="M228" s="21">
        <v>80</v>
      </c>
      <c r="N228" s="21"/>
      <c r="O228" s="21"/>
      <c r="P228" s="21"/>
      <c r="Q228" s="21"/>
      <c r="R228" s="21"/>
      <c r="S228" s="21"/>
      <c r="T228" s="21"/>
      <c r="U228" s="21"/>
      <c r="V228" s="21">
        <v>63</v>
      </c>
      <c r="W228" s="21"/>
      <c r="X228" s="21"/>
      <c r="Y228" s="21"/>
      <c r="Z228" s="21"/>
      <c r="AA228" s="98">
        <f t="shared" si="297"/>
        <v>143</v>
      </c>
      <c r="AB228" s="98">
        <f>IF(OR(B228="",C228=""),"",SUMIFS('Reference Sheet'!$D$9:$D$42,'Reference Sheet'!$A$9:$A$42,C228,'Reference Sheet'!$B$9:$B$42,B228))</f>
        <v>168</v>
      </c>
      <c r="AC228" s="98">
        <f t="shared" si="310"/>
        <v>25</v>
      </c>
      <c r="AD228" s="100">
        <f t="shared" si="314"/>
        <v>0</v>
      </c>
      <c r="AE228" s="100">
        <f t="shared" si="315"/>
        <v>0</v>
      </c>
      <c r="AF228" s="100">
        <f t="shared" si="316"/>
        <v>0</v>
      </c>
      <c r="AG228" s="100">
        <f t="shared" si="317"/>
        <v>0</v>
      </c>
      <c r="AH228" s="100">
        <f t="shared" si="318"/>
        <v>0</v>
      </c>
      <c r="AI228" s="100">
        <f t="shared" si="319"/>
        <v>0</v>
      </c>
      <c r="AJ228" s="100">
        <f t="shared" si="320"/>
        <v>93.986013986013987</v>
      </c>
      <c r="AK228" s="100">
        <f t="shared" si="321"/>
        <v>0</v>
      </c>
      <c r="AL228" s="100">
        <f t="shared" si="298"/>
        <v>0</v>
      </c>
      <c r="AM228" s="100">
        <f t="shared" si="322"/>
        <v>0</v>
      </c>
      <c r="AN228" s="100">
        <f t="shared" si="323"/>
        <v>0</v>
      </c>
      <c r="AO228" s="100">
        <f t="shared" si="324"/>
        <v>0</v>
      </c>
      <c r="AP228" s="100">
        <f t="shared" si="325"/>
        <v>0</v>
      </c>
      <c r="AQ228" s="100">
        <f t="shared" si="326"/>
        <v>0</v>
      </c>
      <c r="AR228" s="100">
        <f t="shared" si="327"/>
        <v>0</v>
      </c>
      <c r="AS228" s="100">
        <f t="shared" si="328"/>
        <v>74.013986013986013</v>
      </c>
      <c r="AT228" s="100">
        <f t="shared" si="299"/>
        <v>0</v>
      </c>
      <c r="AU228" s="100">
        <f t="shared" si="311"/>
        <v>0</v>
      </c>
      <c r="AV228" s="100">
        <f t="shared" si="300"/>
        <v>0</v>
      </c>
      <c r="AW228" s="100">
        <f t="shared" si="312"/>
        <v>0</v>
      </c>
      <c r="AX228">
        <f t="shared" si="313"/>
        <v>168</v>
      </c>
      <c r="AY228" s="98">
        <f t="shared" si="301"/>
        <v>0</v>
      </c>
      <c r="AZ228" s="98">
        <f t="shared" si="302"/>
        <v>0</v>
      </c>
      <c r="BA228" s="98">
        <f t="shared" si="267"/>
        <v>0</v>
      </c>
      <c r="BB228" s="98">
        <f t="shared" si="303"/>
        <v>0</v>
      </c>
      <c r="BC228" s="98">
        <f t="shared" si="268"/>
        <v>0</v>
      </c>
      <c r="BD228" s="98">
        <f t="shared" si="269"/>
        <v>0</v>
      </c>
      <c r="BE228" s="98">
        <f t="shared" si="270"/>
        <v>3684.2211984142009</v>
      </c>
      <c r="BF228" s="98">
        <f t="shared" si="304"/>
        <v>0</v>
      </c>
      <c r="BG228" s="98">
        <f t="shared" si="305"/>
        <v>0</v>
      </c>
      <c r="BH228" s="98">
        <f t="shared" si="271"/>
        <v>0</v>
      </c>
      <c r="BI228" s="98">
        <f t="shared" si="272"/>
        <v>0</v>
      </c>
      <c r="BJ228" s="98">
        <f t="shared" si="273"/>
        <v>0</v>
      </c>
      <c r="BK228" s="98">
        <f t="shared" si="274"/>
        <v>0</v>
      </c>
      <c r="BL228" s="98">
        <f t="shared" si="306"/>
        <v>0</v>
      </c>
      <c r="BM228" s="98">
        <f t="shared" si="275"/>
        <v>0</v>
      </c>
      <c r="BN228" s="98">
        <f t="shared" si="276"/>
        <v>2901.324193751183</v>
      </c>
      <c r="BO228" s="98">
        <f t="shared" si="307"/>
        <v>0</v>
      </c>
      <c r="BP228" s="98">
        <f t="shared" si="277"/>
        <v>0</v>
      </c>
      <c r="BQ228" s="98">
        <f t="shared" si="308"/>
        <v>0</v>
      </c>
      <c r="BR228" s="98">
        <f t="shared" si="278"/>
        <v>0</v>
      </c>
    </row>
    <row r="229" spans="1:70" x14ac:dyDescent="0.25">
      <c r="A229" t="s">
        <v>61</v>
      </c>
      <c r="B229" t="s">
        <v>11</v>
      </c>
      <c r="C229">
        <v>2024</v>
      </c>
      <c r="D229" s="98">
        <f>INDEX('Reference Sheet'!$G$9:$J$100, MATCH(A229,'Reference Sheet'!$F$9:$F$100,0), MATCH(C229,'Reference Sheet'!$G$8:$J$8,0))/2080</f>
        <v>32.904956730769229</v>
      </c>
      <c r="E229" s="99">
        <f>VLOOKUP(C229,'Reference Sheet'!$A$2:$B$5,2)</f>
        <v>0.1913</v>
      </c>
      <c r="F229" s="98">
        <f t="shared" si="309"/>
        <v>39.199674953365381</v>
      </c>
      <c r="G229" s="98"/>
      <c r="H229" s="98"/>
      <c r="I229" s="21"/>
      <c r="J229" s="21"/>
      <c r="K229" s="21"/>
      <c r="L229" s="21"/>
      <c r="M229" s="21">
        <v>88</v>
      </c>
      <c r="N229" s="21"/>
      <c r="O229" s="21"/>
      <c r="P229" s="21"/>
      <c r="Q229" s="21"/>
      <c r="R229" s="21"/>
      <c r="S229" s="21"/>
      <c r="T229" s="21"/>
      <c r="U229" s="21"/>
      <c r="V229" s="21">
        <v>60</v>
      </c>
      <c r="W229" s="21"/>
      <c r="X229" s="21"/>
      <c r="Y229" s="21"/>
      <c r="Z229" s="21"/>
      <c r="AA229" s="98">
        <f t="shared" si="297"/>
        <v>148</v>
      </c>
      <c r="AB229" s="98">
        <f>IF(OR(B229="",C229=""),"",SUMIFS('Reference Sheet'!$D$9:$D$42,'Reference Sheet'!$A$9:$A$42,C229,'Reference Sheet'!$B$9:$B$42,B229))</f>
        <v>160</v>
      </c>
      <c r="AC229" s="98">
        <f t="shared" si="310"/>
        <v>12</v>
      </c>
      <c r="AD229" s="100">
        <f t="shared" si="314"/>
        <v>0</v>
      </c>
      <c r="AE229" s="100">
        <f t="shared" si="315"/>
        <v>0</v>
      </c>
      <c r="AF229" s="100">
        <f t="shared" si="316"/>
        <v>0</v>
      </c>
      <c r="AG229" s="100">
        <f t="shared" si="317"/>
        <v>0</v>
      </c>
      <c r="AH229" s="100">
        <f t="shared" si="318"/>
        <v>0</v>
      </c>
      <c r="AI229" s="100">
        <f t="shared" si="319"/>
        <v>0</v>
      </c>
      <c r="AJ229" s="100">
        <f t="shared" si="320"/>
        <v>95.135135135135144</v>
      </c>
      <c r="AK229" s="100">
        <f t="shared" si="321"/>
        <v>0</v>
      </c>
      <c r="AL229" s="100">
        <f t="shared" si="298"/>
        <v>0</v>
      </c>
      <c r="AM229" s="100">
        <f t="shared" si="322"/>
        <v>0</v>
      </c>
      <c r="AN229" s="100">
        <f t="shared" si="323"/>
        <v>0</v>
      </c>
      <c r="AO229" s="100">
        <f t="shared" si="324"/>
        <v>0</v>
      </c>
      <c r="AP229" s="100">
        <f t="shared" si="325"/>
        <v>0</v>
      </c>
      <c r="AQ229" s="100">
        <f t="shared" si="326"/>
        <v>0</v>
      </c>
      <c r="AR229" s="100">
        <f t="shared" si="327"/>
        <v>0</v>
      </c>
      <c r="AS229" s="100">
        <f t="shared" si="328"/>
        <v>64.86486486486487</v>
      </c>
      <c r="AT229" s="100">
        <f t="shared" si="299"/>
        <v>0</v>
      </c>
      <c r="AU229" s="100">
        <f t="shared" si="311"/>
        <v>0</v>
      </c>
      <c r="AV229" s="100">
        <f t="shared" si="300"/>
        <v>0</v>
      </c>
      <c r="AW229" s="100">
        <f t="shared" si="312"/>
        <v>0</v>
      </c>
      <c r="AX229">
        <f t="shared" si="313"/>
        <v>160</v>
      </c>
      <c r="AY229" s="98">
        <f t="shared" si="301"/>
        <v>0</v>
      </c>
      <c r="AZ229" s="98">
        <f t="shared" si="302"/>
        <v>0</v>
      </c>
      <c r="BA229" s="98">
        <f t="shared" si="267"/>
        <v>0</v>
      </c>
      <c r="BB229" s="98">
        <f t="shared" si="303"/>
        <v>0</v>
      </c>
      <c r="BC229" s="98">
        <f t="shared" si="268"/>
        <v>0</v>
      </c>
      <c r="BD229" s="98">
        <f t="shared" si="269"/>
        <v>0</v>
      </c>
      <c r="BE229" s="98">
        <f t="shared" si="270"/>
        <v>3729.2663739417881</v>
      </c>
      <c r="BF229" s="98">
        <f t="shared" si="304"/>
        <v>0</v>
      </c>
      <c r="BG229" s="98">
        <f t="shared" si="305"/>
        <v>0</v>
      </c>
      <c r="BH229" s="98">
        <f t="shared" si="271"/>
        <v>0</v>
      </c>
      <c r="BI229" s="98">
        <f t="shared" si="272"/>
        <v>0</v>
      </c>
      <c r="BJ229" s="98">
        <f t="shared" si="273"/>
        <v>0</v>
      </c>
      <c r="BK229" s="98">
        <f t="shared" si="274"/>
        <v>0</v>
      </c>
      <c r="BL229" s="98">
        <f t="shared" si="306"/>
        <v>0</v>
      </c>
      <c r="BM229" s="98">
        <f t="shared" si="275"/>
        <v>0</v>
      </c>
      <c r="BN229" s="98">
        <f t="shared" si="276"/>
        <v>2542.6816185966736</v>
      </c>
      <c r="BO229" s="98">
        <f t="shared" si="307"/>
        <v>0</v>
      </c>
      <c r="BP229" s="98">
        <f t="shared" si="277"/>
        <v>0</v>
      </c>
      <c r="BQ229" s="98">
        <f t="shared" si="308"/>
        <v>0</v>
      </c>
      <c r="BR229" s="98">
        <f t="shared" si="278"/>
        <v>0</v>
      </c>
    </row>
    <row r="230" spans="1:70" x14ac:dyDescent="0.25">
      <c r="A230" t="s">
        <v>61</v>
      </c>
      <c r="B230" t="s">
        <v>14</v>
      </c>
      <c r="C230">
        <v>2024</v>
      </c>
      <c r="D230" s="98">
        <f>INDEX('Reference Sheet'!$G$9:$J$100, MATCH(A230,'Reference Sheet'!$F$9:$F$100,0), MATCH(C230,'Reference Sheet'!$G$8:$J$8,0))/2080</f>
        <v>32.904956730769229</v>
      </c>
      <c r="E230" s="99">
        <f>VLOOKUP(C230,'Reference Sheet'!$A$2:$B$5,2)</f>
        <v>0.1913</v>
      </c>
      <c r="F230" s="98">
        <f t="shared" si="309"/>
        <v>39.199674953365381</v>
      </c>
      <c r="G230" s="98"/>
      <c r="H230" s="98"/>
      <c r="I230" s="21"/>
      <c r="J230" s="21"/>
      <c r="K230" s="21"/>
      <c r="L230" s="21"/>
      <c r="M230" s="21">
        <v>88</v>
      </c>
      <c r="N230" s="21"/>
      <c r="O230" s="21"/>
      <c r="P230" s="21"/>
      <c r="Q230" s="21"/>
      <c r="R230" s="21"/>
      <c r="S230" s="21"/>
      <c r="T230" s="21"/>
      <c r="U230" s="21"/>
      <c r="V230" s="21">
        <v>63</v>
      </c>
      <c r="W230" s="21"/>
      <c r="X230" s="21"/>
      <c r="Y230" s="21"/>
      <c r="Z230" s="21"/>
      <c r="AA230" s="98">
        <f t="shared" si="297"/>
        <v>151</v>
      </c>
      <c r="AB230" s="98">
        <f>IF(OR(B230="",C230=""),"",SUMIFS('Reference Sheet'!$D$9:$D$42,'Reference Sheet'!$A$9:$A$42,C230,'Reference Sheet'!$B$9:$B$42,B230))</f>
        <v>168</v>
      </c>
      <c r="AC230" s="98">
        <f t="shared" si="310"/>
        <v>17</v>
      </c>
      <c r="AD230" s="100">
        <f t="shared" si="314"/>
        <v>0</v>
      </c>
      <c r="AE230" s="100">
        <f t="shared" si="315"/>
        <v>0</v>
      </c>
      <c r="AF230" s="100">
        <f t="shared" si="316"/>
        <v>0</v>
      </c>
      <c r="AG230" s="100">
        <f t="shared" si="317"/>
        <v>0</v>
      </c>
      <c r="AH230" s="100">
        <f t="shared" si="318"/>
        <v>0</v>
      </c>
      <c r="AI230" s="100">
        <f t="shared" si="319"/>
        <v>0</v>
      </c>
      <c r="AJ230" s="100">
        <f t="shared" si="320"/>
        <v>97.907284768211923</v>
      </c>
      <c r="AK230" s="100">
        <f t="shared" si="321"/>
        <v>0</v>
      </c>
      <c r="AL230" s="100">
        <f t="shared" si="298"/>
        <v>0</v>
      </c>
      <c r="AM230" s="100">
        <f t="shared" si="322"/>
        <v>0</v>
      </c>
      <c r="AN230" s="100">
        <f t="shared" si="323"/>
        <v>0</v>
      </c>
      <c r="AO230" s="100">
        <f t="shared" si="324"/>
        <v>0</v>
      </c>
      <c r="AP230" s="100">
        <f t="shared" si="325"/>
        <v>0</v>
      </c>
      <c r="AQ230" s="100">
        <f t="shared" si="326"/>
        <v>0</v>
      </c>
      <c r="AR230" s="100">
        <f t="shared" si="327"/>
        <v>0</v>
      </c>
      <c r="AS230" s="100">
        <f t="shared" si="328"/>
        <v>70.092715231788077</v>
      </c>
      <c r="AT230" s="100">
        <f t="shared" si="299"/>
        <v>0</v>
      </c>
      <c r="AU230" s="100">
        <f t="shared" si="311"/>
        <v>0</v>
      </c>
      <c r="AV230" s="100">
        <f t="shared" si="300"/>
        <v>0</v>
      </c>
      <c r="AW230" s="100">
        <f t="shared" si="312"/>
        <v>0</v>
      </c>
      <c r="AX230">
        <f t="shared" si="313"/>
        <v>168</v>
      </c>
      <c r="AY230" s="98">
        <f t="shared" si="301"/>
        <v>0</v>
      </c>
      <c r="AZ230" s="98">
        <f t="shared" si="302"/>
        <v>0</v>
      </c>
      <c r="BA230" s="98">
        <f t="shared" si="267"/>
        <v>0</v>
      </c>
      <c r="BB230" s="98">
        <f t="shared" si="303"/>
        <v>0</v>
      </c>
      <c r="BC230" s="98">
        <f t="shared" si="268"/>
        <v>0</v>
      </c>
      <c r="BD230" s="98">
        <f t="shared" si="269"/>
        <v>0</v>
      </c>
      <c r="BE230" s="98">
        <f t="shared" si="270"/>
        <v>3837.933738480489</v>
      </c>
      <c r="BF230" s="98">
        <f t="shared" si="304"/>
        <v>0</v>
      </c>
      <c r="BG230" s="98">
        <f t="shared" si="305"/>
        <v>0</v>
      </c>
      <c r="BH230" s="98">
        <f t="shared" si="271"/>
        <v>0</v>
      </c>
      <c r="BI230" s="98">
        <f t="shared" si="272"/>
        <v>0</v>
      </c>
      <c r="BJ230" s="98">
        <f t="shared" si="273"/>
        <v>0</v>
      </c>
      <c r="BK230" s="98">
        <f t="shared" si="274"/>
        <v>0</v>
      </c>
      <c r="BL230" s="98">
        <f t="shared" si="306"/>
        <v>0</v>
      </c>
      <c r="BM230" s="98">
        <f t="shared" si="275"/>
        <v>0</v>
      </c>
      <c r="BN230" s="98">
        <f t="shared" si="276"/>
        <v>2747.6116536848954</v>
      </c>
      <c r="BO230" s="98">
        <f t="shared" si="307"/>
        <v>0</v>
      </c>
      <c r="BP230" s="98">
        <f t="shared" si="277"/>
        <v>0</v>
      </c>
      <c r="BQ230" s="98">
        <f t="shared" si="308"/>
        <v>0</v>
      </c>
      <c r="BR230" s="98">
        <f t="shared" si="278"/>
        <v>0</v>
      </c>
    </row>
    <row r="231" spans="1:70" x14ac:dyDescent="0.25">
      <c r="A231" t="s">
        <v>61</v>
      </c>
      <c r="B231" t="s">
        <v>9</v>
      </c>
      <c r="C231">
        <v>2024</v>
      </c>
      <c r="D231" s="98">
        <f>INDEX('Reference Sheet'!$G$9:$J$100, MATCH(A231,'Reference Sheet'!$F$9:$F$100,0), MATCH(C231,'Reference Sheet'!$G$8:$J$8,0))/2080</f>
        <v>32.904956730769229</v>
      </c>
      <c r="E231" s="99">
        <f>VLOOKUP(C231,'Reference Sheet'!$A$2:$B$5,2)</f>
        <v>0.1913</v>
      </c>
      <c r="F231" s="98">
        <f t="shared" si="309"/>
        <v>39.199674953365381</v>
      </c>
      <c r="G231" s="98"/>
      <c r="H231" s="98"/>
      <c r="I231" s="21"/>
      <c r="J231" s="21"/>
      <c r="K231" s="21"/>
      <c r="L231" s="21"/>
      <c r="M231" s="21">
        <v>88</v>
      </c>
      <c r="N231" s="21"/>
      <c r="O231" s="21"/>
      <c r="P231" s="21"/>
      <c r="Q231" s="21"/>
      <c r="R231" s="21"/>
      <c r="S231" s="21"/>
      <c r="T231" s="21"/>
      <c r="U231" s="21"/>
      <c r="V231" s="21">
        <v>66</v>
      </c>
      <c r="W231" s="21"/>
      <c r="X231" s="21"/>
      <c r="Y231" s="21"/>
      <c r="Z231" s="21"/>
      <c r="AA231" s="98">
        <f t="shared" si="297"/>
        <v>154</v>
      </c>
      <c r="AB231" s="98">
        <f>IF(OR(B231="",C231=""),"",SUMIFS('Reference Sheet'!$D$9:$D$42,'Reference Sheet'!$A$9:$A$42,C231,'Reference Sheet'!$B$9:$B$42,B231))</f>
        <v>176</v>
      </c>
      <c r="AC231" s="98">
        <f t="shared" si="310"/>
        <v>22</v>
      </c>
      <c r="AD231" s="100">
        <f t="shared" si="314"/>
        <v>0</v>
      </c>
      <c r="AE231" s="100">
        <f t="shared" si="315"/>
        <v>0</v>
      </c>
      <c r="AF231" s="100">
        <f t="shared" si="316"/>
        <v>0</v>
      </c>
      <c r="AG231" s="100">
        <f t="shared" si="317"/>
        <v>0</v>
      </c>
      <c r="AH231" s="100">
        <f t="shared" si="318"/>
        <v>0</v>
      </c>
      <c r="AI231" s="100">
        <f t="shared" si="319"/>
        <v>0</v>
      </c>
      <c r="AJ231" s="100">
        <f t="shared" si="320"/>
        <v>100.57142857142857</v>
      </c>
      <c r="AK231" s="100">
        <f t="shared" si="321"/>
        <v>0</v>
      </c>
      <c r="AL231" s="100">
        <f t="shared" si="298"/>
        <v>0</v>
      </c>
      <c r="AM231" s="100">
        <f t="shared" si="322"/>
        <v>0</v>
      </c>
      <c r="AN231" s="100">
        <f t="shared" si="323"/>
        <v>0</v>
      </c>
      <c r="AO231" s="100">
        <f t="shared" si="324"/>
        <v>0</v>
      </c>
      <c r="AP231" s="100">
        <f t="shared" si="325"/>
        <v>0</v>
      </c>
      <c r="AQ231" s="100">
        <f t="shared" si="326"/>
        <v>0</v>
      </c>
      <c r="AR231" s="100">
        <f t="shared" si="327"/>
        <v>0</v>
      </c>
      <c r="AS231" s="100">
        <f t="shared" si="328"/>
        <v>75.428571428571431</v>
      </c>
      <c r="AT231" s="100">
        <f t="shared" si="299"/>
        <v>0</v>
      </c>
      <c r="AU231" s="100">
        <f t="shared" si="311"/>
        <v>0</v>
      </c>
      <c r="AV231" s="100">
        <f t="shared" si="300"/>
        <v>0</v>
      </c>
      <c r="AW231" s="100">
        <f t="shared" si="312"/>
        <v>0</v>
      </c>
      <c r="AX231">
        <f t="shared" si="313"/>
        <v>176</v>
      </c>
      <c r="AY231" s="98">
        <f t="shared" si="301"/>
        <v>0</v>
      </c>
      <c r="AZ231" s="98">
        <f t="shared" si="302"/>
        <v>0</v>
      </c>
      <c r="BA231" s="98">
        <f t="shared" si="267"/>
        <v>0</v>
      </c>
      <c r="BB231" s="98">
        <f t="shared" si="303"/>
        <v>0</v>
      </c>
      <c r="BC231" s="98">
        <f t="shared" si="268"/>
        <v>0</v>
      </c>
      <c r="BD231" s="98">
        <f t="shared" si="269"/>
        <v>0</v>
      </c>
      <c r="BE231" s="98">
        <f t="shared" si="270"/>
        <v>3942.3673095956042</v>
      </c>
      <c r="BF231" s="98">
        <f t="shared" si="304"/>
        <v>0</v>
      </c>
      <c r="BG231" s="98">
        <f t="shared" si="305"/>
        <v>0</v>
      </c>
      <c r="BH231" s="98">
        <f t="shared" si="271"/>
        <v>0</v>
      </c>
      <c r="BI231" s="98">
        <f t="shared" si="272"/>
        <v>0</v>
      </c>
      <c r="BJ231" s="98">
        <f t="shared" si="273"/>
        <v>0</v>
      </c>
      <c r="BK231" s="98">
        <f t="shared" si="274"/>
        <v>0</v>
      </c>
      <c r="BL231" s="98">
        <f t="shared" si="306"/>
        <v>0</v>
      </c>
      <c r="BM231" s="98">
        <f t="shared" si="275"/>
        <v>0</v>
      </c>
      <c r="BN231" s="98">
        <f t="shared" si="276"/>
        <v>2956.7754821967033</v>
      </c>
      <c r="BO231" s="98">
        <f t="shared" si="307"/>
        <v>0</v>
      </c>
      <c r="BP231" s="98">
        <f t="shared" si="277"/>
        <v>0</v>
      </c>
      <c r="BQ231" s="98">
        <f t="shared" si="308"/>
        <v>0</v>
      </c>
      <c r="BR231" s="98">
        <f t="shared" si="278"/>
        <v>0</v>
      </c>
    </row>
    <row r="232" spans="1:70" x14ac:dyDescent="0.25">
      <c r="A232" t="s">
        <v>61</v>
      </c>
      <c r="B232" t="s">
        <v>13</v>
      </c>
      <c r="C232">
        <v>2024</v>
      </c>
      <c r="D232" s="98">
        <f>INDEX('Reference Sheet'!$G$9:$J$100, MATCH(A232,'Reference Sheet'!$F$9:$F$100,0), MATCH(C232,'Reference Sheet'!$G$8:$J$8,0))/2080</f>
        <v>32.904956730769229</v>
      </c>
      <c r="E232" s="99">
        <f>VLOOKUP(C232,'Reference Sheet'!$A$2:$B$5,2)</f>
        <v>0.1913</v>
      </c>
      <c r="F232" s="98">
        <f t="shared" si="309"/>
        <v>39.199674953365381</v>
      </c>
      <c r="G232" s="98"/>
      <c r="H232" s="98"/>
      <c r="I232" s="21"/>
      <c r="J232" s="21"/>
      <c r="K232" s="21"/>
      <c r="L232" s="21"/>
      <c r="M232" s="21">
        <v>88</v>
      </c>
      <c r="N232" s="21"/>
      <c r="O232" s="21"/>
      <c r="P232" s="21"/>
      <c r="Q232" s="21"/>
      <c r="R232" s="21"/>
      <c r="S232" s="21"/>
      <c r="T232" s="21"/>
      <c r="U232" s="21"/>
      <c r="V232" s="21">
        <v>66</v>
      </c>
      <c r="W232" s="21"/>
      <c r="X232" s="21"/>
      <c r="Y232" s="21"/>
      <c r="Z232" s="21"/>
      <c r="AA232" s="98">
        <f t="shared" si="297"/>
        <v>154</v>
      </c>
      <c r="AB232" s="98">
        <f>IF(OR(B232="",C232=""),"",SUMIFS('Reference Sheet'!$D$9:$D$42,'Reference Sheet'!$A$9:$A$42,C232,'Reference Sheet'!$B$9:$B$42,B232))</f>
        <v>176</v>
      </c>
      <c r="AC232" s="98">
        <f t="shared" si="310"/>
        <v>22</v>
      </c>
      <c r="AD232" s="100">
        <f t="shared" si="314"/>
        <v>0</v>
      </c>
      <c r="AE232" s="100">
        <f t="shared" si="315"/>
        <v>0</v>
      </c>
      <c r="AF232" s="100">
        <f t="shared" si="316"/>
        <v>0</v>
      </c>
      <c r="AG232" s="100">
        <f t="shared" si="317"/>
        <v>0</v>
      </c>
      <c r="AH232" s="100">
        <f t="shared" si="318"/>
        <v>0</v>
      </c>
      <c r="AI232" s="100">
        <f t="shared" si="319"/>
        <v>0</v>
      </c>
      <c r="AJ232" s="100">
        <f t="shared" si="320"/>
        <v>100.57142857142857</v>
      </c>
      <c r="AK232" s="100">
        <f t="shared" si="321"/>
        <v>0</v>
      </c>
      <c r="AL232" s="100">
        <f t="shared" si="298"/>
        <v>0</v>
      </c>
      <c r="AM232" s="100">
        <f t="shared" si="322"/>
        <v>0</v>
      </c>
      <c r="AN232" s="100">
        <f t="shared" si="323"/>
        <v>0</v>
      </c>
      <c r="AO232" s="100">
        <f t="shared" si="324"/>
        <v>0</v>
      </c>
      <c r="AP232" s="100">
        <f t="shared" si="325"/>
        <v>0</v>
      </c>
      <c r="AQ232" s="100">
        <f t="shared" si="326"/>
        <v>0</v>
      </c>
      <c r="AR232" s="100">
        <f t="shared" si="327"/>
        <v>0</v>
      </c>
      <c r="AS232" s="100">
        <f t="shared" si="328"/>
        <v>75.428571428571431</v>
      </c>
      <c r="AT232" s="100">
        <f t="shared" si="299"/>
        <v>0</v>
      </c>
      <c r="AU232" s="100">
        <f t="shared" si="311"/>
        <v>0</v>
      </c>
      <c r="AV232" s="100">
        <f t="shared" si="300"/>
        <v>0</v>
      </c>
      <c r="AW232" s="100">
        <f t="shared" si="312"/>
        <v>0</v>
      </c>
      <c r="AX232">
        <f t="shared" si="313"/>
        <v>176</v>
      </c>
      <c r="AY232" s="98">
        <f t="shared" si="301"/>
        <v>0</v>
      </c>
      <c r="AZ232" s="98">
        <f t="shared" si="302"/>
        <v>0</v>
      </c>
      <c r="BA232" s="98">
        <f t="shared" si="267"/>
        <v>0</v>
      </c>
      <c r="BB232" s="98">
        <f t="shared" si="303"/>
        <v>0</v>
      </c>
      <c r="BC232" s="98">
        <f t="shared" si="268"/>
        <v>0</v>
      </c>
      <c r="BD232" s="98">
        <f t="shared" si="269"/>
        <v>0</v>
      </c>
      <c r="BE232" s="98">
        <f t="shared" si="270"/>
        <v>3942.3673095956042</v>
      </c>
      <c r="BF232" s="98">
        <f t="shared" si="304"/>
        <v>0</v>
      </c>
      <c r="BG232" s="98">
        <f t="shared" si="305"/>
        <v>0</v>
      </c>
      <c r="BH232" s="98">
        <f t="shared" si="271"/>
        <v>0</v>
      </c>
      <c r="BI232" s="98">
        <f t="shared" si="272"/>
        <v>0</v>
      </c>
      <c r="BJ232" s="98">
        <f t="shared" si="273"/>
        <v>0</v>
      </c>
      <c r="BK232" s="98">
        <f t="shared" si="274"/>
        <v>0</v>
      </c>
      <c r="BL232" s="98">
        <f t="shared" si="306"/>
        <v>0</v>
      </c>
      <c r="BM232" s="98">
        <f t="shared" si="275"/>
        <v>0</v>
      </c>
      <c r="BN232" s="98">
        <f t="shared" si="276"/>
        <v>2956.7754821967033</v>
      </c>
      <c r="BO232" s="98">
        <f t="shared" si="307"/>
        <v>0</v>
      </c>
      <c r="BP232" s="98">
        <f t="shared" si="277"/>
        <v>0</v>
      </c>
      <c r="BQ232" s="98">
        <f t="shared" si="308"/>
        <v>0</v>
      </c>
      <c r="BR232" s="98">
        <f t="shared" si="278"/>
        <v>0</v>
      </c>
    </row>
    <row r="233" spans="1:70" x14ac:dyDescent="0.25">
      <c r="A233" t="s">
        <v>61</v>
      </c>
      <c r="B233" t="s">
        <v>10</v>
      </c>
      <c r="C233">
        <v>2024</v>
      </c>
      <c r="D233" s="98">
        <f>INDEX('Reference Sheet'!$G$9:$J$100, MATCH(A233,'Reference Sheet'!$F$9:$F$100,0), MATCH(C233,'Reference Sheet'!$G$8:$J$8,0))/2080</f>
        <v>32.904956730769229</v>
      </c>
      <c r="E233" s="99">
        <f>VLOOKUP(C233,'Reference Sheet'!$A$2:$B$5,2)</f>
        <v>0.1913</v>
      </c>
      <c r="F233" s="98">
        <f t="shared" si="309"/>
        <v>39.199674953365381</v>
      </c>
      <c r="G233" s="98"/>
      <c r="H233" s="98"/>
      <c r="I233" s="21"/>
      <c r="J233" s="21"/>
      <c r="K233" s="21"/>
      <c r="L233" s="21"/>
      <c r="M233" s="21">
        <v>88</v>
      </c>
      <c r="N233" s="21"/>
      <c r="O233" s="21"/>
      <c r="P233" s="21"/>
      <c r="Q233" s="21"/>
      <c r="R233" s="21"/>
      <c r="S233" s="21"/>
      <c r="T233" s="21"/>
      <c r="U233" s="21"/>
      <c r="V233" s="21">
        <v>69</v>
      </c>
      <c r="W233" s="21"/>
      <c r="X233" s="21"/>
      <c r="Y233" s="21"/>
      <c r="Z233" s="21"/>
      <c r="AA233" s="98">
        <f t="shared" si="297"/>
        <v>157</v>
      </c>
      <c r="AB233" s="98">
        <f>IF(OR(B233="",C233=""),"",SUMIFS('Reference Sheet'!$D$9:$D$42,'Reference Sheet'!$A$9:$A$42,C233,'Reference Sheet'!$B$9:$B$42,B233))</f>
        <v>184</v>
      </c>
      <c r="AC233" s="98">
        <f t="shared" si="310"/>
        <v>27</v>
      </c>
      <c r="AD233" s="100">
        <f t="shared" si="314"/>
        <v>0</v>
      </c>
      <c r="AE233" s="100">
        <f t="shared" si="315"/>
        <v>0</v>
      </c>
      <c r="AF233" s="100">
        <f t="shared" si="316"/>
        <v>0</v>
      </c>
      <c r="AG233" s="100">
        <f t="shared" si="317"/>
        <v>0</v>
      </c>
      <c r="AH233" s="100">
        <f t="shared" si="318"/>
        <v>0</v>
      </c>
      <c r="AI233" s="100">
        <f t="shared" si="319"/>
        <v>0</v>
      </c>
      <c r="AJ233" s="100">
        <f t="shared" si="320"/>
        <v>103.13375796178343</v>
      </c>
      <c r="AK233" s="100">
        <f t="shared" si="321"/>
        <v>0</v>
      </c>
      <c r="AL233" s="100">
        <f t="shared" si="298"/>
        <v>0</v>
      </c>
      <c r="AM233" s="100">
        <f t="shared" si="322"/>
        <v>0</v>
      </c>
      <c r="AN233" s="100">
        <f t="shared" si="323"/>
        <v>0</v>
      </c>
      <c r="AO233" s="100">
        <f t="shared" si="324"/>
        <v>0</v>
      </c>
      <c r="AP233" s="100">
        <f t="shared" si="325"/>
        <v>0</v>
      </c>
      <c r="AQ233" s="100">
        <f t="shared" si="326"/>
        <v>0</v>
      </c>
      <c r="AR233" s="100">
        <f t="shared" si="327"/>
        <v>0</v>
      </c>
      <c r="AS233" s="100">
        <f t="shared" si="328"/>
        <v>80.866242038216569</v>
      </c>
      <c r="AT233" s="100">
        <f t="shared" si="299"/>
        <v>0</v>
      </c>
      <c r="AU233" s="100">
        <f t="shared" si="311"/>
        <v>0</v>
      </c>
      <c r="AV233" s="100">
        <f t="shared" si="300"/>
        <v>0</v>
      </c>
      <c r="AW233" s="100">
        <f t="shared" si="312"/>
        <v>0</v>
      </c>
      <c r="AX233">
        <f t="shared" si="313"/>
        <v>184</v>
      </c>
      <c r="AY233" s="98">
        <f t="shared" si="301"/>
        <v>0</v>
      </c>
      <c r="AZ233" s="98">
        <f t="shared" si="302"/>
        <v>0</v>
      </c>
      <c r="BA233" s="98">
        <f t="shared" si="267"/>
        <v>0</v>
      </c>
      <c r="BB233" s="98">
        <f t="shared" si="303"/>
        <v>0</v>
      </c>
      <c r="BC233" s="98">
        <f t="shared" si="268"/>
        <v>0</v>
      </c>
      <c r="BD233" s="98">
        <f t="shared" si="269"/>
        <v>0</v>
      </c>
      <c r="BE233" s="98">
        <f t="shared" si="270"/>
        <v>4042.8097888209695</v>
      </c>
      <c r="BF233" s="98">
        <f t="shared" si="304"/>
        <v>0</v>
      </c>
      <c r="BG233" s="98">
        <f t="shared" si="305"/>
        <v>0</v>
      </c>
      <c r="BH233" s="98">
        <f t="shared" si="271"/>
        <v>0</v>
      </c>
      <c r="BI233" s="98">
        <f t="shared" si="272"/>
        <v>0</v>
      </c>
      <c r="BJ233" s="98">
        <f t="shared" si="273"/>
        <v>0</v>
      </c>
      <c r="BK233" s="98">
        <f t="shared" si="274"/>
        <v>0</v>
      </c>
      <c r="BL233" s="98">
        <f t="shared" si="306"/>
        <v>0</v>
      </c>
      <c r="BM233" s="98">
        <f t="shared" si="275"/>
        <v>0</v>
      </c>
      <c r="BN233" s="98">
        <f t="shared" si="276"/>
        <v>3169.9304025982606</v>
      </c>
      <c r="BO233" s="98">
        <f t="shared" si="307"/>
        <v>0</v>
      </c>
      <c r="BP233" s="98">
        <f t="shared" si="277"/>
        <v>0</v>
      </c>
      <c r="BQ233" s="98">
        <f t="shared" si="308"/>
        <v>0</v>
      </c>
      <c r="BR233" s="98">
        <f t="shared" si="278"/>
        <v>0</v>
      </c>
    </row>
    <row r="234" spans="1:70" x14ac:dyDescent="0.25">
      <c r="A234" t="s">
        <v>61</v>
      </c>
      <c r="B234" t="s">
        <v>12</v>
      </c>
      <c r="C234">
        <v>2024</v>
      </c>
      <c r="D234" s="98">
        <f>INDEX('Reference Sheet'!$G$9:$J$100, MATCH(A234,'Reference Sheet'!$F$9:$F$100,0), MATCH(C234,'Reference Sheet'!$G$8:$J$8,0))/2080</f>
        <v>32.904956730769229</v>
      </c>
      <c r="E234" s="99">
        <f>VLOOKUP(C234,'Reference Sheet'!$A$2:$B$5,2)</f>
        <v>0.1913</v>
      </c>
      <c r="F234" s="98">
        <f t="shared" si="309"/>
        <v>39.199674953365381</v>
      </c>
      <c r="G234" s="98"/>
      <c r="H234" s="98"/>
      <c r="I234" s="21"/>
      <c r="J234" s="21"/>
      <c r="K234" s="21"/>
      <c r="L234" s="21"/>
      <c r="M234" s="21">
        <v>88</v>
      </c>
      <c r="N234" s="21"/>
      <c r="O234" s="21"/>
      <c r="P234" s="21"/>
      <c r="Q234" s="21"/>
      <c r="R234" s="21"/>
      <c r="S234" s="21"/>
      <c r="T234" s="21"/>
      <c r="U234" s="21"/>
      <c r="V234" s="21">
        <v>69</v>
      </c>
      <c r="W234" s="21"/>
      <c r="X234" s="21"/>
      <c r="Y234" s="21"/>
      <c r="Z234" s="21"/>
      <c r="AA234" s="98">
        <f t="shared" si="297"/>
        <v>157</v>
      </c>
      <c r="AB234" s="98">
        <f>IF(OR(B234="",C234=""),"",SUMIFS('Reference Sheet'!$D$9:$D$42,'Reference Sheet'!$A$9:$A$42,C234,'Reference Sheet'!$B$9:$B$42,B234))</f>
        <v>184</v>
      </c>
      <c r="AC234" s="98">
        <f t="shared" si="310"/>
        <v>27</v>
      </c>
      <c r="AD234" s="100">
        <f t="shared" si="314"/>
        <v>0</v>
      </c>
      <c r="AE234" s="100">
        <f t="shared" si="315"/>
        <v>0</v>
      </c>
      <c r="AF234" s="100">
        <f t="shared" si="316"/>
        <v>0</v>
      </c>
      <c r="AG234" s="100">
        <f t="shared" si="317"/>
        <v>0</v>
      </c>
      <c r="AH234" s="100">
        <f t="shared" si="318"/>
        <v>0</v>
      </c>
      <c r="AI234" s="100">
        <f t="shared" si="319"/>
        <v>0</v>
      </c>
      <c r="AJ234" s="100">
        <f t="shared" si="320"/>
        <v>103.13375796178343</v>
      </c>
      <c r="AK234" s="100">
        <f t="shared" si="321"/>
        <v>0</v>
      </c>
      <c r="AL234" s="100">
        <f t="shared" si="298"/>
        <v>0</v>
      </c>
      <c r="AM234" s="100">
        <f t="shared" si="322"/>
        <v>0</v>
      </c>
      <c r="AN234" s="100">
        <f t="shared" si="323"/>
        <v>0</v>
      </c>
      <c r="AO234" s="100">
        <f t="shared" si="324"/>
        <v>0</v>
      </c>
      <c r="AP234" s="100">
        <f t="shared" si="325"/>
        <v>0</v>
      </c>
      <c r="AQ234" s="100">
        <f t="shared" si="326"/>
        <v>0</v>
      </c>
      <c r="AR234" s="100">
        <f t="shared" si="327"/>
        <v>0</v>
      </c>
      <c r="AS234" s="100">
        <f t="shared" si="328"/>
        <v>80.866242038216569</v>
      </c>
      <c r="AT234" s="100">
        <f t="shared" si="299"/>
        <v>0</v>
      </c>
      <c r="AU234" s="100">
        <f t="shared" si="311"/>
        <v>0</v>
      </c>
      <c r="AV234" s="100">
        <f t="shared" si="300"/>
        <v>0</v>
      </c>
      <c r="AW234" s="100">
        <f t="shared" si="312"/>
        <v>0</v>
      </c>
      <c r="AX234">
        <f t="shared" si="313"/>
        <v>184</v>
      </c>
      <c r="AY234" s="98">
        <f t="shared" si="301"/>
        <v>0</v>
      </c>
      <c r="AZ234" s="98">
        <f t="shared" si="302"/>
        <v>0</v>
      </c>
      <c r="BA234" s="98">
        <f t="shared" si="267"/>
        <v>0</v>
      </c>
      <c r="BB234" s="98">
        <f t="shared" si="303"/>
        <v>0</v>
      </c>
      <c r="BC234" s="98">
        <f t="shared" si="268"/>
        <v>0</v>
      </c>
      <c r="BD234" s="98">
        <f t="shared" si="269"/>
        <v>0</v>
      </c>
      <c r="BE234" s="98">
        <f t="shared" si="270"/>
        <v>4042.8097888209695</v>
      </c>
      <c r="BF234" s="98">
        <f t="shared" si="304"/>
        <v>0</v>
      </c>
      <c r="BG234" s="98">
        <f t="shared" si="305"/>
        <v>0</v>
      </c>
      <c r="BH234" s="98">
        <f t="shared" si="271"/>
        <v>0</v>
      </c>
      <c r="BI234" s="98">
        <f t="shared" si="272"/>
        <v>0</v>
      </c>
      <c r="BJ234" s="98">
        <f t="shared" si="273"/>
        <v>0</v>
      </c>
      <c r="BK234" s="98">
        <f t="shared" si="274"/>
        <v>0</v>
      </c>
      <c r="BL234" s="98">
        <f t="shared" si="306"/>
        <v>0</v>
      </c>
      <c r="BM234" s="98">
        <f t="shared" si="275"/>
        <v>0</v>
      </c>
      <c r="BN234" s="98">
        <f t="shared" si="276"/>
        <v>3169.9304025982606</v>
      </c>
      <c r="BO234" s="98">
        <f t="shared" si="307"/>
        <v>0</v>
      </c>
      <c r="BP234" s="98">
        <f t="shared" si="277"/>
        <v>0</v>
      </c>
      <c r="BQ234" s="98">
        <f t="shared" si="308"/>
        <v>0</v>
      </c>
      <c r="BR234" s="98">
        <f t="shared" si="278"/>
        <v>0</v>
      </c>
    </row>
    <row r="235" spans="1:70" x14ac:dyDescent="0.25">
      <c r="A235" t="s">
        <v>61</v>
      </c>
      <c r="B235" t="s">
        <v>16</v>
      </c>
      <c r="C235">
        <v>2024</v>
      </c>
      <c r="D235" s="98">
        <f>INDEX('Reference Sheet'!$G$9:$J$100, MATCH(A235,'Reference Sheet'!$F$9:$F$100,0), MATCH(C235,'Reference Sheet'!$G$8:$J$8,0))/2080</f>
        <v>32.904956730769229</v>
      </c>
      <c r="E235" s="99">
        <f>VLOOKUP(C235,'Reference Sheet'!$A$2:$B$5,2)</f>
        <v>0.1913</v>
      </c>
      <c r="F235" s="98">
        <f t="shared" si="309"/>
        <v>39.199674953365381</v>
      </c>
      <c r="G235" s="98"/>
      <c r="H235" s="98"/>
      <c r="I235" s="21"/>
      <c r="J235" s="21"/>
      <c r="K235" s="21"/>
      <c r="L235" s="21"/>
      <c r="M235" s="21">
        <v>88</v>
      </c>
      <c r="N235" s="21"/>
      <c r="O235" s="21"/>
      <c r="P235" s="21"/>
      <c r="Q235" s="21"/>
      <c r="R235" s="21"/>
      <c r="S235" s="21"/>
      <c r="T235" s="21"/>
      <c r="U235" s="21"/>
      <c r="V235" s="21">
        <v>14</v>
      </c>
      <c r="W235" s="21"/>
      <c r="X235" s="21">
        <v>66</v>
      </c>
      <c r="Y235" s="21"/>
      <c r="Z235" s="21"/>
      <c r="AA235" s="98">
        <f t="shared" si="297"/>
        <v>168</v>
      </c>
      <c r="AB235" s="98">
        <f>IF(OR(B235="",C235=""),"",SUMIFS('Reference Sheet'!$D$9:$D$42,'Reference Sheet'!$A$9:$A$42,C235,'Reference Sheet'!$B$9:$B$42,B235))</f>
        <v>168</v>
      </c>
      <c r="AC235" s="98">
        <f t="shared" si="310"/>
        <v>0</v>
      </c>
      <c r="AD235" s="100">
        <f t="shared" si="314"/>
        <v>0</v>
      </c>
      <c r="AE235" s="100">
        <f t="shared" si="315"/>
        <v>0</v>
      </c>
      <c r="AF235" s="100">
        <f t="shared" si="316"/>
        <v>0</v>
      </c>
      <c r="AG235" s="100">
        <f t="shared" si="317"/>
        <v>0</v>
      </c>
      <c r="AH235" s="100">
        <f t="shared" si="318"/>
        <v>0</v>
      </c>
      <c r="AI235" s="100">
        <f t="shared" si="319"/>
        <v>0</v>
      </c>
      <c r="AJ235" s="100">
        <f t="shared" si="320"/>
        <v>88</v>
      </c>
      <c r="AK235" s="100">
        <f t="shared" si="321"/>
        <v>0</v>
      </c>
      <c r="AL235" s="100">
        <f t="shared" si="298"/>
        <v>0</v>
      </c>
      <c r="AM235" s="100">
        <f t="shared" si="322"/>
        <v>0</v>
      </c>
      <c r="AN235" s="100">
        <f t="shared" si="323"/>
        <v>0</v>
      </c>
      <c r="AO235" s="100">
        <f t="shared" si="324"/>
        <v>0</v>
      </c>
      <c r="AP235" s="100">
        <f t="shared" si="325"/>
        <v>0</v>
      </c>
      <c r="AQ235" s="100">
        <f t="shared" si="326"/>
        <v>0</v>
      </c>
      <c r="AR235" s="100">
        <f t="shared" si="327"/>
        <v>0</v>
      </c>
      <c r="AS235" s="100">
        <f t="shared" si="328"/>
        <v>14</v>
      </c>
      <c r="AT235" s="100">
        <f t="shared" si="299"/>
        <v>0</v>
      </c>
      <c r="AU235" s="100">
        <f t="shared" si="311"/>
        <v>66</v>
      </c>
      <c r="AV235" s="100">
        <f t="shared" si="300"/>
        <v>0</v>
      </c>
      <c r="AW235" s="100">
        <f t="shared" si="312"/>
        <v>0</v>
      </c>
      <c r="AX235">
        <f t="shared" si="313"/>
        <v>168</v>
      </c>
      <c r="AY235" s="98">
        <f t="shared" si="301"/>
        <v>0</v>
      </c>
      <c r="AZ235" s="98">
        <f t="shared" si="302"/>
        <v>0</v>
      </c>
      <c r="BA235" s="98">
        <f t="shared" si="267"/>
        <v>0</v>
      </c>
      <c r="BB235" s="98">
        <f t="shared" si="303"/>
        <v>0</v>
      </c>
      <c r="BC235" s="98">
        <f t="shared" si="268"/>
        <v>0</v>
      </c>
      <c r="BD235" s="98">
        <f t="shared" si="269"/>
        <v>0</v>
      </c>
      <c r="BE235" s="98">
        <f t="shared" si="270"/>
        <v>3449.5713958961537</v>
      </c>
      <c r="BF235" s="98">
        <f t="shared" si="304"/>
        <v>0</v>
      </c>
      <c r="BG235" s="98">
        <f t="shared" si="305"/>
        <v>0</v>
      </c>
      <c r="BH235" s="98">
        <f t="shared" si="271"/>
        <v>0</v>
      </c>
      <c r="BI235" s="98">
        <f t="shared" si="272"/>
        <v>0</v>
      </c>
      <c r="BJ235" s="98">
        <f t="shared" si="273"/>
        <v>0</v>
      </c>
      <c r="BK235" s="98">
        <f t="shared" si="274"/>
        <v>0</v>
      </c>
      <c r="BL235" s="98">
        <f t="shared" si="306"/>
        <v>0</v>
      </c>
      <c r="BM235" s="98">
        <f t="shared" si="275"/>
        <v>0</v>
      </c>
      <c r="BN235" s="98">
        <f t="shared" si="276"/>
        <v>548.79544934711532</v>
      </c>
      <c r="BO235" s="98">
        <f t="shared" si="307"/>
        <v>0</v>
      </c>
      <c r="BP235" s="98">
        <f t="shared" si="277"/>
        <v>2587.1785469221149</v>
      </c>
      <c r="BQ235" s="98">
        <f t="shared" si="308"/>
        <v>0</v>
      </c>
      <c r="BR235" s="98">
        <f t="shared" si="278"/>
        <v>0</v>
      </c>
    </row>
    <row r="236" spans="1:70" x14ac:dyDescent="0.25">
      <c r="A236" t="s">
        <v>61</v>
      </c>
      <c r="B236" t="s">
        <v>17</v>
      </c>
      <c r="C236">
        <v>2024</v>
      </c>
      <c r="D236" s="98">
        <f>INDEX('Reference Sheet'!$G$9:$J$100, MATCH(A236,'Reference Sheet'!$F$9:$F$100,0), MATCH(C236,'Reference Sheet'!$G$8:$J$8,0))/2080</f>
        <v>32.904956730769229</v>
      </c>
      <c r="E236" s="99">
        <f>VLOOKUP(C236,'Reference Sheet'!$A$2:$B$5,2)</f>
        <v>0.1913</v>
      </c>
      <c r="F236" s="98">
        <f t="shared" si="309"/>
        <v>39.199674953365381</v>
      </c>
      <c r="G236" s="98"/>
      <c r="H236" s="98"/>
      <c r="I236" s="21"/>
      <c r="J236" s="21"/>
      <c r="K236" s="21"/>
      <c r="L236" s="21"/>
      <c r="M236" s="21">
        <v>88</v>
      </c>
      <c r="N236" s="21"/>
      <c r="O236" s="21"/>
      <c r="P236" s="21"/>
      <c r="Q236" s="21"/>
      <c r="R236" s="21"/>
      <c r="S236" s="21"/>
      <c r="T236" s="21"/>
      <c r="U236" s="21"/>
      <c r="V236" s="21">
        <v>12</v>
      </c>
      <c r="W236" s="21"/>
      <c r="X236" s="21">
        <v>76</v>
      </c>
      <c r="Y236" s="21"/>
      <c r="Z236" s="21"/>
      <c r="AA236" s="98">
        <f t="shared" si="297"/>
        <v>176</v>
      </c>
      <c r="AB236" s="98">
        <f>IF(OR(B236="",C236=""),"",SUMIFS('Reference Sheet'!$D$9:$D$42,'Reference Sheet'!$A$9:$A$42,C236,'Reference Sheet'!$B$9:$B$42,B236))</f>
        <v>176</v>
      </c>
      <c r="AC236" s="98">
        <f t="shared" si="310"/>
        <v>0</v>
      </c>
      <c r="AD236" s="100">
        <f t="shared" si="314"/>
        <v>0</v>
      </c>
      <c r="AE236" s="100">
        <f t="shared" si="315"/>
        <v>0</v>
      </c>
      <c r="AF236" s="100">
        <f t="shared" si="316"/>
        <v>0</v>
      </c>
      <c r="AG236" s="100">
        <f t="shared" si="317"/>
        <v>0</v>
      </c>
      <c r="AH236" s="100">
        <f t="shared" si="318"/>
        <v>0</v>
      </c>
      <c r="AI236" s="100">
        <f t="shared" si="319"/>
        <v>0</v>
      </c>
      <c r="AJ236" s="100">
        <f t="shared" si="320"/>
        <v>88</v>
      </c>
      <c r="AK236" s="100">
        <f t="shared" si="321"/>
        <v>0</v>
      </c>
      <c r="AL236" s="100">
        <f t="shared" si="298"/>
        <v>0</v>
      </c>
      <c r="AM236" s="100">
        <f t="shared" si="322"/>
        <v>0</v>
      </c>
      <c r="AN236" s="100">
        <f t="shared" si="323"/>
        <v>0</v>
      </c>
      <c r="AO236" s="100">
        <f t="shared" si="324"/>
        <v>0</v>
      </c>
      <c r="AP236" s="100">
        <f t="shared" si="325"/>
        <v>0</v>
      </c>
      <c r="AQ236" s="100">
        <f t="shared" si="326"/>
        <v>0</v>
      </c>
      <c r="AR236" s="100">
        <f t="shared" si="327"/>
        <v>0</v>
      </c>
      <c r="AS236" s="100">
        <f t="shared" si="328"/>
        <v>12</v>
      </c>
      <c r="AT236" s="100">
        <f t="shared" si="299"/>
        <v>0</v>
      </c>
      <c r="AU236" s="100">
        <f t="shared" si="311"/>
        <v>76</v>
      </c>
      <c r="AV236" s="100">
        <f t="shared" si="300"/>
        <v>0</v>
      </c>
      <c r="AW236" s="100">
        <f t="shared" si="312"/>
        <v>0</v>
      </c>
      <c r="AX236">
        <f t="shared" si="313"/>
        <v>176</v>
      </c>
      <c r="AY236" s="98">
        <f t="shared" si="301"/>
        <v>0</v>
      </c>
      <c r="AZ236" s="98">
        <f t="shared" si="302"/>
        <v>0</v>
      </c>
      <c r="BA236" s="98">
        <f t="shared" si="267"/>
        <v>0</v>
      </c>
      <c r="BB236" s="98">
        <f t="shared" si="303"/>
        <v>0</v>
      </c>
      <c r="BC236" s="98">
        <f t="shared" si="268"/>
        <v>0</v>
      </c>
      <c r="BD236" s="98">
        <f t="shared" si="269"/>
        <v>0</v>
      </c>
      <c r="BE236" s="98">
        <f t="shared" si="270"/>
        <v>3449.5713958961537</v>
      </c>
      <c r="BF236" s="98">
        <f t="shared" si="304"/>
        <v>0</v>
      </c>
      <c r="BG236" s="98">
        <f t="shared" si="305"/>
        <v>0</v>
      </c>
      <c r="BH236" s="98">
        <f t="shared" si="271"/>
        <v>0</v>
      </c>
      <c r="BI236" s="98">
        <f t="shared" si="272"/>
        <v>0</v>
      </c>
      <c r="BJ236" s="98">
        <f t="shared" si="273"/>
        <v>0</v>
      </c>
      <c r="BK236" s="98">
        <f t="shared" si="274"/>
        <v>0</v>
      </c>
      <c r="BL236" s="98">
        <f t="shared" si="306"/>
        <v>0</v>
      </c>
      <c r="BM236" s="98">
        <f t="shared" si="275"/>
        <v>0</v>
      </c>
      <c r="BN236" s="98">
        <f t="shared" si="276"/>
        <v>470.39609944038455</v>
      </c>
      <c r="BO236" s="98">
        <f t="shared" si="307"/>
        <v>0</v>
      </c>
      <c r="BP236" s="98">
        <f t="shared" si="277"/>
        <v>2979.1752964557691</v>
      </c>
      <c r="BQ236" s="98">
        <f t="shared" si="308"/>
        <v>0</v>
      </c>
      <c r="BR236" s="98">
        <f t="shared" si="278"/>
        <v>0</v>
      </c>
    </row>
    <row r="237" spans="1:70" x14ac:dyDescent="0.25">
      <c r="A237" t="s">
        <v>61</v>
      </c>
      <c r="B237" t="s">
        <v>15</v>
      </c>
      <c r="C237">
        <v>2024</v>
      </c>
      <c r="D237" s="98">
        <f>INDEX('Reference Sheet'!$G$9:$J$100, MATCH(A237,'Reference Sheet'!$F$9:$F$100,0), MATCH(C237,'Reference Sheet'!$G$8:$J$8,0))/2080</f>
        <v>32.904956730769229</v>
      </c>
      <c r="E237" s="99">
        <f>VLOOKUP(C237,'Reference Sheet'!$A$2:$B$5,2)</f>
        <v>0.1913</v>
      </c>
      <c r="F237" s="98">
        <f t="shared" si="309"/>
        <v>39.199674953365381</v>
      </c>
      <c r="G237" s="98"/>
      <c r="H237" s="98"/>
      <c r="I237" s="21"/>
      <c r="J237" s="21"/>
      <c r="K237" s="21"/>
      <c r="L237" s="21"/>
      <c r="M237" s="21">
        <v>88</v>
      </c>
      <c r="N237" s="21"/>
      <c r="O237" s="21"/>
      <c r="P237" s="21"/>
      <c r="Q237" s="21"/>
      <c r="R237" s="21"/>
      <c r="S237" s="21"/>
      <c r="T237" s="21"/>
      <c r="U237" s="21"/>
      <c r="V237" s="21">
        <v>8</v>
      </c>
      <c r="W237" s="21"/>
      <c r="X237" s="21">
        <v>88</v>
      </c>
      <c r="Y237" s="21"/>
      <c r="Z237" s="21"/>
      <c r="AA237" s="98">
        <f t="shared" si="297"/>
        <v>184</v>
      </c>
      <c r="AB237" s="98">
        <f>IF(OR(B237="",C237=""),"",SUMIFS('Reference Sheet'!$D$9:$D$42,'Reference Sheet'!$A$9:$A$42,C237,'Reference Sheet'!$B$9:$B$42,B237))</f>
        <v>184</v>
      </c>
      <c r="AC237" s="98">
        <f t="shared" si="310"/>
        <v>0</v>
      </c>
      <c r="AD237" s="100">
        <f t="shared" ref="AD237:AD268" si="329">(G237/$AA237)*$AB237</f>
        <v>0</v>
      </c>
      <c r="AE237" s="100">
        <f t="shared" ref="AE237:AE268" si="330">(H237/$AA237)*$AB237</f>
        <v>0</v>
      </c>
      <c r="AF237" s="100">
        <f t="shared" ref="AF237:AF268" si="331">(I237/$AA237)*$AB237</f>
        <v>0</v>
      </c>
      <c r="AG237" s="100">
        <f t="shared" ref="AG237:AG268" si="332">(J237/$AA237)*$AB237</f>
        <v>0</v>
      </c>
      <c r="AH237" s="100">
        <f t="shared" ref="AH237:AH268" si="333">(K237/$AA237)*$AB237</f>
        <v>0</v>
      </c>
      <c r="AI237" s="100">
        <f t="shared" ref="AI237:AI268" si="334">(L237/$AA237)*$AB237</f>
        <v>0</v>
      </c>
      <c r="AJ237" s="100">
        <f t="shared" ref="AJ237:AJ268" si="335">(M237/$AA237)*$AB237</f>
        <v>88</v>
      </c>
      <c r="AK237" s="100">
        <f t="shared" ref="AK237:AK268" si="336">(N237/$AA237)*$AB237</f>
        <v>0</v>
      </c>
      <c r="AL237" s="100">
        <f t="shared" si="298"/>
        <v>0</v>
      </c>
      <c r="AM237" s="100">
        <f t="shared" ref="AM237:AM268" si="337">(P237/$AA237)*$AB237</f>
        <v>0</v>
      </c>
      <c r="AN237" s="100">
        <f t="shared" ref="AN237:AN268" si="338">(Q237/$AA237)*$AB237</f>
        <v>0</v>
      </c>
      <c r="AO237" s="100">
        <f t="shared" ref="AO237:AO268" si="339">(R237/$AA237)*$AB237</f>
        <v>0</v>
      </c>
      <c r="AP237" s="100">
        <f t="shared" ref="AP237:AP268" si="340">(S237/$AA237)*$AB237</f>
        <v>0</v>
      </c>
      <c r="AQ237" s="100">
        <f t="shared" ref="AQ237:AQ268" si="341">(T237/$AA237)*$AB237</f>
        <v>0</v>
      </c>
      <c r="AR237" s="100">
        <f t="shared" ref="AR237:AR268" si="342">(U237/$AA237)*$AB237</f>
        <v>0</v>
      </c>
      <c r="AS237" s="100">
        <f t="shared" ref="AS237:AS268" si="343">(V237/$AA237)*$AB237</f>
        <v>8</v>
      </c>
      <c r="AT237" s="100">
        <f t="shared" si="299"/>
        <v>0</v>
      </c>
      <c r="AU237" s="100">
        <f t="shared" si="311"/>
        <v>88</v>
      </c>
      <c r="AV237" s="100">
        <f t="shared" si="300"/>
        <v>0</v>
      </c>
      <c r="AW237" s="100">
        <f t="shared" si="312"/>
        <v>0</v>
      </c>
      <c r="AX237">
        <f t="shared" si="313"/>
        <v>184</v>
      </c>
      <c r="AY237" s="98">
        <f t="shared" si="301"/>
        <v>0</v>
      </c>
      <c r="AZ237" s="98">
        <f t="shared" si="302"/>
        <v>0</v>
      </c>
      <c r="BA237" s="98">
        <f t="shared" si="267"/>
        <v>0</v>
      </c>
      <c r="BB237" s="98">
        <f t="shared" si="303"/>
        <v>0</v>
      </c>
      <c r="BC237" s="98">
        <f t="shared" si="268"/>
        <v>0</v>
      </c>
      <c r="BD237" s="98">
        <f t="shared" si="269"/>
        <v>0</v>
      </c>
      <c r="BE237" s="98">
        <f t="shared" si="270"/>
        <v>3449.5713958961537</v>
      </c>
      <c r="BF237" s="98">
        <f t="shared" si="304"/>
        <v>0</v>
      </c>
      <c r="BG237" s="98">
        <f t="shared" si="305"/>
        <v>0</v>
      </c>
      <c r="BH237" s="98">
        <f t="shared" si="271"/>
        <v>0</v>
      </c>
      <c r="BI237" s="98">
        <f t="shared" si="272"/>
        <v>0</v>
      </c>
      <c r="BJ237" s="98">
        <f t="shared" si="273"/>
        <v>0</v>
      </c>
      <c r="BK237" s="98">
        <f t="shared" si="274"/>
        <v>0</v>
      </c>
      <c r="BL237" s="98">
        <f t="shared" si="306"/>
        <v>0</v>
      </c>
      <c r="BM237" s="98">
        <f t="shared" si="275"/>
        <v>0</v>
      </c>
      <c r="BN237" s="98">
        <f t="shared" si="276"/>
        <v>313.59739962692305</v>
      </c>
      <c r="BO237" s="98">
        <f t="shared" si="307"/>
        <v>0</v>
      </c>
      <c r="BP237" s="98">
        <f t="shared" si="277"/>
        <v>3449.5713958961537</v>
      </c>
      <c r="BQ237" s="98">
        <f t="shared" si="308"/>
        <v>0</v>
      </c>
      <c r="BR237" s="98">
        <f t="shared" si="278"/>
        <v>0</v>
      </c>
    </row>
    <row r="238" spans="1:70" x14ac:dyDescent="0.25">
      <c r="A238" t="s">
        <v>61</v>
      </c>
      <c r="B238" t="s">
        <v>7</v>
      </c>
      <c r="C238">
        <v>2025</v>
      </c>
      <c r="D238" s="98">
        <f>INDEX('Reference Sheet'!$G$9:$J$100, MATCH(A238,'Reference Sheet'!$F$9:$F$100,0), MATCH(C238,'Reference Sheet'!$G$8:$J$8,0))/2080</f>
        <v>36.688504807692304</v>
      </c>
      <c r="E238" s="99">
        <f>VLOOKUP(C238,'Reference Sheet'!$A$2:$B$5,2)</f>
        <v>0.22450000000000001</v>
      </c>
      <c r="F238" s="98">
        <f t="shared" si="309"/>
        <v>44.925074137019223</v>
      </c>
      <c r="G238" s="98"/>
      <c r="H238" s="98"/>
      <c r="I238" s="21"/>
      <c r="J238" s="21"/>
      <c r="K238" s="21"/>
      <c r="L238" s="21"/>
      <c r="M238" s="21">
        <v>80</v>
      </c>
      <c r="N238" s="21"/>
      <c r="O238" s="21"/>
      <c r="P238" s="21"/>
      <c r="Q238" s="21"/>
      <c r="R238" s="21"/>
      <c r="S238" s="21"/>
      <c r="T238" s="21"/>
      <c r="U238" s="21"/>
      <c r="V238" s="21">
        <v>42</v>
      </c>
      <c r="W238" s="21"/>
      <c r="X238" s="21">
        <v>38</v>
      </c>
      <c r="Y238" s="21"/>
      <c r="Z238" s="21"/>
      <c r="AA238" s="98">
        <f t="shared" si="297"/>
        <v>160</v>
      </c>
      <c r="AB238" s="98">
        <f>IF(OR(B238="",C238=""),"",SUMIFS('Reference Sheet'!$D$9:$D$42,'Reference Sheet'!$A$9:$A$42,C238,'Reference Sheet'!$B$9:$B$42,B238))</f>
        <v>160</v>
      </c>
      <c r="AC238" s="98">
        <f t="shared" si="310"/>
        <v>0</v>
      </c>
      <c r="AD238" s="100">
        <f t="shared" si="329"/>
        <v>0</v>
      </c>
      <c r="AE238" s="100">
        <f t="shared" si="330"/>
        <v>0</v>
      </c>
      <c r="AF238" s="100">
        <f t="shared" si="331"/>
        <v>0</v>
      </c>
      <c r="AG238" s="100">
        <f t="shared" si="332"/>
        <v>0</v>
      </c>
      <c r="AH238" s="100">
        <f t="shared" si="333"/>
        <v>0</v>
      </c>
      <c r="AI238" s="100">
        <f t="shared" si="334"/>
        <v>0</v>
      </c>
      <c r="AJ238" s="100">
        <f t="shared" si="335"/>
        <v>80</v>
      </c>
      <c r="AK238" s="100">
        <f t="shared" si="336"/>
        <v>0</v>
      </c>
      <c r="AL238" s="100">
        <f t="shared" si="298"/>
        <v>0</v>
      </c>
      <c r="AM238" s="100">
        <f t="shared" si="337"/>
        <v>0</v>
      </c>
      <c r="AN238" s="100">
        <f t="shared" si="338"/>
        <v>0</v>
      </c>
      <c r="AO238" s="100">
        <f t="shared" si="339"/>
        <v>0</v>
      </c>
      <c r="AP238" s="100">
        <f t="shared" si="340"/>
        <v>0</v>
      </c>
      <c r="AQ238" s="100">
        <f t="shared" si="341"/>
        <v>0</v>
      </c>
      <c r="AR238" s="100">
        <f t="shared" si="342"/>
        <v>0</v>
      </c>
      <c r="AS238" s="100">
        <f t="shared" si="343"/>
        <v>42</v>
      </c>
      <c r="AT238" s="100">
        <f t="shared" si="299"/>
        <v>0</v>
      </c>
      <c r="AU238" s="100">
        <f t="shared" si="311"/>
        <v>38</v>
      </c>
      <c r="AV238" s="100">
        <f t="shared" si="300"/>
        <v>0</v>
      </c>
      <c r="AW238" s="100">
        <f t="shared" si="312"/>
        <v>0</v>
      </c>
      <c r="AX238">
        <f t="shared" si="313"/>
        <v>160</v>
      </c>
      <c r="AY238" s="98">
        <f t="shared" si="301"/>
        <v>0</v>
      </c>
      <c r="AZ238" s="98">
        <f t="shared" si="302"/>
        <v>0</v>
      </c>
      <c r="BA238" s="98">
        <f t="shared" si="267"/>
        <v>0</v>
      </c>
      <c r="BB238" s="98">
        <f t="shared" si="303"/>
        <v>0</v>
      </c>
      <c r="BC238" s="98">
        <f t="shared" si="268"/>
        <v>0</v>
      </c>
      <c r="BD238" s="98">
        <f t="shared" si="269"/>
        <v>0</v>
      </c>
      <c r="BE238" s="98">
        <f t="shared" si="270"/>
        <v>3594.0059309615381</v>
      </c>
      <c r="BF238" s="98">
        <f t="shared" si="304"/>
        <v>0</v>
      </c>
      <c r="BG238" s="98">
        <f t="shared" si="305"/>
        <v>0</v>
      </c>
      <c r="BH238" s="98">
        <f t="shared" si="271"/>
        <v>0</v>
      </c>
      <c r="BI238" s="98">
        <f t="shared" si="272"/>
        <v>0</v>
      </c>
      <c r="BJ238" s="98">
        <f t="shared" si="273"/>
        <v>0</v>
      </c>
      <c r="BK238" s="98">
        <f t="shared" si="274"/>
        <v>0</v>
      </c>
      <c r="BL238" s="98">
        <f t="shared" si="306"/>
        <v>0</v>
      </c>
      <c r="BM238" s="98">
        <f t="shared" si="275"/>
        <v>0</v>
      </c>
      <c r="BN238" s="98">
        <f t="shared" si="276"/>
        <v>1886.8531137548073</v>
      </c>
      <c r="BO238" s="98">
        <f t="shared" si="307"/>
        <v>0</v>
      </c>
      <c r="BP238" s="98">
        <f t="shared" si="277"/>
        <v>1707.1528172067306</v>
      </c>
      <c r="BQ238" s="98">
        <f t="shared" si="308"/>
        <v>0</v>
      </c>
      <c r="BR238" s="98">
        <f t="shared" si="278"/>
        <v>0</v>
      </c>
    </row>
    <row r="239" spans="1:70" x14ac:dyDescent="0.25">
      <c r="A239" t="s">
        <v>61</v>
      </c>
      <c r="B239" t="s">
        <v>16</v>
      </c>
      <c r="C239">
        <v>2025</v>
      </c>
      <c r="D239" s="98">
        <f>INDEX('Reference Sheet'!$G$9:$J$100, MATCH(A239,'Reference Sheet'!$F$9:$F$100,0), MATCH(C239,'Reference Sheet'!$G$8:$J$8,0))/2080</f>
        <v>36.688504807692304</v>
      </c>
      <c r="E239" s="99">
        <f>VLOOKUP(C239,'Reference Sheet'!$A$2:$B$5,2)</f>
        <v>0.22450000000000001</v>
      </c>
      <c r="F239" s="98">
        <f t="shared" si="309"/>
        <v>44.925074137019223</v>
      </c>
      <c r="G239" s="98"/>
      <c r="H239" s="98"/>
      <c r="I239" s="21"/>
      <c r="J239" s="21"/>
      <c r="K239" s="21"/>
      <c r="L239" s="21"/>
      <c r="M239" s="21">
        <v>80</v>
      </c>
      <c r="N239" s="21"/>
      <c r="O239" s="21"/>
      <c r="P239" s="21"/>
      <c r="Q239" s="21"/>
      <c r="R239" s="21"/>
      <c r="S239" s="21"/>
      <c r="T239" s="21"/>
      <c r="U239" s="21"/>
      <c r="V239" s="21">
        <v>80</v>
      </c>
      <c r="W239" s="21"/>
      <c r="X239" s="21"/>
      <c r="Y239" s="21"/>
      <c r="Z239" s="21"/>
      <c r="AA239" s="98">
        <f t="shared" si="297"/>
        <v>160</v>
      </c>
      <c r="AB239" s="98">
        <f>IF(OR(B239="",C239=""),"",SUMIFS('Reference Sheet'!$D$9:$D$42,'Reference Sheet'!$A$9:$A$42,C239,'Reference Sheet'!$B$9:$B$42,B239))</f>
        <v>160</v>
      </c>
      <c r="AC239" s="98">
        <f t="shared" si="310"/>
        <v>0</v>
      </c>
      <c r="AD239" s="100">
        <f t="shared" si="329"/>
        <v>0</v>
      </c>
      <c r="AE239" s="100">
        <f t="shared" si="330"/>
        <v>0</v>
      </c>
      <c r="AF239" s="100">
        <f t="shared" si="331"/>
        <v>0</v>
      </c>
      <c r="AG239" s="100">
        <f t="shared" si="332"/>
        <v>0</v>
      </c>
      <c r="AH239" s="100">
        <f t="shared" si="333"/>
        <v>0</v>
      </c>
      <c r="AI239" s="100">
        <f t="shared" si="334"/>
        <v>0</v>
      </c>
      <c r="AJ239" s="100">
        <f t="shared" si="335"/>
        <v>80</v>
      </c>
      <c r="AK239" s="100">
        <f t="shared" si="336"/>
        <v>0</v>
      </c>
      <c r="AL239" s="100">
        <f t="shared" si="298"/>
        <v>0</v>
      </c>
      <c r="AM239" s="100">
        <f t="shared" si="337"/>
        <v>0</v>
      </c>
      <c r="AN239" s="100">
        <f t="shared" si="338"/>
        <v>0</v>
      </c>
      <c r="AO239" s="100">
        <f t="shared" si="339"/>
        <v>0</v>
      </c>
      <c r="AP239" s="100">
        <f t="shared" si="340"/>
        <v>0</v>
      </c>
      <c r="AQ239" s="100">
        <f t="shared" si="341"/>
        <v>0</v>
      </c>
      <c r="AR239" s="100">
        <f t="shared" si="342"/>
        <v>0</v>
      </c>
      <c r="AS239" s="100">
        <f t="shared" si="343"/>
        <v>80</v>
      </c>
      <c r="AT239" s="100">
        <f t="shared" si="299"/>
        <v>0</v>
      </c>
      <c r="AU239" s="100">
        <f t="shared" si="311"/>
        <v>0</v>
      </c>
      <c r="AV239" s="100">
        <f t="shared" si="300"/>
        <v>0</v>
      </c>
      <c r="AW239" s="100">
        <f t="shared" si="312"/>
        <v>0</v>
      </c>
      <c r="AX239">
        <f t="shared" si="313"/>
        <v>160</v>
      </c>
      <c r="AY239" s="98">
        <f t="shared" si="301"/>
        <v>0</v>
      </c>
      <c r="AZ239" s="98">
        <f t="shared" si="302"/>
        <v>0</v>
      </c>
      <c r="BA239" s="98">
        <f t="shared" si="267"/>
        <v>0</v>
      </c>
      <c r="BB239" s="98">
        <f t="shared" si="303"/>
        <v>0</v>
      </c>
      <c r="BC239" s="98">
        <f t="shared" si="268"/>
        <v>0</v>
      </c>
      <c r="BD239" s="98">
        <f t="shared" si="269"/>
        <v>0</v>
      </c>
      <c r="BE239" s="98">
        <f t="shared" si="270"/>
        <v>3594.0059309615381</v>
      </c>
      <c r="BF239" s="98">
        <f t="shared" si="304"/>
        <v>0</v>
      </c>
      <c r="BG239" s="98">
        <f t="shared" si="305"/>
        <v>0</v>
      </c>
      <c r="BH239" s="98">
        <f t="shared" si="271"/>
        <v>0</v>
      </c>
      <c r="BI239" s="98">
        <f t="shared" si="272"/>
        <v>0</v>
      </c>
      <c r="BJ239" s="98">
        <f t="shared" si="273"/>
        <v>0</v>
      </c>
      <c r="BK239" s="98">
        <f t="shared" si="274"/>
        <v>0</v>
      </c>
      <c r="BL239" s="98">
        <f t="shared" si="306"/>
        <v>0</v>
      </c>
      <c r="BM239" s="98">
        <f t="shared" si="275"/>
        <v>0</v>
      </c>
      <c r="BN239" s="98">
        <f t="shared" si="276"/>
        <v>3594.0059309615381</v>
      </c>
      <c r="BO239" s="98">
        <f t="shared" si="307"/>
        <v>0</v>
      </c>
      <c r="BP239" s="98">
        <f t="shared" si="277"/>
        <v>0</v>
      </c>
      <c r="BQ239" s="98">
        <f t="shared" si="308"/>
        <v>0</v>
      </c>
      <c r="BR239" s="98">
        <f t="shared" si="278"/>
        <v>0</v>
      </c>
    </row>
    <row r="240" spans="1:70" x14ac:dyDescent="0.25">
      <c r="A240" t="s">
        <v>61</v>
      </c>
      <c r="B240" t="s">
        <v>8</v>
      </c>
      <c r="C240">
        <v>2025</v>
      </c>
      <c r="D240" s="98">
        <f>INDEX('Reference Sheet'!$G$9:$J$100, MATCH(A240,'Reference Sheet'!$F$9:$F$100,0), MATCH(C240,'Reference Sheet'!$G$8:$J$8,0))/2080</f>
        <v>36.688504807692304</v>
      </c>
      <c r="E240" s="99">
        <f>VLOOKUP(C240,'Reference Sheet'!$A$2:$B$5,2)</f>
        <v>0.22450000000000001</v>
      </c>
      <c r="F240" s="98">
        <f t="shared" si="309"/>
        <v>44.925074137019223</v>
      </c>
      <c r="G240" s="98"/>
      <c r="H240" s="98"/>
      <c r="I240" s="21"/>
      <c r="J240" s="21"/>
      <c r="K240" s="21"/>
      <c r="L240" s="21"/>
      <c r="M240" s="21">
        <v>80</v>
      </c>
      <c r="N240" s="21"/>
      <c r="O240" s="21"/>
      <c r="P240" s="21"/>
      <c r="Q240" s="21"/>
      <c r="R240" s="21"/>
      <c r="S240" s="21"/>
      <c r="T240" s="21"/>
      <c r="U240" s="21"/>
      <c r="V240" s="21">
        <v>42</v>
      </c>
      <c r="W240" s="21"/>
      <c r="X240" s="21">
        <v>46</v>
      </c>
      <c r="Y240" s="21"/>
      <c r="Z240" s="21"/>
      <c r="AA240" s="98">
        <f t="shared" si="297"/>
        <v>168</v>
      </c>
      <c r="AB240" s="98">
        <f>IF(OR(B240="",C240=""),"",SUMIFS('Reference Sheet'!$D$9:$D$42,'Reference Sheet'!$A$9:$A$42,C240,'Reference Sheet'!$B$9:$B$42,B240))</f>
        <v>168</v>
      </c>
      <c r="AC240" s="98">
        <f t="shared" si="310"/>
        <v>0</v>
      </c>
      <c r="AD240" s="100">
        <f t="shared" si="329"/>
        <v>0</v>
      </c>
      <c r="AE240" s="100">
        <f t="shared" si="330"/>
        <v>0</v>
      </c>
      <c r="AF240" s="100">
        <f t="shared" si="331"/>
        <v>0</v>
      </c>
      <c r="AG240" s="100">
        <f t="shared" si="332"/>
        <v>0</v>
      </c>
      <c r="AH240" s="100">
        <f t="shared" si="333"/>
        <v>0</v>
      </c>
      <c r="AI240" s="100">
        <f t="shared" si="334"/>
        <v>0</v>
      </c>
      <c r="AJ240" s="100">
        <f t="shared" si="335"/>
        <v>80</v>
      </c>
      <c r="AK240" s="100">
        <f t="shared" si="336"/>
        <v>0</v>
      </c>
      <c r="AL240" s="100">
        <f t="shared" si="298"/>
        <v>0</v>
      </c>
      <c r="AM240" s="100">
        <f t="shared" si="337"/>
        <v>0</v>
      </c>
      <c r="AN240" s="100">
        <f t="shared" si="338"/>
        <v>0</v>
      </c>
      <c r="AO240" s="100">
        <f t="shared" si="339"/>
        <v>0</v>
      </c>
      <c r="AP240" s="100">
        <f t="shared" si="340"/>
        <v>0</v>
      </c>
      <c r="AQ240" s="100">
        <f t="shared" si="341"/>
        <v>0</v>
      </c>
      <c r="AR240" s="100">
        <f t="shared" si="342"/>
        <v>0</v>
      </c>
      <c r="AS240" s="100">
        <f t="shared" si="343"/>
        <v>42</v>
      </c>
      <c r="AT240" s="100">
        <f t="shared" si="299"/>
        <v>0</v>
      </c>
      <c r="AU240" s="100">
        <f t="shared" si="311"/>
        <v>46.000000000000007</v>
      </c>
      <c r="AV240" s="100">
        <f t="shared" si="300"/>
        <v>0</v>
      </c>
      <c r="AW240" s="100">
        <f t="shared" si="312"/>
        <v>0</v>
      </c>
      <c r="AX240">
        <f t="shared" si="313"/>
        <v>168</v>
      </c>
      <c r="AY240" s="98">
        <f t="shared" si="301"/>
        <v>0</v>
      </c>
      <c r="AZ240" s="98">
        <f t="shared" si="302"/>
        <v>0</v>
      </c>
      <c r="BA240" s="98">
        <f t="shared" si="267"/>
        <v>0</v>
      </c>
      <c r="BB240" s="98">
        <f t="shared" si="303"/>
        <v>0</v>
      </c>
      <c r="BC240" s="98">
        <f t="shared" si="268"/>
        <v>0</v>
      </c>
      <c r="BD240" s="98">
        <f t="shared" si="269"/>
        <v>0</v>
      </c>
      <c r="BE240" s="98">
        <f t="shared" si="270"/>
        <v>3594.0059309615381</v>
      </c>
      <c r="BF240" s="98">
        <f t="shared" si="304"/>
        <v>0</v>
      </c>
      <c r="BG240" s="98">
        <f t="shared" si="305"/>
        <v>0</v>
      </c>
      <c r="BH240" s="98">
        <f t="shared" si="271"/>
        <v>0</v>
      </c>
      <c r="BI240" s="98">
        <f t="shared" si="272"/>
        <v>0</v>
      </c>
      <c r="BJ240" s="98">
        <f t="shared" si="273"/>
        <v>0</v>
      </c>
      <c r="BK240" s="98">
        <f t="shared" si="274"/>
        <v>0</v>
      </c>
      <c r="BL240" s="98">
        <f t="shared" si="306"/>
        <v>0</v>
      </c>
      <c r="BM240" s="98">
        <f t="shared" si="275"/>
        <v>0</v>
      </c>
      <c r="BN240" s="98">
        <f t="shared" si="276"/>
        <v>1886.8531137548073</v>
      </c>
      <c r="BO240" s="98">
        <f t="shared" si="307"/>
        <v>0</v>
      </c>
      <c r="BP240" s="98">
        <f t="shared" si="277"/>
        <v>2066.5534103028845</v>
      </c>
      <c r="BQ240" s="98">
        <f t="shared" si="308"/>
        <v>0</v>
      </c>
      <c r="BR240" s="98">
        <f t="shared" si="278"/>
        <v>0</v>
      </c>
    </row>
    <row r="241" spans="1:70" x14ac:dyDescent="0.25">
      <c r="A241" t="s">
        <v>61</v>
      </c>
      <c r="B241" t="s">
        <v>13</v>
      </c>
      <c r="C241">
        <v>2025</v>
      </c>
      <c r="D241" s="98">
        <f>INDEX('Reference Sheet'!$G$9:$J$100, MATCH(A241,'Reference Sheet'!$F$9:$F$100,0), MATCH(C241,'Reference Sheet'!$G$8:$J$8,0))/2080</f>
        <v>36.688504807692304</v>
      </c>
      <c r="E241" s="99">
        <f>VLOOKUP(C241,'Reference Sheet'!$A$2:$B$5,2)</f>
        <v>0.22450000000000001</v>
      </c>
      <c r="F241" s="98">
        <f t="shared" si="309"/>
        <v>44.925074137019223</v>
      </c>
      <c r="G241" s="98"/>
      <c r="H241" s="98"/>
      <c r="I241" s="21"/>
      <c r="J241" s="21"/>
      <c r="K241" s="21"/>
      <c r="L241" s="21"/>
      <c r="M241" s="21">
        <v>80</v>
      </c>
      <c r="N241" s="21"/>
      <c r="O241" s="21"/>
      <c r="P241" s="21"/>
      <c r="Q241" s="21"/>
      <c r="R241" s="21"/>
      <c r="S241" s="21"/>
      <c r="T241" s="21"/>
      <c r="U241" s="21"/>
      <c r="V241" s="21">
        <v>46</v>
      </c>
      <c r="W241" s="21"/>
      <c r="X241" s="21">
        <v>42</v>
      </c>
      <c r="Y241" s="21"/>
      <c r="Z241" s="21"/>
      <c r="AA241" s="98">
        <f t="shared" si="297"/>
        <v>168</v>
      </c>
      <c r="AB241" s="98">
        <f>IF(OR(B241="",C241=""),"",SUMIFS('Reference Sheet'!$D$9:$D$42,'Reference Sheet'!$A$9:$A$42,C241,'Reference Sheet'!$B$9:$B$42,B241))</f>
        <v>168</v>
      </c>
      <c r="AC241" s="98">
        <f t="shared" si="310"/>
        <v>0</v>
      </c>
      <c r="AD241" s="100">
        <f t="shared" si="329"/>
        <v>0</v>
      </c>
      <c r="AE241" s="100">
        <f t="shared" si="330"/>
        <v>0</v>
      </c>
      <c r="AF241" s="100">
        <f t="shared" si="331"/>
        <v>0</v>
      </c>
      <c r="AG241" s="100">
        <f t="shared" si="332"/>
        <v>0</v>
      </c>
      <c r="AH241" s="100">
        <f t="shared" si="333"/>
        <v>0</v>
      </c>
      <c r="AI241" s="100">
        <f t="shared" si="334"/>
        <v>0</v>
      </c>
      <c r="AJ241" s="100">
        <f t="shared" si="335"/>
        <v>80</v>
      </c>
      <c r="AK241" s="100">
        <f t="shared" si="336"/>
        <v>0</v>
      </c>
      <c r="AL241" s="100">
        <f t="shared" si="298"/>
        <v>0</v>
      </c>
      <c r="AM241" s="100">
        <f t="shared" si="337"/>
        <v>0</v>
      </c>
      <c r="AN241" s="100">
        <f t="shared" si="338"/>
        <v>0</v>
      </c>
      <c r="AO241" s="100">
        <f t="shared" si="339"/>
        <v>0</v>
      </c>
      <c r="AP241" s="100">
        <f t="shared" si="340"/>
        <v>0</v>
      </c>
      <c r="AQ241" s="100">
        <f t="shared" si="341"/>
        <v>0</v>
      </c>
      <c r="AR241" s="100">
        <f t="shared" si="342"/>
        <v>0</v>
      </c>
      <c r="AS241" s="100">
        <f t="shared" si="343"/>
        <v>46.000000000000007</v>
      </c>
      <c r="AT241" s="100">
        <f t="shared" si="299"/>
        <v>0</v>
      </c>
      <c r="AU241" s="100">
        <f t="shared" si="311"/>
        <v>42</v>
      </c>
      <c r="AV241" s="100">
        <f t="shared" si="300"/>
        <v>0</v>
      </c>
      <c r="AW241" s="100">
        <f t="shared" si="312"/>
        <v>0</v>
      </c>
      <c r="AX241">
        <f t="shared" si="313"/>
        <v>168</v>
      </c>
      <c r="AY241" s="98">
        <f t="shared" si="301"/>
        <v>0</v>
      </c>
      <c r="AZ241" s="98">
        <f t="shared" si="302"/>
        <v>0</v>
      </c>
      <c r="BA241" s="98">
        <f t="shared" si="267"/>
        <v>0</v>
      </c>
      <c r="BB241" s="98">
        <f t="shared" si="303"/>
        <v>0</v>
      </c>
      <c r="BC241" s="98">
        <f t="shared" si="268"/>
        <v>0</v>
      </c>
      <c r="BD241" s="98">
        <f t="shared" si="269"/>
        <v>0</v>
      </c>
      <c r="BE241" s="98">
        <f t="shared" si="270"/>
        <v>3594.0059309615381</v>
      </c>
      <c r="BF241" s="98">
        <f t="shared" si="304"/>
        <v>0</v>
      </c>
      <c r="BG241" s="98">
        <f t="shared" si="305"/>
        <v>0</v>
      </c>
      <c r="BH241" s="98">
        <f t="shared" si="271"/>
        <v>0</v>
      </c>
      <c r="BI241" s="98">
        <f t="shared" si="272"/>
        <v>0</v>
      </c>
      <c r="BJ241" s="98">
        <f t="shared" si="273"/>
        <v>0</v>
      </c>
      <c r="BK241" s="98">
        <f t="shared" si="274"/>
        <v>0</v>
      </c>
      <c r="BL241" s="98">
        <f t="shared" si="306"/>
        <v>0</v>
      </c>
      <c r="BM241" s="98">
        <f t="shared" si="275"/>
        <v>0</v>
      </c>
      <c r="BN241" s="98">
        <f t="shared" si="276"/>
        <v>2066.5534103028845</v>
      </c>
      <c r="BO241" s="98">
        <f t="shared" si="307"/>
        <v>0</v>
      </c>
      <c r="BP241" s="98">
        <f t="shared" si="277"/>
        <v>1886.8531137548073</v>
      </c>
      <c r="BQ241" s="98">
        <f t="shared" si="308"/>
        <v>0</v>
      </c>
      <c r="BR241" s="98">
        <f t="shared" si="278"/>
        <v>0</v>
      </c>
    </row>
    <row r="242" spans="1:70" x14ac:dyDescent="0.25">
      <c r="A242" t="s">
        <v>61</v>
      </c>
      <c r="B242" t="s">
        <v>9</v>
      </c>
      <c r="C242">
        <v>2025</v>
      </c>
      <c r="D242" s="98">
        <f>INDEX('Reference Sheet'!$G$9:$J$100, MATCH(A242,'Reference Sheet'!$F$9:$F$100,0), MATCH(C242,'Reference Sheet'!$G$8:$J$8,0))/2080</f>
        <v>36.688504807692304</v>
      </c>
      <c r="E242" s="99">
        <f>VLOOKUP(C242,'Reference Sheet'!$A$2:$B$5,2)</f>
        <v>0.22450000000000001</v>
      </c>
      <c r="F242" s="98">
        <f t="shared" si="309"/>
        <v>44.925074137019223</v>
      </c>
      <c r="G242" s="98"/>
      <c r="H242" s="98"/>
      <c r="I242" s="21"/>
      <c r="J242" s="21"/>
      <c r="K242" s="21"/>
      <c r="L242" s="21"/>
      <c r="M242" s="21">
        <v>80</v>
      </c>
      <c r="N242" s="21"/>
      <c r="O242" s="21"/>
      <c r="P242" s="21"/>
      <c r="Q242" s="21"/>
      <c r="R242" s="21"/>
      <c r="S242" s="21"/>
      <c r="T242" s="21"/>
      <c r="U242" s="21"/>
      <c r="V242" s="21">
        <v>41</v>
      </c>
      <c r="W242" s="21"/>
      <c r="X242" s="21">
        <v>49</v>
      </c>
      <c r="Y242" s="21"/>
      <c r="Z242" s="21"/>
      <c r="AA242" s="98">
        <f t="shared" si="297"/>
        <v>170</v>
      </c>
      <c r="AB242" s="98">
        <f>IF(OR(B242="",C242=""),"",SUMIFS('Reference Sheet'!$D$9:$D$42,'Reference Sheet'!$A$9:$A$42,C242,'Reference Sheet'!$B$9:$B$42,B242))</f>
        <v>176</v>
      </c>
      <c r="AC242" s="98">
        <f t="shared" si="310"/>
        <v>6</v>
      </c>
      <c r="AD242" s="100">
        <f t="shared" si="329"/>
        <v>0</v>
      </c>
      <c r="AE242" s="100">
        <f t="shared" si="330"/>
        <v>0</v>
      </c>
      <c r="AF242" s="100">
        <f t="shared" si="331"/>
        <v>0</v>
      </c>
      <c r="AG242" s="100">
        <f t="shared" si="332"/>
        <v>0</v>
      </c>
      <c r="AH242" s="100">
        <f t="shared" si="333"/>
        <v>0</v>
      </c>
      <c r="AI242" s="100">
        <f t="shared" si="334"/>
        <v>0</v>
      </c>
      <c r="AJ242" s="100">
        <f t="shared" si="335"/>
        <v>82.82352941176471</v>
      </c>
      <c r="AK242" s="100">
        <f t="shared" si="336"/>
        <v>0</v>
      </c>
      <c r="AL242" s="100">
        <f t="shared" si="298"/>
        <v>0</v>
      </c>
      <c r="AM242" s="100">
        <f t="shared" si="337"/>
        <v>0</v>
      </c>
      <c r="AN242" s="100">
        <f t="shared" si="338"/>
        <v>0</v>
      </c>
      <c r="AO242" s="100">
        <f t="shared" si="339"/>
        <v>0</v>
      </c>
      <c r="AP242" s="100">
        <f t="shared" si="340"/>
        <v>0</v>
      </c>
      <c r="AQ242" s="100">
        <f t="shared" si="341"/>
        <v>0</v>
      </c>
      <c r="AR242" s="100">
        <f t="shared" si="342"/>
        <v>0</v>
      </c>
      <c r="AS242" s="100">
        <f t="shared" si="343"/>
        <v>42.44705882352941</v>
      </c>
      <c r="AT242" s="100">
        <f t="shared" si="299"/>
        <v>0</v>
      </c>
      <c r="AU242" s="100">
        <f t="shared" si="311"/>
        <v>50.72941176470588</v>
      </c>
      <c r="AV242" s="100">
        <f t="shared" si="300"/>
        <v>0</v>
      </c>
      <c r="AW242" s="100">
        <f t="shared" si="312"/>
        <v>0</v>
      </c>
      <c r="AX242">
        <f t="shared" si="313"/>
        <v>176</v>
      </c>
      <c r="AY242" s="98">
        <f t="shared" si="301"/>
        <v>0</v>
      </c>
      <c r="AZ242" s="98">
        <f t="shared" si="302"/>
        <v>0</v>
      </c>
      <c r="BA242" s="98">
        <f t="shared" si="267"/>
        <v>0</v>
      </c>
      <c r="BB242" s="98">
        <f t="shared" si="303"/>
        <v>0</v>
      </c>
      <c r="BC242" s="98">
        <f t="shared" si="268"/>
        <v>0</v>
      </c>
      <c r="BD242" s="98">
        <f t="shared" si="269"/>
        <v>0</v>
      </c>
      <c r="BE242" s="98">
        <f t="shared" si="270"/>
        <v>3720.8531991131217</v>
      </c>
      <c r="BF242" s="98">
        <f t="shared" si="304"/>
        <v>0</v>
      </c>
      <c r="BG242" s="98">
        <f t="shared" si="305"/>
        <v>0</v>
      </c>
      <c r="BH242" s="98">
        <f t="shared" si="271"/>
        <v>0</v>
      </c>
      <c r="BI242" s="98">
        <f t="shared" si="272"/>
        <v>0</v>
      </c>
      <c r="BJ242" s="98">
        <f t="shared" si="273"/>
        <v>0</v>
      </c>
      <c r="BK242" s="98">
        <f t="shared" si="274"/>
        <v>0</v>
      </c>
      <c r="BL242" s="98">
        <f t="shared" si="306"/>
        <v>0</v>
      </c>
      <c r="BM242" s="98">
        <f t="shared" si="275"/>
        <v>0</v>
      </c>
      <c r="BN242" s="98">
        <f t="shared" si="276"/>
        <v>1906.9372645454748</v>
      </c>
      <c r="BO242" s="98">
        <f t="shared" si="307"/>
        <v>0</v>
      </c>
      <c r="BP242" s="98">
        <f t="shared" si="277"/>
        <v>2279.0225844567867</v>
      </c>
      <c r="BQ242" s="98">
        <f t="shared" si="308"/>
        <v>0</v>
      </c>
      <c r="BR242" s="98">
        <f t="shared" si="278"/>
        <v>0</v>
      </c>
    </row>
    <row r="243" spans="1:70" x14ac:dyDescent="0.25">
      <c r="A243" t="s">
        <v>61</v>
      </c>
      <c r="B243" t="s">
        <v>6</v>
      </c>
      <c r="C243">
        <v>2025</v>
      </c>
      <c r="D243" s="98">
        <f>INDEX('Reference Sheet'!$G$9:$J$100, MATCH(A243,'Reference Sheet'!$F$9:$F$100,0), MATCH(C243,'Reference Sheet'!$G$8:$J$8,0))/2080</f>
        <v>36.688504807692304</v>
      </c>
      <c r="E243" s="99">
        <f>VLOOKUP(C243,'Reference Sheet'!$A$2:$B$5,2)</f>
        <v>0.22450000000000001</v>
      </c>
      <c r="F243" s="98">
        <f t="shared" si="309"/>
        <v>44.925074137019223</v>
      </c>
      <c r="G243" s="98"/>
      <c r="H243" s="98"/>
      <c r="I243" s="21"/>
      <c r="J243" s="21"/>
      <c r="K243" s="21"/>
      <c r="L243" s="21"/>
      <c r="M243" s="21">
        <v>88</v>
      </c>
      <c r="N243" s="21"/>
      <c r="O243" s="21"/>
      <c r="P243" s="21"/>
      <c r="Q243" s="21"/>
      <c r="R243" s="21"/>
      <c r="S243" s="21"/>
      <c r="T243" s="21"/>
      <c r="U243" s="21"/>
      <c r="V243" s="21">
        <v>20</v>
      </c>
      <c r="W243" s="21"/>
      <c r="X243" s="21">
        <v>68</v>
      </c>
      <c r="Y243" s="21"/>
      <c r="Z243" s="21"/>
      <c r="AA243" s="98">
        <f t="shared" si="297"/>
        <v>176</v>
      </c>
      <c r="AB243" s="98">
        <f>IF(OR(B243="",C243=""),"",SUMIFS('Reference Sheet'!$D$9:$D$42,'Reference Sheet'!$A$9:$A$42,C243,'Reference Sheet'!$B$9:$B$42,B243))</f>
        <v>184</v>
      </c>
      <c r="AC243" s="98">
        <f t="shared" si="310"/>
        <v>8</v>
      </c>
      <c r="AD243" s="100">
        <f t="shared" si="329"/>
        <v>0</v>
      </c>
      <c r="AE243" s="100">
        <f t="shared" si="330"/>
        <v>0</v>
      </c>
      <c r="AF243" s="100">
        <f t="shared" si="331"/>
        <v>0</v>
      </c>
      <c r="AG243" s="100">
        <f t="shared" si="332"/>
        <v>0</v>
      </c>
      <c r="AH243" s="100">
        <f t="shared" si="333"/>
        <v>0</v>
      </c>
      <c r="AI243" s="100">
        <f t="shared" si="334"/>
        <v>0</v>
      </c>
      <c r="AJ243" s="100">
        <f t="shared" si="335"/>
        <v>92</v>
      </c>
      <c r="AK243" s="100">
        <f t="shared" si="336"/>
        <v>0</v>
      </c>
      <c r="AL243" s="100">
        <f t="shared" si="298"/>
        <v>0</v>
      </c>
      <c r="AM243" s="100">
        <f t="shared" si="337"/>
        <v>0</v>
      </c>
      <c r="AN243" s="100">
        <f t="shared" si="338"/>
        <v>0</v>
      </c>
      <c r="AO243" s="100">
        <f t="shared" si="339"/>
        <v>0</v>
      </c>
      <c r="AP243" s="100">
        <f t="shared" si="340"/>
        <v>0</v>
      </c>
      <c r="AQ243" s="100">
        <f t="shared" si="341"/>
        <v>0</v>
      </c>
      <c r="AR243" s="100">
        <f t="shared" si="342"/>
        <v>0</v>
      </c>
      <c r="AS243" s="100">
        <f t="shared" si="343"/>
        <v>20.90909090909091</v>
      </c>
      <c r="AT243" s="100">
        <f t="shared" si="299"/>
        <v>0</v>
      </c>
      <c r="AU243" s="100">
        <f t="shared" si="311"/>
        <v>71.090909090909093</v>
      </c>
      <c r="AV243" s="100">
        <f t="shared" si="300"/>
        <v>0</v>
      </c>
      <c r="AW243" s="100">
        <f t="shared" si="312"/>
        <v>0</v>
      </c>
      <c r="AX243">
        <f t="shared" si="313"/>
        <v>184</v>
      </c>
      <c r="AY243" s="98">
        <f t="shared" si="301"/>
        <v>0</v>
      </c>
      <c r="AZ243" s="98">
        <f t="shared" si="302"/>
        <v>0</v>
      </c>
      <c r="BA243" s="98">
        <f t="shared" si="267"/>
        <v>0</v>
      </c>
      <c r="BB243" s="98">
        <f t="shared" si="303"/>
        <v>0</v>
      </c>
      <c r="BC243" s="98">
        <f t="shared" si="268"/>
        <v>0</v>
      </c>
      <c r="BD243" s="98">
        <f t="shared" si="269"/>
        <v>0</v>
      </c>
      <c r="BE243" s="98">
        <f t="shared" si="270"/>
        <v>4133.1068206057689</v>
      </c>
      <c r="BF243" s="98">
        <f t="shared" si="304"/>
        <v>0</v>
      </c>
      <c r="BG243" s="98">
        <f t="shared" si="305"/>
        <v>0</v>
      </c>
      <c r="BH243" s="98">
        <f t="shared" si="271"/>
        <v>0</v>
      </c>
      <c r="BI243" s="98">
        <f t="shared" si="272"/>
        <v>0</v>
      </c>
      <c r="BJ243" s="98">
        <f t="shared" si="273"/>
        <v>0</v>
      </c>
      <c r="BK243" s="98">
        <f t="shared" si="274"/>
        <v>0</v>
      </c>
      <c r="BL243" s="98">
        <f t="shared" si="306"/>
        <v>0</v>
      </c>
      <c r="BM243" s="98">
        <f t="shared" si="275"/>
        <v>0</v>
      </c>
      <c r="BN243" s="98">
        <f t="shared" si="276"/>
        <v>939.34245922858383</v>
      </c>
      <c r="BO243" s="98">
        <f t="shared" si="307"/>
        <v>0</v>
      </c>
      <c r="BP243" s="98">
        <f t="shared" si="277"/>
        <v>3193.7643613771847</v>
      </c>
      <c r="BQ243" s="98">
        <f t="shared" si="308"/>
        <v>0</v>
      </c>
      <c r="BR243" s="98">
        <f t="shared" si="278"/>
        <v>0</v>
      </c>
    </row>
    <row r="244" spans="1:70" x14ac:dyDescent="0.25">
      <c r="A244" t="s">
        <v>61</v>
      </c>
      <c r="B244" t="s">
        <v>10</v>
      </c>
      <c r="C244">
        <v>2025</v>
      </c>
      <c r="D244" s="98">
        <f>INDEX('Reference Sheet'!$G$9:$J$100, MATCH(A244,'Reference Sheet'!$F$9:$F$100,0), MATCH(C244,'Reference Sheet'!$G$8:$J$8,0))/2080</f>
        <v>36.688504807692304</v>
      </c>
      <c r="E244" s="99">
        <f>VLOOKUP(C244,'Reference Sheet'!$A$2:$B$5,2)</f>
        <v>0.22450000000000001</v>
      </c>
      <c r="F244" s="98">
        <f t="shared" si="309"/>
        <v>44.925074137019223</v>
      </c>
      <c r="G244" s="98"/>
      <c r="H244" s="98"/>
      <c r="I244" s="21"/>
      <c r="J244" s="21"/>
      <c r="K244" s="21"/>
      <c r="L244" s="21"/>
      <c r="M244" s="21">
        <v>80</v>
      </c>
      <c r="N244" s="21"/>
      <c r="O244" s="21"/>
      <c r="P244" s="21"/>
      <c r="Q244" s="21"/>
      <c r="R244" s="21"/>
      <c r="S244" s="21"/>
      <c r="T244" s="21"/>
      <c r="U244" s="21"/>
      <c r="V244" s="21">
        <v>68</v>
      </c>
      <c r="W244" s="21"/>
      <c r="X244" s="21">
        <v>28</v>
      </c>
      <c r="Y244" s="21"/>
      <c r="Z244" s="21"/>
      <c r="AA244" s="98">
        <f t="shared" si="297"/>
        <v>176</v>
      </c>
      <c r="AB244" s="98">
        <f>IF(OR(B244="",C244=""),"",SUMIFS('Reference Sheet'!$D$9:$D$42,'Reference Sheet'!$A$9:$A$42,C244,'Reference Sheet'!$B$9:$B$42,B244))</f>
        <v>176</v>
      </c>
      <c r="AC244" s="98">
        <f t="shared" si="310"/>
        <v>0</v>
      </c>
      <c r="AD244" s="100">
        <f t="shared" si="329"/>
        <v>0</v>
      </c>
      <c r="AE244" s="100">
        <f t="shared" si="330"/>
        <v>0</v>
      </c>
      <c r="AF244" s="100">
        <f t="shared" si="331"/>
        <v>0</v>
      </c>
      <c r="AG244" s="100">
        <f t="shared" si="332"/>
        <v>0</v>
      </c>
      <c r="AH244" s="100">
        <f t="shared" si="333"/>
        <v>0</v>
      </c>
      <c r="AI244" s="100">
        <f t="shared" si="334"/>
        <v>0</v>
      </c>
      <c r="AJ244" s="100">
        <f t="shared" si="335"/>
        <v>80</v>
      </c>
      <c r="AK244" s="100">
        <f t="shared" si="336"/>
        <v>0</v>
      </c>
      <c r="AL244" s="100">
        <f t="shared" si="298"/>
        <v>0</v>
      </c>
      <c r="AM244" s="100">
        <f t="shared" si="337"/>
        <v>0</v>
      </c>
      <c r="AN244" s="100">
        <f t="shared" si="338"/>
        <v>0</v>
      </c>
      <c r="AO244" s="100">
        <f t="shared" si="339"/>
        <v>0</v>
      </c>
      <c r="AP244" s="100">
        <f t="shared" si="340"/>
        <v>0</v>
      </c>
      <c r="AQ244" s="100">
        <f t="shared" si="341"/>
        <v>0</v>
      </c>
      <c r="AR244" s="100">
        <f t="shared" si="342"/>
        <v>0</v>
      </c>
      <c r="AS244" s="100">
        <f t="shared" si="343"/>
        <v>68</v>
      </c>
      <c r="AT244" s="100">
        <f t="shared" si="299"/>
        <v>0</v>
      </c>
      <c r="AU244" s="100">
        <f t="shared" si="311"/>
        <v>28</v>
      </c>
      <c r="AV244" s="100">
        <f t="shared" si="300"/>
        <v>0</v>
      </c>
      <c r="AW244" s="100">
        <f t="shared" si="312"/>
        <v>0</v>
      </c>
      <c r="AX244">
        <f t="shared" si="313"/>
        <v>176</v>
      </c>
      <c r="AY244" s="98">
        <f t="shared" si="301"/>
        <v>0</v>
      </c>
      <c r="AZ244" s="98">
        <f t="shared" si="302"/>
        <v>0</v>
      </c>
      <c r="BA244" s="98">
        <f t="shared" si="267"/>
        <v>0</v>
      </c>
      <c r="BB244" s="98">
        <f t="shared" si="303"/>
        <v>0</v>
      </c>
      <c r="BC244" s="98">
        <f t="shared" si="268"/>
        <v>0</v>
      </c>
      <c r="BD244" s="98">
        <f t="shared" si="269"/>
        <v>0</v>
      </c>
      <c r="BE244" s="98">
        <f t="shared" si="270"/>
        <v>3594.0059309615381</v>
      </c>
      <c r="BF244" s="98">
        <f t="shared" si="304"/>
        <v>0</v>
      </c>
      <c r="BG244" s="98">
        <f t="shared" si="305"/>
        <v>0</v>
      </c>
      <c r="BH244" s="98">
        <f t="shared" si="271"/>
        <v>0</v>
      </c>
      <c r="BI244" s="98">
        <f t="shared" si="272"/>
        <v>0</v>
      </c>
      <c r="BJ244" s="98">
        <f t="shared" si="273"/>
        <v>0</v>
      </c>
      <c r="BK244" s="98">
        <f t="shared" si="274"/>
        <v>0</v>
      </c>
      <c r="BL244" s="98">
        <f t="shared" si="306"/>
        <v>0</v>
      </c>
      <c r="BM244" s="98">
        <f t="shared" si="275"/>
        <v>0</v>
      </c>
      <c r="BN244" s="98">
        <f t="shared" si="276"/>
        <v>3054.9050413173072</v>
      </c>
      <c r="BO244" s="98">
        <f t="shared" si="307"/>
        <v>0</v>
      </c>
      <c r="BP244" s="98">
        <f t="shared" si="277"/>
        <v>1257.9020758365382</v>
      </c>
      <c r="BQ244" s="98">
        <f t="shared" si="308"/>
        <v>0</v>
      </c>
      <c r="BR244" s="98">
        <f t="shared" si="278"/>
        <v>0</v>
      </c>
    </row>
    <row r="245" spans="1:70" x14ac:dyDescent="0.25">
      <c r="A245" t="s">
        <v>61</v>
      </c>
      <c r="B245" t="s">
        <v>14</v>
      </c>
      <c r="C245">
        <v>2025</v>
      </c>
      <c r="D245" s="98">
        <f>INDEX('Reference Sheet'!$G$9:$J$100, MATCH(A245,'Reference Sheet'!$F$9:$F$100,0), MATCH(C245,'Reference Sheet'!$G$8:$J$8,0))/2080</f>
        <v>36.688504807692304</v>
      </c>
      <c r="E245" s="99">
        <f>VLOOKUP(C245,'Reference Sheet'!$A$2:$B$5,2)</f>
        <v>0.22450000000000001</v>
      </c>
      <c r="F245" s="98">
        <f t="shared" si="309"/>
        <v>44.925074137019223</v>
      </c>
      <c r="G245" s="98"/>
      <c r="H245" s="98"/>
      <c r="I245" s="21"/>
      <c r="J245" s="21"/>
      <c r="K245" s="21"/>
      <c r="L245" s="21"/>
      <c r="M245" s="21">
        <v>81</v>
      </c>
      <c r="N245" s="21"/>
      <c r="O245" s="21"/>
      <c r="P245" s="21"/>
      <c r="Q245" s="21"/>
      <c r="R245" s="21"/>
      <c r="S245" s="21"/>
      <c r="T245" s="21"/>
      <c r="U245" s="21"/>
      <c r="V245" s="21">
        <v>74</v>
      </c>
      <c r="W245" s="21"/>
      <c r="X245" s="21">
        <v>21</v>
      </c>
      <c r="Y245" s="21"/>
      <c r="Z245" s="21"/>
      <c r="AA245" s="98">
        <f t="shared" si="297"/>
        <v>176</v>
      </c>
      <c r="AB245" s="98">
        <f>IF(OR(B245="",C245=""),"",SUMIFS('Reference Sheet'!$D$9:$D$42,'Reference Sheet'!$A$9:$A$42,C245,'Reference Sheet'!$B$9:$B$42,B245))</f>
        <v>176</v>
      </c>
      <c r="AC245" s="98">
        <f t="shared" si="310"/>
        <v>0</v>
      </c>
      <c r="AD245" s="100">
        <f t="shared" si="329"/>
        <v>0</v>
      </c>
      <c r="AE245" s="100">
        <f t="shared" si="330"/>
        <v>0</v>
      </c>
      <c r="AF245" s="100">
        <f t="shared" si="331"/>
        <v>0</v>
      </c>
      <c r="AG245" s="100">
        <f t="shared" si="332"/>
        <v>0</v>
      </c>
      <c r="AH245" s="100">
        <f t="shared" si="333"/>
        <v>0</v>
      </c>
      <c r="AI245" s="100">
        <f t="shared" si="334"/>
        <v>0</v>
      </c>
      <c r="AJ245" s="100">
        <f t="shared" si="335"/>
        <v>81</v>
      </c>
      <c r="AK245" s="100">
        <f t="shared" si="336"/>
        <v>0</v>
      </c>
      <c r="AL245" s="100">
        <f t="shared" si="298"/>
        <v>0</v>
      </c>
      <c r="AM245" s="100">
        <f t="shared" si="337"/>
        <v>0</v>
      </c>
      <c r="AN245" s="100">
        <f t="shared" si="338"/>
        <v>0</v>
      </c>
      <c r="AO245" s="100">
        <f t="shared" si="339"/>
        <v>0</v>
      </c>
      <c r="AP245" s="100">
        <f t="shared" si="340"/>
        <v>0</v>
      </c>
      <c r="AQ245" s="100">
        <f t="shared" si="341"/>
        <v>0</v>
      </c>
      <c r="AR245" s="100">
        <f t="shared" si="342"/>
        <v>0</v>
      </c>
      <c r="AS245" s="100">
        <f t="shared" si="343"/>
        <v>74</v>
      </c>
      <c r="AT245" s="100">
        <f t="shared" si="299"/>
        <v>0</v>
      </c>
      <c r="AU245" s="100">
        <f t="shared" si="311"/>
        <v>21</v>
      </c>
      <c r="AV245" s="100">
        <f t="shared" si="300"/>
        <v>0</v>
      </c>
      <c r="AW245" s="100">
        <f t="shared" si="312"/>
        <v>0</v>
      </c>
      <c r="AX245">
        <f t="shared" si="313"/>
        <v>176</v>
      </c>
      <c r="AY245" s="98">
        <f t="shared" si="301"/>
        <v>0</v>
      </c>
      <c r="AZ245" s="98">
        <f t="shared" si="302"/>
        <v>0</v>
      </c>
      <c r="BA245" s="98">
        <f t="shared" si="267"/>
        <v>0</v>
      </c>
      <c r="BB245" s="98">
        <f t="shared" si="303"/>
        <v>0</v>
      </c>
      <c r="BC245" s="98">
        <f t="shared" si="268"/>
        <v>0</v>
      </c>
      <c r="BD245" s="98">
        <f t="shared" si="269"/>
        <v>0</v>
      </c>
      <c r="BE245" s="98">
        <f t="shared" si="270"/>
        <v>3638.9310050985569</v>
      </c>
      <c r="BF245" s="98">
        <f t="shared" si="304"/>
        <v>0</v>
      </c>
      <c r="BG245" s="98">
        <f t="shared" si="305"/>
        <v>0</v>
      </c>
      <c r="BH245" s="98">
        <f t="shared" si="271"/>
        <v>0</v>
      </c>
      <c r="BI245" s="98">
        <f t="shared" si="272"/>
        <v>0</v>
      </c>
      <c r="BJ245" s="98">
        <f t="shared" si="273"/>
        <v>0</v>
      </c>
      <c r="BK245" s="98">
        <f t="shared" si="274"/>
        <v>0</v>
      </c>
      <c r="BL245" s="98">
        <f t="shared" si="306"/>
        <v>0</v>
      </c>
      <c r="BM245" s="98">
        <f t="shared" si="275"/>
        <v>0</v>
      </c>
      <c r="BN245" s="98">
        <f t="shared" si="276"/>
        <v>3324.4554861394226</v>
      </c>
      <c r="BO245" s="98">
        <f t="shared" si="307"/>
        <v>0</v>
      </c>
      <c r="BP245" s="98">
        <f t="shared" si="277"/>
        <v>943.42655687740364</v>
      </c>
      <c r="BQ245" s="98">
        <f t="shared" si="308"/>
        <v>0</v>
      </c>
      <c r="BR245" s="98">
        <f t="shared" si="278"/>
        <v>0</v>
      </c>
    </row>
    <row r="246" spans="1:70" x14ac:dyDescent="0.25">
      <c r="A246" t="s">
        <v>61</v>
      </c>
      <c r="B246" t="s">
        <v>11</v>
      </c>
      <c r="C246">
        <v>2025</v>
      </c>
      <c r="D246" s="98">
        <f>INDEX('Reference Sheet'!$G$9:$J$100, MATCH(A246,'Reference Sheet'!$F$9:$F$100,0), MATCH(C246,'Reference Sheet'!$G$8:$J$8,0))/2080</f>
        <v>36.688504807692304</v>
      </c>
      <c r="E246" s="99">
        <f>VLOOKUP(C246,'Reference Sheet'!$A$2:$B$5,2)</f>
        <v>0.22450000000000001</v>
      </c>
      <c r="F246" s="98">
        <f t="shared" si="309"/>
        <v>44.925074137019223</v>
      </c>
      <c r="G246" s="98"/>
      <c r="H246" s="98"/>
      <c r="I246" s="21"/>
      <c r="J246" s="21"/>
      <c r="K246" s="21"/>
      <c r="L246" s="21"/>
      <c r="M246" s="21">
        <v>80</v>
      </c>
      <c r="N246" s="21"/>
      <c r="O246" s="21"/>
      <c r="P246" s="21"/>
      <c r="Q246" s="21"/>
      <c r="R246" s="21"/>
      <c r="S246" s="21"/>
      <c r="T246" s="21"/>
      <c r="U246" s="21"/>
      <c r="V246" s="21">
        <v>36</v>
      </c>
      <c r="W246" s="21"/>
      <c r="X246" s="21">
        <v>68</v>
      </c>
      <c r="Y246" s="21"/>
      <c r="Z246" s="21"/>
      <c r="AA246" s="98">
        <f t="shared" si="297"/>
        <v>184</v>
      </c>
      <c r="AB246" s="98">
        <f>IF(OR(B246="",C246=""),"",SUMIFS('Reference Sheet'!$D$9:$D$42,'Reference Sheet'!$A$9:$A$42,C246,'Reference Sheet'!$B$9:$B$42,B246))</f>
        <v>168</v>
      </c>
      <c r="AC246" s="98">
        <f t="shared" si="310"/>
        <v>-16</v>
      </c>
      <c r="AD246" s="100">
        <f t="shared" si="329"/>
        <v>0</v>
      </c>
      <c r="AE246" s="100">
        <f t="shared" si="330"/>
        <v>0</v>
      </c>
      <c r="AF246" s="100">
        <f t="shared" si="331"/>
        <v>0</v>
      </c>
      <c r="AG246" s="100">
        <f t="shared" si="332"/>
        <v>0</v>
      </c>
      <c r="AH246" s="100">
        <f t="shared" si="333"/>
        <v>0</v>
      </c>
      <c r="AI246" s="100">
        <f t="shared" si="334"/>
        <v>0</v>
      </c>
      <c r="AJ246" s="100">
        <f t="shared" si="335"/>
        <v>73.043478260869563</v>
      </c>
      <c r="AK246" s="100">
        <f t="shared" si="336"/>
        <v>0</v>
      </c>
      <c r="AL246" s="100">
        <f t="shared" si="298"/>
        <v>0</v>
      </c>
      <c r="AM246" s="100">
        <f t="shared" si="337"/>
        <v>0</v>
      </c>
      <c r="AN246" s="100">
        <f t="shared" si="338"/>
        <v>0</v>
      </c>
      <c r="AO246" s="100">
        <f t="shared" si="339"/>
        <v>0</v>
      </c>
      <c r="AP246" s="100">
        <f t="shared" si="340"/>
        <v>0</v>
      </c>
      <c r="AQ246" s="100">
        <f t="shared" si="341"/>
        <v>0</v>
      </c>
      <c r="AR246" s="100">
        <f t="shared" si="342"/>
        <v>0</v>
      </c>
      <c r="AS246" s="100">
        <f t="shared" si="343"/>
        <v>32.869565217391305</v>
      </c>
      <c r="AT246" s="100">
        <f t="shared" si="299"/>
        <v>0</v>
      </c>
      <c r="AU246" s="100">
        <f t="shared" si="311"/>
        <v>62.086956521739125</v>
      </c>
      <c r="AV246" s="100">
        <f t="shared" si="300"/>
        <v>0</v>
      </c>
      <c r="AW246" s="100">
        <f t="shared" si="312"/>
        <v>0</v>
      </c>
      <c r="AX246">
        <f t="shared" si="313"/>
        <v>168</v>
      </c>
      <c r="AY246" s="98">
        <f t="shared" si="301"/>
        <v>0</v>
      </c>
      <c r="AZ246" s="98">
        <f t="shared" si="302"/>
        <v>0</v>
      </c>
      <c r="BA246" s="98">
        <f t="shared" si="267"/>
        <v>0</v>
      </c>
      <c r="BB246" s="98">
        <f t="shared" si="303"/>
        <v>0</v>
      </c>
      <c r="BC246" s="98">
        <f t="shared" si="268"/>
        <v>0</v>
      </c>
      <c r="BD246" s="98">
        <f t="shared" si="269"/>
        <v>0</v>
      </c>
      <c r="BE246" s="98">
        <f t="shared" si="270"/>
        <v>3281.4836760953172</v>
      </c>
      <c r="BF246" s="98">
        <f t="shared" si="304"/>
        <v>0</v>
      </c>
      <c r="BG246" s="98">
        <f t="shared" si="305"/>
        <v>0</v>
      </c>
      <c r="BH246" s="98">
        <f t="shared" si="271"/>
        <v>0</v>
      </c>
      <c r="BI246" s="98">
        <f t="shared" si="272"/>
        <v>0</v>
      </c>
      <c r="BJ246" s="98">
        <f t="shared" si="273"/>
        <v>0</v>
      </c>
      <c r="BK246" s="98">
        <f t="shared" si="274"/>
        <v>0</v>
      </c>
      <c r="BL246" s="98">
        <f t="shared" si="306"/>
        <v>0</v>
      </c>
      <c r="BM246" s="98">
        <f t="shared" si="275"/>
        <v>0</v>
      </c>
      <c r="BN246" s="98">
        <f t="shared" si="276"/>
        <v>1476.6676542428927</v>
      </c>
      <c r="BO246" s="98">
        <f t="shared" si="307"/>
        <v>0</v>
      </c>
      <c r="BP246" s="98">
        <f t="shared" si="277"/>
        <v>2789.2611246810193</v>
      </c>
      <c r="BQ246" s="98">
        <f t="shared" si="308"/>
        <v>0</v>
      </c>
      <c r="BR246" s="98">
        <f t="shared" si="278"/>
        <v>0</v>
      </c>
    </row>
    <row r="247" spans="1:70" x14ac:dyDescent="0.25">
      <c r="A247" t="s">
        <v>61</v>
      </c>
      <c r="B247" t="s">
        <v>15</v>
      </c>
      <c r="C247">
        <v>2025</v>
      </c>
      <c r="D247" s="98">
        <f>INDEX('Reference Sheet'!$G$9:$J$100, MATCH(A247,'Reference Sheet'!$F$9:$F$100,0), MATCH(C247,'Reference Sheet'!$G$8:$J$8,0))/2080</f>
        <v>36.688504807692304</v>
      </c>
      <c r="E247" s="99">
        <f>VLOOKUP(C247,'Reference Sheet'!$A$2:$B$5,2)</f>
        <v>0.22450000000000001</v>
      </c>
      <c r="F247" s="98">
        <f t="shared" si="309"/>
        <v>44.925074137019223</v>
      </c>
      <c r="G247" s="98"/>
      <c r="H247" s="98"/>
      <c r="I247" s="21"/>
      <c r="J247" s="21"/>
      <c r="K247" s="21"/>
      <c r="L247" s="21"/>
      <c r="M247" s="21">
        <v>84</v>
      </c>
      <c r="N247" s="21"/>
      <c r="O247" s="21"/>
      <c r="P247" s="21"/>
      <c r="Q247" s="21"/>
      <c r="R247" s="21"/>
      <c r="S247" s="21"/>
      <c r="T247" s="21"/>
      <c r="U247" s="21"/>
      <c r="V247" s="21">
        <v>76</v>
      </c>
      <c r="W247" s="21"/>
      <c r="X247" s="21">
        <v>24</v>
      </c>
      <c r="Y247" s="21"/>
      <c r="Z247" s="21"/>
      <c r="AA247" s="98">
        <f t="shared" si="297"/>
        <v>184</v>
      </c>
      <c r="AB247" s="98">
        <f>IF(OR(B247="",C247=""),"",SUMIFS('Reference Sheet'!$D$9:$D$42,'Reference Sheet'!$A$9:$A$42,C247,'Reference Sheet'!$B$9:$B$42,B247))</f>
        <v>184</v>
      </c>
      <c r="AC247" s="98">
        <f t="shared" si="310"/>
        <v>0</v>
      </c>
      <c r="AD247" s="100">
        <f t="shared" si="329"/>
        <v>0</v>
      </c>
      <c r="AE247" s="100">
        <f t="shared" si="330"/>
        <v>0</v>
      </c>
      <c r="AF247" s="100">
        <f t="shared" si="331"/>
        <v>0</v>
      </c>
      <c r="AG247" s="100">
        <f t="shared" si="332"/>
        <v>0</v>
      </c>
      <c r="AH247" s="100">
        <f t="shared" si="333"/>
        <v>0</v>
      </c>
      <c r="AI247" s="100">
        <f t="shared" si="334"/>
        <v>0</v>
      </c>
      <c r="AJ247" s="100">
        <f t="shared" si="335"/>
        <v>84</v>
      </c>
      <c r="AK247" s="100">
        <f t="shared" si="336"/>
        <v>0</v>
      </c>
      <c r="AL247" s="100">
        <f t="shared" si="298"/>
        <v>0</v>
      </c>
      <c r="AM247" s="100">
        <f t="shared" si="337"/>
        <v>0</v>
      </c>
      <c r="AN247" s="100">
        <f t="shared" si="338"/>
        <v>0</v>
      </c>
      <c r="AO247" s="100">
        <f t="shared" si="339"/>
        <v>0</v>
      </c>
      <c r="AP247" s="100">
        <f t="shared" si="340"/>
        <v>0</v>
      </c>
      <c r="AQ247" s="100">
        <f t="shared" si="341"/>
        <v>0</v>
      </c>
      <c r="AR247" s="100">
        <f t="shared" si="342"/>
        <v>0</v>
      </c>
      <c r="AS247" s="100">
        <f t="shared" si="343"/>
        <v>76</v>
      </c>
      <c r="AT247" s="100">
        <f t="shared" si="299"/>
        <v>0</v>
      </c>
      <c r="AU247" s="100">
        <f t="shared" si="311"/>
        <v>24</v>
      </c>
      <c r="AV247" s="100">
        <f t="shared" si="300"/>
        <v>0</v>
      </c>
      <c r="AW247" s="100">
        <f t="shared" si="312"/>
        <v>0</v>
      </c>
      <c r="AX247">
        <f t="shared" si="313"/>
        <v>184</v>
      </c>
      <c r="AY247" s="98">
        <f t="shared" si="301"/>
        <v>0</v>
      </c>
      <c r="AZ247" s="98">
        <f t="shared" si="302"/>
        <v>0</v>
      </c>
      <c r="BA247" s="98">
        <f t="shared" si="267"/>
        <v>0</v>
      </c>
      <c r="BB247" s="98">
        <f t="shared" si="303"/>
        <v>0</v>
      </c>
      <c r="BC247" s="98">
        <f t="shared" si="268"/>
        <v>0</v>
      </c>
      <c r="BD247" s="98">
        <f t="shared" si="269"/>
        <v>0</v>
      </c>
      <c r="BE247" s="98">
        <f t="shared" si="270"/>
        <v>3773.7062275096146</v>
      </c>
      <c r="BF247" s="98">
        <f t="shared" si="304"/>
        <v>0</v>
      </c>
      <c r="BG247" s="98">
        <f t="shared" si="305"/>
        <v>0</v>
      </c>
      <c r="BH247" s="98">
        <f t="shared" si="271"/>
        <v>0</v>
      </c>
      <c r="BI247" s="98">
        <f t="shared" si="272"/>
        <v>0</v>
      </c>
      <c r="BJ247" s="98">
        <f t="shared" si="273"/>
        <v>0</v>
      </c>
      <c r="BK247" s="98">
        <f t="shared" si="274"/>
        <v>0</v>
      </c>
      <c r="BL247" s="98">
        <f t="shared" si="306"/>
        <v>0</v>
      </c>
      <c r="BM247" s="98">
        <f t="shared" si="275"/>
        <v>0</v>
      </c>
      <c r="BN247" s="98">
        <f t="shared" si="276"/>
        <v>3414.3056344134611</v>
      </c>
      <c r="BO247" s="98">
        <f t="shared" si="307"/>
        <v>0</v>
      </c>
      <c r="BP247" s="98">
        <f t="shared" si="277"/>
        <v>1078.2017792884612</v>
      </c>
      <c r="BQ247" s="98">
        <f t="shared" si="308"/>
        <v>0</v>
      </c>
      <c r="BR247" s="98">
        <f t="shared" si="278"/>
        <v>0</v>
      </c>
    </row>
    <row r="248" spans="1:70" x14ac:dyDescent="0.25">
      <c r="A248" t="s">
        <v>61</v>
      </c>
      <c r="B248" t="s">
        <v>17</v>
      </c>
      <c r="C248">
        <v>2025</v>
      </c>
      <c r="D248" s="98">
        <f>INDEX('Reference Sheet'!$G$9:$J$100, MATCH(A248,'Reference Sheet'!$F$9:$F$100,0), MATCH(C248,'Reference Sheet'!$G$8:$J$8,0))/2080</f>
        <v>36.688504807692304</v>
      </c>
      <c r="E248" s="99">
        <f>VLOOKUP(C248,'Reference Sheet'!$A$2:$B$5,2)</f>
        <v>0.22450000000000001</v>
      </c>
      <c r="F248" s="98">
        <f t="shared" si="309"/>
        <v>44.925074137019223</v>
      </c>
      <c r="G248" s="98"/>
      <c r="H248" s="98"/>
      <c r="I248" s="21"/>
      <c r="J248" s="21"/>
      <c r="K248" s="21"/>
      <c r="L248" s="21"/>
      <c r="M248" s="21">
        <v>80</v>
      </c>
      <c r="N248" s="21"/>
      <c r="O248" s="21"/>
      <c r="P248" s="21"/>
      <c r="Q248" s="21"/>
      <c r="R248" s="21"/>
      <c r="S248" s="21"/>
      <c r="T248" s="21"/>
      <c r="U248" s="21"/>
      <c r="V248" s="21">
        <v>75</v>
      </c>
      <c r="W248" s="21"/>
      <c r="X248" s="21">
        <v>29</v>
      </c>
      <c r="Y248" s="21"/>
      <c r="Z248" s="21"/>
      <c r="AA248" s="98">
        <f t="shared" si="297"/>
        <v>184</v>
      </c>
      <c r="AB248" s="98">
        <f>IF(OR(B248="",C248=""),"",SUMIFS('Reference Sheet'!$D$9:$D$42,'Reference Sheet'!$A$9:$A$42,C248,'Reference Sheet'!$B$9:$B$42,B248))</f>
        <v>184</v>
      </c>
      <c r="AC248" s="98">
        <f t="shared" si="310"/>
        <v>0</v>
      </c>
      <c r="AD248" s="100">
        <f t="shared" si="329"/>
        <v>0</v>
      </c>
      <c r="AE248" s="100">
        <f t="shared" si="330"/>
        <v>0</v>
      </c>
      <c r="AF248" s="100">
        <f t="shared" si="331"/>
        <v>0</v>
      </c>
      <c r="AG248" s="100">
        <f t="shared" si="332"/>
        <v>0</v>
      </c>
      <c r="AH248" s="100">
        <f t="shared" si="333"/>
        <v>0</v>
      </c>
      <c r="AI248" s="100">
        <f t="shared" si="334"/>
        <v>0</v>
      </c>
      <c r="AJ248" s="100">
        <f t="shared" si="335"/>
        <v>80</v>
      </c>
      <c r="AK248" s="100">
        <f t="shared" si="336"/>
        <v>0</v>
      </c>
      <c r="AL248" s="100">
        <f t="shared" si="298"/>
        <v>0</v>
      </c>
      <c r="AM248" s="100">
        <f t="shared" si="337"/>
        <v>0</v>
      </c>
      <c r="AN248" s="100">
        <f t="shared" si="338"/>
        <v>0</v>
      </c>
      <c r="AO248" s="100">
        <f t="shared" si="339"/>
        <v>0</v>
      </c>
      <c r="AP248" s="100">
        <f t="shared" si="340"/>
        <v>0</v>
      </c>
      <c r="AQ248" s="100">
        <f t="shared" si="341"/>
        <v>0</v>
      </c>
      <c r="AR248" s="100">
        <f t="shared" si="342"/>
        <v>0</v>
      </c>
      <c r="AS248" s="100">
        <f t="shared" si="343"/>
        <v>75</v>
      </c>
      <c r="AT248" s="100">
        <f t="shared" si="299"/>
        <v>0</v>
      </c>
      <c r="AU248" s="100">
        <f t="shared" si="311"/>
        <v>29</v>
      </c>
      <c r="AV248" s="100">
        <f t="shared" si="300"/>
        <v>0</v>
      </c>
      <c r="AW248" s="100">
        <f t="shared" si="312"/>
        <v>0</v>
      </c>
      <c r="AX248">
        <f t="shared" si="313"/>
        <v>184</v>
      </c>
      <c r="AY248" s="98">
        <f t="shared" si="301"/>
        <v>0</v>
      </c>
      <c r="AZ248" s="98">
        <f t="shared" si="302"/>
        <v>0</v>
      </c>
      <c r="BA248" s="98">
        <f t="shared" si="267"/>
        <v>0</v>
      </c>
      <c r="BB248" s="98">
        <f t="shared" si="303"/>
        <v>0</v>
      </c>
      <c r="BC248" s="98">
        <f t="shared" si="268"/>
        <v>0</v>
      </c>
      <c r="BD248" s="98">
        <f t="shared" si="269"/>
        <v>0</v>
      </c>
      <c r="BE248" s="98">
        <f t="shared" si="270"/>
        <v>3594.0059309615381</v>
      </c>
      <c r="BF248" s="98">
        <f t="shared" si="304"/>
        <v>0</v>
      </c>
      <c r="BG248" s="98">
        <f t="shared" si="305"/>
        <v>0</v>
      </c>
      <c r="BH248" s="98">
        <f t="shared" si="271"/>
        <v>0</v>
      </c>
      <c r="BI248" s="98">
        <f t="shared" si="272"/>
        <v>0</v>
      </c>
      <c r="BJ248" s="98">
        <f t="shared" si="273"/>
        <v>0</v>
      </c>
      <c r="BK248" s="98">
        <f t="shared" si="274"/>
        <v>0</v>
      </c>
      <c r="BL248" s="98">
        <f t="shared" si="306"/>
        <v>0</v>
      </c>
      <c r="BM248" s="98">
        <f t="shared" si="275"/>
        <v>0</v>
      </c>
      <c r="BN248" s="98">
        <f t="shared" si="276"/>
        <v>3369.3805602764419</v>
      </c>
      <c r="BO248" s="98">
        <f t="shared" si="307"/>
        <v>0</v>
      </c>
      <c r="BP248" s="98">
        <f t="shared" si="277"/>
        <v>1302.8271499735574</v>
      </c>
      <c r="BQ248" s="98">
        <f t="shared" si="308"/>
        <v>0</v>
      </c>
      <c r="BR248" s="98">
        <f t="shared" si="278"/>
        <v>0</v>
      </c>
    </row>
    <row r="249" spans="1:70" x14ac:dyDescent="0.25">
      <c r="A249" t="s">
        <v>61</v>
      </c>
      <c r="B249" t="s">
        <v>12</v>
      </c>
      <c r="C249">
        <v>2025</v>
      </c>
      <c r="D249" s="98">
        <f>INDEX('Reference Sheet'!$G$9:$J$100, MATCH(A249,'Reference Sheet'!$F$9:$F$100,0), MATCH(C249,'Reference Sheet'!$G$8:$J$8,0))/2080</f>
        <v>36.688504807692304</v>
      </c>
      <c r="E249" s="99">
        <f>VLOOKUP(C249,'Reference Sheet'!$A$2:$B$5,2)</f>
        <v>0.22450000000000001</v>
      </c>
      <c r="F249" s="98">
        <f t="shared" si="309"/>
        <v>44.925074137019223</v>
      </c>
      <c r="G249" s="98"/>
      <c r="H249" s="98"/>
      <c r="I249" s="21"/>
      <c r="J249" s="21"/>
      <c r="K249" s="21"/>
      <c r="L249" s="21"/>
      <c r="M249" s="21">
        <v>80</v>
      </c>
      <c r="N249" s="21"/>
      <c r="O249" s="21"/>
      <c r="P249" s="21"/>
      <c r="Q249" s="21"/>
      <c r="R249" s="21"/>
      <c r="S249" s="21"/>
      <c r="T249" s="21"/>
      <c r="U249" s="21"/>
      <c r="V249" s="21">
        <v>64</v>
      </c>
      <c r="W249" s="21"/>
      <c r="X249" s="21">
        <v>56</v>
      </c>
      <c r="Y249" s="21"/>
      <c r="Z249" s="21"/>
      <c r="AA249" s="98">
        <f t="shared" si="297"/>
        <v>200</v>
      </c>
      <c r="AB249" s="98">
        <f>IF(OR(B249="",C249=""),"",SUMIFS('Reference Sheet'!$D$9:$D$42,'Reference Sheet'!$A$9:$A$42,C249,'Reference Sheet'!$B$9:$B$42,B249))</f>
        <v>184</v>
      </c>
      <c r="AC249" s="98">
        <f t="shared" si="310"/>
        <v>-16</v>
      </c>
      <c r="AD249" s="100">
        <f t="shared" si="329"/>
        <v>0</v>
      </c>
      <c r="AE249" s="100">
        <f t="shared" si="330"/>
        <v>0</v>
      </c>
      <c r="AF249" s="100">
        <f t="shared" si="331"/>
        <v>0</v>
      </c>
      <c r="AG249" s="100">
        <f t="shared" si="332"/>
        <v>0</v>
      </c>
      <c r="AH249" s="100">
        <f t="shared" si="333"/>
        <v>0</v>
      </c>
      <c r="AI249" s="100">
        <f t="shared" si="334"/>
        <v>0</v>
      </c>
      <c r="AJ249" s="100">
        <f t="shared" si="335"/>
        <v>73.600000000000009</v>
      </c>
      <c r="AK249" s="100">
        <f t="shared" si="336"/>
        <v>0</v>
      </c>
      <c r="AL249" s="100">
        <f t="shared" si="298"/>
        <v>0</v>
      </c>
      <c r="AM249" s="100">
        <f t="shared" si="337"/>
        <v>0</v>
      </c>
      <c r="AN249" s="100">
        <f t="shared" si="338"/>
        <v>0</v>
      </c>
      <c r="AO249" s="100">
        <f t="shared" si="339"/>
        <v>0</v>
      </c>
      <c r="AP249" s="100">
        <f t="shared" si="340"/>
        <v>0</v>
      </c>
      <c r="AQ249" s="100">
        <f t="shared" si="341"/>
        <v>0</v>
      </c>
      <c r="AR249" s="100">
        <f t="shared" si="342"/>
        <v>0</v>
      </c>
      <c r="AS249" s="100">
        <f t="shared" si="343"/>
        <v>58.88</v>
      </c>
      <c r="AT249" s="100">
        <f t="shared" si="299"/>
        <v>0</v>
      </c>
      <c r="AU249" s="100">
        <f t="shared" si="311"/>
        <v>51.52</v>
      </c>
      <c r="AV249" s="100">
        <f t="shared" si="300"/>
        <v>0</v>
      </c>
      <c r="AW249" s="100">
        <f t="shared" si="312"/>
        <v>0</v>
      </c>
      <c r="AX249">
        <f t="shared" si="313"/>
        <v>184.00000000000003</v>
      </c>
      <c r="AY249" s="98">
        <f t="shared" si="301"/>
        <v>0</v>
      </c>
      <c r="AZ249" s="98">
        <f t="shared" si="302"/>
        <v>0</v>
      </c>
      <c r="BA249" s="98">
        <f t="shared" si="267"/>
        <v>0</v>
      </c>
      <c r="BB249" s="98">
        <f t="shared" si="303"/>
        <v>0</v>
      </c>
      <c r="BC249" s="98">
        <f t="shared" si="268"/>
        <v>0</v>
      </c>
      <c r="BD249" s="98">
        <f t="shared" si="269"/>
        <v>0</v>
      </c>
      <c r="BE249" s="98">
        <f t="shared" si="270"/>
        <v>3306.485456484615</v>
      </c>
      <c r="BF249" s="98">
        <f t="shared" si="304"/>
        <v>0</v>
      </c>
      <c r="BG249" s="98">
        <f t="shared" si="305"/>
        <v>0</v>
      </c>
      <c r="BH249" s="98">
        <f t="shared" si="271"/>
        <v>0</v>
      </c>
      <c r="BI249" s="98">
        <f t="shared" si="272"/>
        <v>0</v>
      </c>
      <c r="BJ249" s="98">
        <f t="shared" si="273"/>
        <v>0</v>
      </c>
      <c r="BK249" s="98">
        <f t="shared" si="274"/>
        <v>0</v>
      </c>
      <c r="BL249" s="98">
        <f t="shared" si="306"/>
        <v>0</v>
      </c>
      <c r="BM249" s="98">
        <f t="shared" si="275"/>
        <v>0</v>
      </c>
      <c r="BN249" s="98">
        <f t="shared" si="276"/>
        <v>2645.1883651876919</v>
      </c>
      <c r="BO249" s="98">
        <f t="shared" si="307"/>
        <v>0</v>
      </c>
      <c r="BP249" s="98">
        <f t="shared" si="277"/>
        <v>2314.5398195392304</v>
      </c>
      <c r="BQ249" s="98">
        <f t="shared" si="308"/>
        <v>0</v>
      </c>
      <c r="BR249" s="98">
        <f t="shared" si="278"/>
        <v>0</v>
      </c>
    </row>
    <row r="250" spans="1:70" x14ac:dyDescent="0.25">
      <c r="A250" t="s">
        <v>61</v>
      </c>
      <c r="B250" t="s">
        <v>7</v>
      </c>
      <c r="C250">
        <v>2026</v>
      </c>
      <c r="D250" s="98">
        <f>INDEX('Reference Sheet'!$G$9:$J$100, MATCH(A250,'Reference Sheet'!$F$9:$F$100,0), MATCH(C250,'Reference Sheet'!$G$8:$J$8,0))/2080</f>
        <v>38.46153846153846</v>
      </c>
      <c r="E250" s="99">
        <f>VLOOKUP(C250,'Reference Sheet'!$A$2:$B$5,2)</f>
        <v>0.23630000000000001</v>
      </c>
      <c r="F250" s="98">
        <f t="shared" si="309"/>
        <v>47.55</v>
      </c>
      <c r="G250" s="98"/>
      <c r="H250" s="98"/>
      <c r="I250" s="21"/>
      <c r="J250" s="21"/>
      <c r="K250" s="21"/>
      <c r="L250" s="21"/>
      <c r="M250" s="21">
        <v>100</v>
      </c>
      <c r="N250" s="21"/>
      <c r="O250" s="21"/>
      <c r="P250" s="21"/>
      <c r="Q250" s="21"/>
      <c r="R250" s="21"/>
      <c r="S250" s="21">
        <v>43</v>
      </c>
      <c r="T250" s="21"/>
      <c r="U250" s="21"/>
      <c r="V250" s="21">
        <v>20</v>
      </c>
      <c r="W250" s="21"/>
      <c r="X250" s="21">
        <v>14</v>
      </c>
      <c r="Y250" s="21"/>
      <c r="Z250" s="21"/>
      <c r="AA250" s="98">
        <f t="shared" si="297"/>
        <v>177</v>
      </c>
      <c r="AB250" s="98">
        <f>IF(OR(B250="",C250=""),"",SUMIFS('Reference Sheet'!$D$9:$D$42,'Reference Sheet'!$A$9:$A$42,C250,'Reference Sheet'!$B$9:$B$42,B250))</f>
        <v>160</v>
      </c>
      <c r="AC250" s="98">
        <f t="shared" si="310"/>
        <v>-17</v>
      </c>
      <c r="AD250" s="100">
        <f t="shared" si="329"/>
        <v>0</v>
      </c>
      <c r="AE250" s="100">
        <f t="shared" si="330"/>
        <v>0</v>
      </c>
      <c r="AF250" s="100">
        <f t="shared" si="331"/>
        <v>0</v>
      </c>
      <c r="AG250" s="100">
        <f t="shared" si="332"/>
        <v>0</v>
      </c>
      <c r="AH250" s="100">
        <f t="shared" si="333"/>
        <v>0</v>
      </c>
      <c r="AI250" s="100">
        <f t="shared" si="334"/>
        <v>0</v>
      </c>
      <c r="AJ250" s="100">
        <f t="shared" si="335"/>
        <v>90.395480225988706</v>
      </c>
      <c r="AK250" s="100">
        <f t="shared" si="336"/>
        <v>0</v>
      </c>
      <c r="AL250" s="100">
        <f t="shared" si="298"/>
        <v>0</v>
      </c>
      <c r="AM250" s="100">
        <f t="shared" si="337"/>
        <v>0</v>
      </c>
      <c r="AN250" s="100">
        <f t="shared" si="338"/>
        <v>0</v>
      </c>
      <c r="AO250" s="100">
        <f t="shared" si="339"/>
        <v>0</v>
      </c>
      <c r="AP250" s="100">
        <f t="shared" si="340"/>
        <v>38.870056497175142</v>
      </c>
      <c r="AQ250" s="100">
        <f t="shared" si="341"/>
        <v>0</v>
      </c>
      <c r="AR250" s="100">
        <f t="shared" si="342"/>
        <v>0</v>
      </c>
      <c r="AS250" s="100">
        <f t="shared" si="343"/>
        <v>18.07909604519774</v>
      </c>
      <c r="AT250" s="100">
        <f t="shared" si="299"/>
        <v>0</v>
      </c>
      <c r="AU250" s="100">
        <f t="shared" si="311"/>
        <v>12.655367231638419</v>
      </c>
      <c r="AV250" s="100">
        <f t="shared" si="300"/>
        <v>0</v>
      </c>
      <c r="AW250" s="100">
        <f t="shared" si="312"/>
        <v>0</v>
      </c>
      <c r="AX250">
        <f t="shared" si="313"/>
        <v>160</v>
      </c>
      <c r="AY250" s="98">
        <f t="shared" si="301"/>
        <v>0</v>
      </c>
      <c r="AZ250" s="98">
        <f t="shared" si="302"/>
        <v>0</v>
      </c>
      <c r="BA250" s="98">
        <f t="shared" si="267"/>
        <v>0</v>
      </c>
      <c r="BB250" s="98">
        <f t="shared" si="303"/>
        <v>0</v>
      </c>
      <c r="BC250" s="98">
        <f t="shared" si="268"/>
        <v>0</v>
      </c>
      <c r="BD250" s="98">
        <f t="shared" si="269"/>
        <v>0</v>
      </c>
      <c r="BE250" s="98">
        <f t="shared" si="270"/>
        <v>4298.3050847457625</v>
      </c>
      <c r="BF250" s="98">
        <f t="shared" si="304"/>
        <v>0</v>
      </c>
      <c r="BG250" s="98">
        <f t="shared" si="305"/>
        <v>0</v>
      </c>
      <c r="BH250" s="98">
        <f t="shared" si="271"/>
        <v>0</v>
      </c>
      <c r="BI250" s="98">
        <f t="shared" si="272"/>
        <v>0</v>
      </c>
      <c r="BJ250" s="98">
        <f t="shared" si="273"/>
        <v>0</v>
      </c>
      <c r="BK250" s="98">
        <f t="shared" si="274"/>
        <v>1848.2711864406779</v>
      </c>
      <c r="BL250" s="98">
        <f t="shared" si="306"/>
        <v>0</v>
      </c>
      <c r="BM250" s="98">
        <f t="shared" si="275"/>
        <v>0</v>
      </c>
      <c r="BN250" s="98">
        <f t="shared" si="276"/>
        <v>859.66101694915255</v>
      </c>
      <c r="BO250" s="98">
        <f t="shared" si="307"/>
        <v>0</v>
      </c>
      <c r="BP250" s="98">
        <f t="shared" si="277"/>
        <v>601.76271186440681</v>
      </c>
      <c r="BQ250" s="98">
        <f t="shared" si="308"/>
        <v>0</v>
      </c>
      <c r="BR250" s="98">
        <f t="shared" si="278"/>
        <v>0</v>
      </c>
    </row>
    <row r="251" spans="1:70" x14ac:dyDescent="0.25">
      <c r="A251" t="s">
        <v>61</v>
      </c>
      <c r="B251" t="s">
        <v>10</v>
      </c>
      <c r="C251">
        <v>2026</v>
      </c>
      <c r="D251" s="98">
        <f>INDEX('Reference Sheet'!$G$9:$J$100, MATCH(A251,'Reference Sheet'!$F$9:$F$100,0), MATCH(C251,'Reference Sheet'!$G$8:$J$8,0))/2080</f>
        <v>38.46153846153846</v>
      </c>
      <c r="E251" s="99">
        <f>VLOOKUP(C251,'Reference Sheet'!$A$2:$B$5,2)</f>
        <v>0.23630000000000001</v>
      </c>
      <c r="F251" s="98">
        <f t="shared" si="309"/>
        <v>47.55</v>
      </c>
      <c r="G251" s="98"/>
      <c r="H251" s="98"/>
      <c r="I251" s="21"/>
      <c r="J251" s="21"/>
      <c r="K251" s="21"/>
      <c r="L251" s="21"/>
      <c r="M251" s="21">
        <v>102</v>
      </c>
      <c r="N251" s="21"/>
      <c r="O251" s="21"/>
      <c r="P251" s="21"/>
      <c r="Q251" s="21"/>
      <c r="R251" s="21"/>
      <c r="S251" s="21">
        <v>41</v>
      </c>
      <c r="T251" s="21"/>
      <c r="U251" s="21"/>
      <c r="V251" s="21">
        <v>20</v>
      </c>
      <c r="W251" s="21"/>
      <c r="X251" s="21">
        <v>21</v>
      </c>
      <c r="Y251" s="21"/>
      <c r="Z251" s="21"/>
      <c r="AA251" s="98">
        <f t="shared" si="297"/>
        <v>184</v>
      </c>
      <c r="AB251" s="98">
        <f>IF(OR(B251="",C251=""),"",SUMIFS('Reference Sheet'!$D$9:$D$42,'Reference Sheet'!$A$9:$A$42,C251,'Reference Sheet'!$B$9:$B$42,B251))</f>
        <v>168</v>
      </c>
      <c r="AC251" s="98">
        <f t="shared" si="310"/>
        <v>-16</v>
      </c>
      <c r="AD251" s="100">
        <f t="shared" si="329"/>
        <v>0</v>
      </c>
      <c r="AE251" s="100">
        <f t="shared" si="330"/>
        <v>0</v>
      </c>
      <c r="AF251" s="100">
        <f t="shared" si="331"/>
        <v>0</v>
      </c>
      <c r="AG251" s="100">
        <f t="shared" si="332"/>
        <v>0</v>
      </c>
      <c r="AH251" s="100">
        <f t="shared" si="333"/>
        <v>0</v>
      </c>
      <c r="AI251" s="100">
        <f t="shared" si="334"/>
        <v>0</v>
      </c>
      <c r="AJ251" s="100">
        <f t="shared" si="335"/>
        <v>93.130434782608702</v>
      </c>
      <c r="AK251" s="100">
        <f t="shared" si="336"/>
        <v>0</v>
      </c>
      <c r="AL251" s="100">
        <f t="shared" si="298"/>
        <v>0</v>
      </c>
      <c r="AM251" s="100">
        <f t="shared" si="337"/>
        <v>0</v>
      </c>
      <c r="AN251" s="100">
        <f t="shared" si="338"/>
        <v>0</v>
      </c>
      <c r="AO251" s="100">
        <f t="shared" si="339"/>
        <v>0</v>
      </c>
      <c r="AP251" s="100">
        <f t="shared" si="340"/>
        <v>37.434782608695649</v>
      </c>
      <c r="AQ251" s="100">
        <f t="shared" si="341"/>
        <v>0</v>
      </c>
      <c r="AR251" s="100">
        <f t="shared" si="342"/>
        <v>0</v>
      </c>
      <c r="AS251" s="100">
        <f t="shared" si="343"/>
        <v>18.260869565217391</v>
      </c>
      <c r="AT251" s="100">
        <f t="shared" si="299"/>
        <v>0</v>
      </c>
      <c r="AU251" s="100">
        <f t="shared" si="311"/>
        <v>19.173913043478258</v>
      </c>
      <c r="AV251" s="100">
        <f t="shared" si="300"/>
        <v>0</v>
      </c>
      <c r="AW251" s="100">
        <f t="shared" si="312"/>
        <v>0</v>
      </c>
      <c r="AX251">
        <f t="shared" si="313"/>
        <v>168</v>
      </c>
      <c r="AY251" s="98">
        <f t="shared" si="301"/>
        <v>0</v>
      </c>
      <c r="AZ251" s="98">
        <f t="shared" si="302"/>
        <v>0</v>
      </c>
      <c r="BA251" s="98">
        <f t="shared" si="267"/>
        <v>0</v>
      </c>
      <c r="BB251" s="98">
        <f t="shared" si="303"/>
        <v>0</v>
      </c>
      <c r="BC251" s="98">
        <f t="shared" si="268"/>
        <v>0</v>
      </c>
      <c r="BD251" s="98">
        <f t="shared" si="269"/>
        <v>0</v>
      </c>
      <c r="BE251" s="98">
        <f t="shared" si="270"/>
        <v>4428.3521739130438</v>
      </c>
      <c r="BF251" s="98">
        <f t="shared" si="304"/>
        <v>0</v>
      </c>
      <c r="BG251" s="98">
        <f t="shared" si="305"/>
        <v>0</v>
      </c>
      <c r="BH251" s="98">
        <f t="shared" si="271"/>
        <v>0</v>
      </c>
      <c r="BI251" s="98">
        <f t="shared" si="272"/>
        <v>0</v>
      </c>
      <c r="BJ251" s="98">
        <f t="shared" si="273"/>
        <v>0</v>
      </c>
      <c r="BK251" s="98">
        <f t="shared" si="274"/>
        <v>1780.0239130434779</v>
      </c>
      <c r="BL251" s="98">
        <f t="shared" si="306"/>
        <v>0</v>
      </c>
      <c r="BM251" s="98">
        <f t="shared" si="275"/>
        <v>0</v>
      </c>
      <c r="BN251" s="98">
        <f t="shared" si="276"/>
        <v>868.30434782608688</v>
      </c>
      <c r="BO251" s="98">
        <f t="shared" si="307"/>
        <v>0</v>
      </c>
      <c r="BP251" s="98">
        <f t="shared" si="277"/>
        <v>911.71956521739116</v>
      </c>
      <c r="BQ251" s="98">
        <f t="shared" si="308"/>
        <v>0</v>
      </c>
      <c r="BR251" s="98">
        <f t="shared" si="278"/>
        <v>0</v>
      </c>
    </row>
    <row r="252" spans="1:70" x14ac:dyDescent="0.25">
      <c r="A252" t="s">
        <v>61</v>
      </c>
      <c r="B252" t="s">
        <v>9</v>
      </c>
      <c r="C252">
        <v>2026</v>
      </c>
      <c r="D252" s="98">
        <f>INDEX('Reference Sheet'!$G$9:$J$100, MATCH(A252,'Reference Sheet'!$F$9:$F$100,0), MATCH(C252,'Reference Sheet'!$G$8:$J$8,0))/2080</f>
        <v>38.46153846153846</v>
      </c>
      <c r="E252" s="99">
        <f>VLOOKUP(C252,'Reference Sheet'!$A$2:$B$5,2)</f>
        <v>0.23630000000000001</v>
      </c>
      <c r="F252" s="98">
        <f t="shared" si="309"/>
        <v>47.55</v>
      </c>
      <c r="G252" s="98"/>
      <c r="H252" s="98"/>
      <c r="I252" s="21"/>
      <c r="J252" s="21"/>
      <c r="K252" s="21"/>
      <c r="L252" s="21"/>
      <c r="M252" s="21">
        <v>102</v>
      </c>
      <c r="N252" s="21"/>
      <c r="O252" s="21"/>
      <c r="P252" s="21"/>
      <c r="Q252" s="21"/>
      <c r="R252" s="21"/>
      <c r="S252" s="21">
        <v>41</v>
      </c>
      <c r="T252" s="21"/>
      <c r="U252" s="21"/>
      <c r="V252" s="21">
        <v>21</v>
      </c>
      <c r="W252" s="21"/>
      <c r="X252" s="21">
        <v>21</v>
      </c>
      <c r="Y252" s="21"/>
      <c r="Z252" s="21"/>
      <c r="AA252" s="98">
        <f t="shared" si="297"/>
        <v>185</v>
      </c>
      <c r="AB252" s="98">
        <f>IF(OR(B252="",C252=""),"",SUMIFS('Reference Sheet'!$D$9:$D$42,'Reference Sheet'!$A$9:$A$42,C252,'Reference Sheet'!$B$9:$B$42,B252))</f>
        <v>176</v>
      </c>
      <c r="AC252" s="98">
        <f t="shared" si="310"/>
        <v>-9</v>
      </c>
      <c r="AD252" s="100">
        <f t="shared" si="329"/>
        <v>0</v>
      </c>
      <c r="AE252" s="100">
        <f t="shared" si="330"/>
        <v>0</v>
      </c>
      <c r="AF252" s="100">
        <f t="shared" si="331"/>
        <v>0</v>
      </c>
      <c r="AG252" s="100">
        <f t="shared" si="332"/>
        <v>0</v>
      </c>
      <c r="AH252" s="100">
        <f t="shared" si="333"/>
        <v>0</v>
      </c>
      <c r="AI252" s="100">
        <f t="shared" si="334"/>
        <v>0</v>
      </c>
      <c r="AJ252" s="100">
        <f t="shared" si="335"/>
        <v>97.037837837837841</v>
      </c>
      <c r="AK252" s="100">
        <f t="shared" si="336"/>
        <v>0</v>
      </c>
      <c r="AL252" s="100">
        <f t="shared" si="298"/>
        <v>0</v>
      </c>
      <c r="AM252" s="100">
        <f t="shared" si="337"/>
        <v>0</v>
      </c>
      <c r="AN252" s="100">
        <f t="shared" si="338"/>
        <v>0</v>
      </c>
      <c r="AO252" s="100">
        <f t="shared" si="339"/>
        <v>0</v>
      </c>
      <c r="AP252" s="100">
        <f t="shared" si="340"/>
        <v>39.005405405405405</v>
      </c>
      <c r="AQ252" s="100">
        <f t="shared" si="341"/>
        <v>0</v>
      </c>
      <c r="AR252" s="100">
        <f t="shared" si="342"/>
        <v>0</v>
      </c>
      <c r="AS252" s="100">
        <f t="shared" si="343"/>
        <v>19.97837837837838</v>
      </c>
      <c r="AT252" s="100">
        <f t="shared" si="299"/>
        <v>0</v>
      </c>
      <c r="AU252" s="100">
        <f t="shared" si="311"/>
        <v>19.97837837837838</v>
      </c>
      <c r="AV252" s="100">
        <f t="shared" si="300"/>
        <v>0</v>
      </c>
      <c r="AW252" s="100">
        <f t="shared" si="312"/>
        <v>0</v>
      </c>
      <c r="AX252">
        <f t="shared" si="313"/>
        <v>176</v>
      </c>
      <c r="AY252" s="98">
        <f t="shared" si="301"/>
        <v>0</v>
      </c>
      <c r="AZ252" s="98">
        <f t="shared" si="302"/>
        <v>0</v>
      </c>
      <c r="BA252" s="98">
        <f t="shared" ref="BA252:BA257" si="344">$F252*AF252</f>
        <v>0</v>
      </c>
      <c r="BB252" s="98">
        <f t="shared" si="303"/>
        <v>0</v>
      </c>
      <c r="BC252" s="98">
        <f t="shared" ref="BC252:BC257" si="345">$F252*AH252</f>
        <v>0</v>
      </c>
      <c r="BD252" s="98">
        <f t="shared" ref="BD252:BD257" si="346">$F252*AI252</f>
        <v>0</v>
      </c>
      <c r="BE252" s="98">
        <f t="shared" ref="BE252:BE257" si="347">$F252*AJ252</f>
        <v>4614.1491891891892</v>
      </c>
      <c r="BF252" s="98">
        <f t="shared" si="304"/>
        <v>0</v>
      </c>
      <c r="BG252" s="98">
        <f t="shared" si="305"/>
        <v>0</v>
      </c>
      <c r="BH252" s="98">
        <f t="shared" ref="BH252:BH257" si="348">$F252*AM252</f>
        <v>0</v>
      </c>
      <c r="BI252" s="98">
        <f t="shared" ref="BI252:BI257" si="349">$F252*AN252</f>
        <v>0</v>
      </c>
      <c r="BJ252" s="98">
        <f t="shared" ref="BJ252:BJ257" si="350">$F252*AO252</f>
        <v>0</v>
      </c>
      <c r="BK252" s="98">
        <f t="shared" ref="BK252:BK257" si="351">$F252*AP252</f>
        <v>1854.7070270270269</v>
      </c>
      <c r="BL252" s="98">
        <f t="shared" si="306"/>
        <v>0</v>
      </c>
      <c r="BM252" s="98">
        <f t="shared" ref="BM252:BM257" si="352">$F252*AR252</f>
        <v>0</v>
      </c>
      <c r="BN252" s="98">
        <f t="shared" ref="BN252:BN257" si="353">$F252*AS252</f>
        <v>949.97189189189191</v>
      </c>
      <c r="BO252" s="98">
        <f t="shared" si="307"/>
        <v>0</v>
      </c>
      <c r="BP252" s="98">
        <f t="shared" ref="BP252:BP257" si="354">$F252*AU252</f>
        <v>949.97189189189191</v>
      </c>
      <c r="BQ252" s="98">
        <f t="shared" si="308"/>
        <v>0</v>
      </c>
      <c r="BR252" s="98">
        <f t="shared" ref="BR252:BR257" si="355">$F252*AW252</f>
        <v>0</v>
      </c>
    </row>
    <row r="253" spans="1:70" x14ac:dyDescent="0.25">
      <c r="A253" t="s">
        <v>61</v>
      </c>
      <c r="B253" t="s">
        <v>11</v>
      </c>
      <c r="C253">
        <v>2026</v>
      </c>
      <c r="D253" s="98">
        <f>INDEX('Reference Sheet'!$G$9:$J$100, MATCH(A253,'Reference Sheet'!$F$9:$F$100,0), MATCH(C253,'Reference Sheet'!$G$8:$J$8,0))/2080</f>
        <v>38.46153846153846</v>
      </c>
      <c r="E253" s="99">
        <f>VLOOKUP(C253,'Reference Sheet'!$A$2:$B$5,2)</f>
        <v>0.23630000000000001</v>
      </c>
      <c r="F253" s="98">
        <f t="shared" si="309"/>
        <v>47.55</v>
      </c>
      <c r="G253" s="98"/>
      <c r="H253" s="98"/>
      <c r="I253" s="21"/>
      <c r="J253" s="21"/>
      <c r="K253" s="21"/>
      <c r="L253" s="21"/>
      <c r="M253" s="21">
        <v>102</v>
      </c>
      <c r="N253" s="21"/>
      <c r="O253" s="21"/>
      <c r="P253" s="21"/>
      <c r="Q253" s="21"/>
      <c r="R253" s="21"/>
      <c r="S253" s="21">
        <v>41</v>
      </c>
      <c r="T253" s="21"/>
      <c r="U253" s="21"/>
      <c r="V253" s="21">
        <v>21</v>
      </c>
      <c r="W253" s="21"/>
      <c r="X253" s="21">
        <v>21</v>
      </c>
      <c r="Y253" s="21"/>
      <c r="Z253" s="21"/>
      <c r="AA253" s="98">
        <f t="shared" si="297"/>
        <v>185</v>
      </c>
      <c r="AB253" s="98">
        <f>IF(OR(B253="",C253=""),"",SUMIFS('Reference Sheet'!$D$9:$D$42,'Reference Sheet'!$A$9:$A$42,C253,'Reference Sheet'!$B$9:$B$42,B253))</f>
        <v>176</v>
      </c>
      <c r="AC253" s="98">
        <f t="shared" si="310"/>
        <v>-9</v>
      </c>
      <c r="AD253" s="100">
        <f t="shared" si="329"/>
        <v>0</v>
      </c>
      <c r="AE253" s="100">
        <f t="shared" si="330"/>
        <v>0</v>
      </c>
      <c r="AF253" s="100">
        <f t="shared" si="331"/>
        <v>0</v>
      </c>
      <c r="AG253" s="100">
        <f t="shared" si="332"/>
        <v>0</v>
      </c>
      <c r="AH253" s="100">
        <f t="shared" si="333"/>
        <v>0</v>
      </c>
      <c r="AI253" s="100">
        <f t="shared" si="334"/>
        <v>0</v>
      </c>
      <c r="AJ253" s="100">
        <f t="shared" si="335"/>
        <v>97.037837837837841</v>
      </c>
      <c r="AK253" s="100">
        <f t="shared" si="336"/>
        <v>0</v>
      </c>
      <c r="AL253" s="100">
        <f t="shared" si="298"/>
        <v>0</v>
      </c>
      <c r="AM253" s="100">
        <f t="shared" si="337"/>
        <v>0</v>
      </c>
      <c r="AN253" s="100">
        <f t="shared" si="338"/>
        <v>0</v>
      </c>
      <c r="AO253" s="100">
        <f t="shared" si="339"/>
        <v>0</v>
      </c>
      <c r="AP253" s="100">
        <f t="shared" si="340"/>
        <v>39.005405405405405</v>
      </c>
      <c r="AQ253" s="100">
        <f t="shared" si="341"/>
        <v>0</v>
      </c>
      <c r="AR253" s="100">
        <f t="shared" si="342"/>
        <v>0</v>
      </c>
      <c r="AS253" s="100">
        <f t="shared" si="343"/>
        <v>19.97837837837838</v>
      </c>
      <c r="AT253" s="100">
        <f t="shared" si="299"/>
        <v>0</v>
      </c>
      <c r="AU253" s="100">
        <f t="shared" si="311"/>
        <v>19.97837837837838</v>
      </c>
      <c r="AV253" s="100">
        <f t="shared" si="300"/>
        <v>0</v>
      </c>
      <c r="AW253" s="100">
        <f t="shared" si="312"/>
        <v>0</v>
      </c>
      <c r="AX253">
        <f t="shared" si="313"/>
        <v>176</v>
      </c>
      <c r="AY253" s="98">
        <f t="shared" si="301"/>
        <v>0</v>
      </c>
      <c r="AZ253" s="98">
        <f t="shared" si="302"/>
        <v>0</v>
      </c>
      <c r="BA253" s="98">
        <f t="shared" si="344"/>
        <v>0</v>
      </c>
      <c r="BB253" s="98">
        <f t="shared" si="303"/>
        <v>0</v>
      </c>
      <c r="BC253" s="98">
        <f t="shared" si="345"/>
        <v>0</v>
      </c>
      <c r="BD253" s="98">
        <f t="shared" si="346"/>
        <v>0</v>
      </c>
      <c r="BE253" s="98">
        <f t="shared" si="347"/>
        <v>4614.1491891891892</v>
      </c>
      <c r="BF253" s="98">
        <f t="shared" si="304"/>
        <v>0</v>
      </c>
      <c r="BG253" s="98">
        <f t="shared" si="305"/>
        <v>0</v>
      </c>
      <c r="BH253" s="98">
        <f t="shared" si="348"/>
        <v>0</v>
      </c>
      <c r="BI253" s="98">
        <f t="shared" si="349"/>
        <v>0</v>
      </c>
      <c r="BJ253" s="98">
        <f t="shared" si="350"/>
        <v>0</v>
      </c>
      <c r="BK253" s="98">
        <f t="shared" si="351"/>
        <v>1854.7070270270269</v>
      </c>
      <c r="BL253" s="98">
        <f t="shared" si="306"/>
        <v>0</v>
      </c>
      <c r="BM253" s="98">
        <f t="shared" si="352"/>
        <v>0</v>
      </c>
      <c r="BN253" s="98">
        <f t="shared" si="353"/>
        <v>949.97189189189191</v>
      </c>
      <c r="BO253" s="98">
        <f t="shared" si="307"/>
        <v>0</v>
      </c>
      <c r="BP253" s="98">
        <f t="shared" si="354"/>
        <v>949.97189189189191</v>
      </c>
      <c r="BQ253" s="98">
        <f t="shared" si="308"/>
        <v>0</v>
      </c>
      <c r="BR253" s="98">
        <f t="shared" si="355"/>
        <v>0</v>
      </c>
    </row>
    <row r="254" spans="1:70" x14ac:dyDescent="0.25">
      <c r="A254" t="s">
        <v>61</v>
      </c>
      <c r="B254" t="s">
        <v>6</v>
      </c>
      <c r="C254">
        <v>2026</v>
      </c>
      <c r="D254" s="98">
        <f>INDEX('Reference Sheet'!$G$9:$J$100, MATCH(A254,'Reference Sheet'!$F$9:$F$100,0), MATCH(C254,'Reference Sheet'!$G$8:$J$8,0))/2080</f>
        <v>38.46153846153846</v>
      </c>
      <c r="E254" s="99">
        <f>VLOOKUP(C254,'Reference Sheet'!$A$2:$B$5,2)</f>
        <v>0.23630000000000001</v>
      </c>
      <c r="F254" s="98">
        <f t="shared" si="309"/>
        <v>47.55</v>
      </c>
      <c r="G254" s="98"/>
      <c r="H254" s="98"/>
      <c r="I254" s="21"/>
      <c r="J254" s="21"/>
      <c r="K254" s="21"/>
      <c r="L254" s="21"/>
      <c r="M254" s="21">
        <v>101</v>
      </c>
      <c r="N254" s="21"/>
      <c r="O254" s="21"/>
      <c r="P254" s="21"/>
      <c r="Q254" s="21"/>
      <c r="R254" s="21"/>
      <c r="S254" s="21">
        <v>41</v>
      </c>
      <c r="T254" s="21"/>
      <c r="U254" s="21"/>
      <c r="V254" s="21">
        <v>22</v>
      </c>
      <c r="W254" s="21"/>
      <c r="X254" s="21">
        <v>22</v>
      </c>
      <c r="Y254" s="21"/>
      <c r="Z254" s="21"/>
      <c r="AA254" s="98">
        <f t="shared" si="297"/>
        <v>186</v>
      </c>
      <c r="AB254" s="98">
        <f>IF(OR(B254="",C254=""),"",SUMIFS('Reference Sheet'!$D$9:$D$42,'Reference Sheet'!$A$9:$A$42,C254,'Reference Sheet'!$B$9:$B$42,B254))</f>
        <v>176</v>
      </c>
      <c r="AC254" s="98">
        <f t="shared" si="310"/>
        <v>-10</v>
      </c>
      <c r="AD254" s="100">
        <f t="shared" si="329"/>
        <v>0</v>
      </c>
      <c r="AE254" s="100">
        <f t="shared" si="330"/>
        <v>0</v>
      </c>
      <c r="AF254" s="100">
        <f t="shared" si="331"/>
        <v>0</v>
      </c>
      <c r="AG254" s="100">
        <f t="shared" si="332"/>
        <v>0</v>
      </c>
      <c r="AH254" s="100">
        <f t="shared" si="333"/>
        <v>0</v>
      </c>
      <c r="AI254" s="100">
        <f t="shared" si="334"/>
        <v>0</v>
      </c>
      <c r="AJ254" s="100">
        <f t="shared" si="335"/>
        <v>95.569892473118273</v>
      </c>
      <c r="AK254" s="100">
        <f t="shared" si="336"/>
        <v>0</v>
      </c>
      <c r="AL254" s="100">
        <f t="shared" si="298"/>
        <v>0</v>
      </c>
      <c r="AM254" s="100">
        <f t="shared" si="337"/>
        <v>0</v>
      </c>
      <c r="AN254" s="100">
        <f t="shared" si="338"/>
        <v>0</v>
      </c>
      <c r="AO254" s="100">
        <f t="shared" si="339"/>
        <v>0</v>
      </c>
      <c r="AP254" s="100">
        <f t="shared" si="340"/>
        <v>38.795698924731184</v>
      </c>
      <c r="AQ254" s="100">
        <f t="shared" si="341"/>
        <v>0</v>
      </c>
      <c r="AR254" s="100">
        <f t="shared" si="342"/>
        <v>0</v>
      </c>
      <c r="AS254" s="100">
        <f t="shared" si="343"/>
        <v>20.817204301075272</v>
      </c>
      <c r="AT254" s="100">
        <f t="shared" si="299"/>
        <v>0</v>
      </c>
      <c r="AU254" s="100">
        <f t="shared" si="311"/>
        <v>20.817204301075272</v>
      </c>
      <c r="AV254" s="100">
        <f t="shared" si="300"/>
        <v>0</v>
      </c>
      <c r="AW254" s="100">
        <f t="shared" si="312"/>
        <v>0</v>
      </c>
      <c r="AX254">
        <f t="shared" si="313"/>
        <v>176</v>
      </c>
      <c r="AY254" s="98">
        <f t="shared" si="301"/>
        <v>0</v>
      </c>
      <c r="AZ254" s="98">
        <f t="shared" si="302"/>
        <v>0</v>
      </c>
      <c r="BA254" s="98">
        <f t="shared" si="344"/>
        <v>0</v>
      </c>
      <c r="BB254" s="98">
        <f t="shared" si="303"/>
        <v>0</v>
      </c>
      <c r="BC254" s="98">
        <f t="shared" si="345"/>
        <v>0</v>
      </c>
      <c r="BD254" s="98">
        <f t="shared" si="346"/>
        <v>0</v>
      </c>
      <c r="BE254" s="98">
        <f t="shared" si="347"/>
        <v>4544.3483870967739</v>
      </c>
      <c r="BF254" s="98">
        <f t="shared" si="304"/>
        <v>0</v>
      </c>
      <c r="BG254" s="98">
        <f t="shared" si="305"/>
        <v>0</v>
      </c>
      <c r="BH254" s="98">
        <f t="shared" si="348"/>
        <v>0</v>
      </c>
      <c r="BI254" s="98">
        <f t="shared" si="349"/>
        <v>0</v>
      </c>
      <c r="BJ254" s="98">
        <f t="shared" si="350"/>
        <v>0</v>
      </c>
      <c r="BK254" s="98">
        <f t="shared" si="351"/>
        <v>1844.7354838709678</v>
      </c>
      <c r="BL254" s="98">
        <f t="shared" si="306"/>
        <v>0</v>
      </c>
      <c r="BM254" s="98">
        <f t="shared" si="352"/>
        <v>0</v>
      </c>
      <c r="BN254" s="98">
        <f t="shared" si="353"/>
        <v>989.85806451612916</v>
      </c>
      <c r="BO254" s="98">
        <f t="shared" si="307"/>
        <v>0</v>
      </c>
      <c r="BP254" s="98">
        <f t="shared" si="354"/>
        <v>989.85806451612916</v>
      </c>
      <c r="BQ254" s="98">
        <f t="shared" si="308"/>
        <v>0</v>
      </c>
      <c r="BR254" s="98">
        <f t="shared" si="355"/>
        <v>0</v>
      </c>
    </row>
    <row r="255" spans="1:70" x14ac:dyDescent="0.25">
      <c r="A255" t="s">
        <v>61</v>
      </c>
      <c r="B255" t="s">
        <v>12</v>
      </c>
      <c r="C255">
        <v>2026</v>
      </c>
      <c r="D255" s="98">
        <f>INDEX('Reference Sheet'!$G$9:$J$100, MATCH(A255,'Reference Sheet'!$F$9:$F$100,0), MATCH(C255,'Reference Sheet'!$G$8:$J$8,0))/2080</f>
        <v>38.46153846153846</v>
      </c>
      <c r="E255" s="99">
        <f>VLOOKUP(C255,'Reference Sheet'!$A$2:$B$5,2)</f>
        <v>0.23630000000000001</v>
      </c>
      <c r="F255" s="98">
        <f t="shared" si="309"/>
        <v>47.55</v>
      </c>
      <c r="G255" s="98"/>
      <c r="H255" s="98"/>
      <c r="I255" s="21"/>
      <c r="J255" s="21"/>
      <c r="K255" s="21"/>
      <c r="L255" s="21"/>
      <c r="M255" s="21">
        <v>104</v>
      </c>
      <c r="N255" s="21"/>
      <c r="O255" s="21"/>
      <c r="P255" s="21"/>
      <c r="Q255" s="21"/>
      <c r="R255" s="21"/>
      <c r="S255" s="21">
        <v>42</v>
      </c>
      <c r="T255" s="21"/>
      <c r="U255" s="21"/>
      <c r="V255" s="21">
        <v>21</v>
      </c>
      <c r="W255" s="21"/>
      <c r="X255" s="21">
        <v>21</v>
      </c>
      <c r="Y255" s="21"/>
      <c r="Z255" s="21"/>
      <c r="AA255" s="98">
        <f t="shared" si="297"/>
        <v>188</v>
      </c>
      <c r="AB255" s="98">
        <f>IF(OR(B255="",C255=""),"",SUMIFS('Reference Sheet'!$D$9:$D$42,'Reference Sheet'!$A$9:$A$42,C255,'Reference Sheet'!$B$9:$B$42,B255))</f>
        <v>184</v>
      </c>
      <c r="AC255" s="98">
        <f t="shared" si="310"/>
        <v>-4</v>
      </c>
      <c r="AD255" s="100">
        <f t="shared" si="329"/>
        <v>0</v>
      </c>
      <c r="AE255" s="100">
        <f t="shared" si="330"/>
        <v>0</v>
      </c>
      <c r="AF255" s="100">
        <f t="shared" si="331"/>
        <v>0</v>
      </c>
      <c r="AG255" s="100">
        <f t="shared" si="332"/>
        <v>0</v>
      </c>
      <c r="AH255" s="100">
        <f t="shared" si="333"/>
        <v>0</v>
      </c>
      <c r="AI255" s="100">
        <f t="shared" si="334"/>
        <v>0</v>
      </c>
      <c r="AJ255" s="100">
        <f t="shared" si="335"/>
        <v>101.78723404255319</v>
      </c>
      <c r="AK255" s="100">
        <f t="shared" si="336"/>
        <v>0</v>
      </c>
      <c r="AL255" s="100">
        <f t="shared" si="298"/>
        <v>0</v>
      </c>
      <c r="AM255" s="100">
        <f t="shared" si="337"/>
        <v>0</v>
      </c>
      <c r="AN255" s="100">
        <f t="shared" si="338"/>
        <v>0</v>
      </c>
      <c r="AO255" s="100">
        <f t="shared" si="339"/>
        <v>0</v>
      </c>
      <c r="AP255" s="100">
        <f t="shared" si="340"/>
        <v>41.106382978723403</v>
      </c>
      <c r="AQ255" s="100">
        <f t="shared" si="341"/>
        <v>0</v>
      </c>
      <c r="AR255" s="100">
        <f t="shared" si="342"/>
        <v>0</v>
      </c>
      <c r="AS255" s="100">
        <f t="shared" si="343"/>
        <v>20.553191489361701</v>
      </c>
      <c r="AT255" s="100">
        <f t="shared" si="299"/>
        <v>0</v>
      </c>
      <c r="AU255" s="100">
        <f t="shared" si="311"/>
        <v>20.553191489361701</v>
      </c>
      <c r="AV255" s="100">
        <f t="shared" si="300"/>
        <v>0</v>
      </c>
      <c r="AW255" s="100">
        <f t="shared" si="312"/>
        <v>0</v>
      </c>
      <c r="AX255">
        <f t="shared" si="313"/>
        <v>184</v>
      </c>
      <c r="AY255" s="98">
        <f t="shared" si="301"/>
        <v>0</v>
      </c>
      <c r="AZ255" s="98">
        <f t="shared" si="302"/>
        <v>0</v>
      </c>
      <c r="BA255" s="98">
        <f t="shared" si="344"/>
        <v>0</v>
      </c>
      <c r="BB255" s="98">
        <f t="shared" si="303"/>
        <v>0</v>
      </c>
      <c r="BC255" s="98">
        <f t="shared" si="345"/>
        <v>0</v>
      </c>
      <c r="BD255" s="98">
        <f t="shared" si="346"/>
        <v>0</v>
      </c>
      <c r="BE255" s="98">
        <f t="shared" si="347"/>
        <v>4839.9829787234039</v>
      </c>
      <c r="BF255" s="98">
        <f t="shared" si="304"/>
        <v>0</v>
      </c>
      <c r="BG255" s="98">
        <f t="shared" si="305"/>
        <v>0</v>
      </c>
      <c r="BH255" s="98">
        <f t="shared" si="348"/>
        <v>0</v>
      </c>
      <c r="BI255" s="98">
        <f t="shared" si="349"/>
        <v>0</v>
      </c>
      <c r="BJ255" s="98">
        <f t="shared" si="350"/>
        <v>0</v>
      </c>
      <c r="BK255" s="98">
        <f t="shared" si="351"/>
        <v>1954.6085106382977</v>
      </c>
      <c r="BL255" s="98">
        <f t="shared" si="306"/>
        <v>0</v>
      </c>
      <c r="BM255" s="98">
        <f t="shared" si="352"/>
        <v>0</v>
      </c>
      <c r="BN255" s="98">
        <f t="shared" si="353"/>
        <v>977.30425531914887</v>
      </c>
      <c r="BO255" s="98">
        <f t="shared" si="307"/>
        <v>0</v>
      </c>
      <c r="BP255" s="98">
        <f t="shared" si="354"/>
        <v>977.30425531914887</v>
      </c>
      <c r="BQ255" s="98">
        <f t="shared" si="308"/>
        <v>0</v>
      </c>
      <c r="BR255" s="98">
        <f t="shared" si="355"/>
        <v>0</v>
      </c>
    </row>
    <row r="256" spans="1:70" x14ac:dyDescent="0.25">
      <c r="A256" t="s">
        <v>61</v>
      </c>
      <c r="B256" t="s">
        <v>13</v>
      </c>
      <c r="C256">
        <v>2026</v>
      </c>
      <c r="D256" s="98">
        <f>INDEX('Reference Sheet'!$G$9:$J$100, MATCH(A256,'Reference Sheet'!$F$9:$F$100,0), MATCH(C256,'Reference Sheet'!$G$8:$J$8,0))/2080</f>
        <v>38.46153846153846</v>
      </c>
      <c r="E256" s="99">
        <f>VLOOKUP(C256,'Reference Sheet'!$A$2:$B$5,2)</f>
        <v>0.23630000000000001</v>
      </c>
      <c r="F256" s="98">
        <f t="shared" ref="F256" si="356">D256*(1+E256)</f>
        <v>47.55</v>
      </c>
      <c r="G256" s="98"/>
      <c r="H256" s="98"/>
      <c r="I256" s="21"/>
      <c r="J256" s="21"/>
      <c r="K256" s="21"/>
      <c r="L256" s="21"/>
      <c r="M256" s="21"/>
      <c r="N256" s="21"/>
      <c r="O256" s="21"/>
      <c r="P256" s="21"/>
      <c r="Q256" s="21"/>
      <c r="R256" s="21"/>
      <c r="S256" s="21">
        <v>63</v>
      </c>
      <c r="T256" s="21"/>
      <c r="U256" s="21"/>
      <c r="V256" s="21">
        <v>84</v>
      </c>
      <c r="W256" s="21"/>
      <c r="X256" s="21">
        <v>21</v>
      </c>
      <c r="Y256" s="21"/>
      <c r="Z256" s="21"/>
      <c r="AA256" s="98">
        <f t="shared" si="297"/>
        <v>168</v>
      </c>
      <c r="AB256" s="98">
        <f>IF(OR(B256="",C256=""),"",SUMIFS('Reference Sheet'!$D$9:$D$44,'Reference Sheet'!$A$9:$A$44,C256,'Reference Sheet'!$B$9:$B$44,B256))</f>
        <v>176</v>
      </c>
      <c r="AC256" s="98">
        <f t="shared" si="310"/>
        <v>8</v>
      </c>
      <c r="AD256" s="100">
        <f t="shared" si="329"/>
        <v>0</v>
      </c>
      <c r="AE256" s="100">
        <f t="shared" si="330"/>
        <v>0</v>
      </c>
      <c r="AF256" s="100">
        <f t="shared" si="331"/>
        <v>0</v>
      </c>
      <c r="AG256" s="100">
        <f t="shared" si="332"/>
        <v>0</v>
      </c>
      <c r="AH256" s="100">
        <f t="shared" si="333"/>
        <v>0</v>
      </c>
      <c r="AI256" s="100">
        <f t="shared" si="334"/>
        <v>0</v>
      </c>
      <c r="AJ256" s="100">
        <f t="shared" si="335"/>
        <v>0</v>
      </c>
      <c r="AK256" s="100">
        <f t="shared" si="336"/>
        <v>0</v>
      </c>
      <c r="AL256" s="100">
        <f t="shared" si="298"/>
        <v>0</v>
      </c>
      <c r="AM256" s="100">
        <f t="shared" si="337"/>
        <v>0</v>
      </c>
      <c r="AN256" s="100">
        <f t="shared" si="338"/>
        <v>0</v>
      </c>
      <c r="AO256" s="100">
        <f t="shared" si="339"/>
        <v>0</v>
      </c>
      <c r="AP256" s="100">
        <f t="shared" si="340"/>
        <v>66</v>
      </c>
      <c r="AQ256" s="100">
        <f t="shared" si="341"/>
        <v>0</v>
      </c>
      <c r="AR256" s="100">
        <f t="shared" si="342"/>
        <v>0</v>
      </c>
      <c r="AS256" s="100">
        <f t="shared" si="343"/>
        <v>88</v>
      </c>
      <c r="AT256" s="100">
        <f t="shared" si="299"/>
        <v>0</v>
      </c>
      <c r="AU256" s="100">
        <f t="shared" ref="AU256" si="357">(X256/$AA256)*$AB256</f>
        <v>22</v>
      </c>
      <c r="AV256" s="100">
        <f t="shared" si="300"/>
        <v>0</v>
      </c>
      <c r="AW256" s="100">
        <f t="shared" ref="AW256" si="358">(Z256/$AA256)*$AB256</f>
        <v>0</v>
      </c>
      <c r="AX256">
        <f t="shared" ref="AX256" si="359">SUM(AF256:AW256)</f>
        <v>176</v>
      </c>
      <c r="AY256" s="98">
        <f t="shared" si="301"/>
        <v>0</v>
      </c>
      <c r="AZ256" s="98">
        <f t="shared" si="302"/>
        <v>0</v>
      </c>
      <c r="BA256" s="98">
        <f t="shared" ref="BA256" si="360">$F256*AF256</f>
        <v>0</v>
      </c>
      <c r="BB256" s="98">
        <f t="shared" si="303"/>
        <v>0</v>
      </c>
      <c r="BC256" s="98">
        <f t="shared" ref="BC256" si="361">$F256*AH256</f>
        <v>0</v>
      </c>
      <c r="BD256" s="98">
        <f t="shared" ref="BD256" si="362">$F256*AI256</f>
        <v>0</v>
      </c>
      <c r="BE256" s="98">
        <f t="shared" ref="BE256" si="363">$F256*AJ256</f>
        <v>0</v>
      </c>
      <c r="BF256" s="98">
        <f t="shared" si="304"/>
        <v>0</v>
      </c>
      <c r="BG256" s="98">
        <f t="shared" si="305"/>
        <v>0</v>
      </c>
      <c r="BH256" s="98">
        <f t="shared" ref="BH256" si="364">$F256*AM256</f>
        <v>0</v>
      </c>
      <c r="BI256" s="98">
        <f t="shared" ref="BI256" si="365">$F256*AN256</f>
        <v>0</v>
      </c>
      <c r="BJ256" s="98">
        <f t="shared" ref="BJ256" si="366">$F256*AO256</f>
        <v>0</v>
      </c>
      <c r="BK256" s="98">
        <f t="shared" ref="BK256" si="367">$F256*AP256</f>
        <v>3138.2999999999997</v>
      </c>
      <c r="BL256" s="98">
        <f t="shared" si="306"/>
        <v>0</v>
      </c>
      <c r="BM256" s="98">
        <f t="shared" ref="BM256" si="368">$F256*AR256</f>
        <v>0</v>
      </c>
      <c r="BN256" s="98">
        <f t="shared" ref="BN256" si="369">$F256*AS256</f>
        <v>4184.3999999999996</v>
      </c>
      <c r="BO256" s="98">
        <f t="shared" si="307"/>
        <v>0</v>
      </c>
      <c r="BP256" s="98">
        <f t="shared" ref="BP256" si="370">$F256*AU256</f>
        <v>1046.0999999999999</v>
      </c>
      <c r="BQ256" s="98">
        <f t="shared" si="308"/>
        <v>0</v>
      </c>
      <c r="BR256" s="98">
        <f t="shared" ref="BR256" si="371">$F256*AW256</f>
        <v>0</v>
      </c>
    </row>
    <row r="257" spans="1:70" x14ac:dyDescent="0.25">
      <c r="A257" t="s">
        <v>61</v>
      </c>
      <c r="B257" t="s">
        <v>8</v>
      </c>
      <c r="C257">
        <v>2026</v>
      </c>
      <c r="D257" s="98">
        <f>INDEX('Reference Sheet'!$G$9:$J$100, MATCH(A257,'Reference Sheet'!$F$9:$F$100,0), MATCH(C257,'Reference Sheet'!$G$8:$J$8,0))/2080</f>
        <v>38.46153846153846</v>
      </c>
      <c r="E257" s="99">
        <f>VLOOKUP(C257,'Reference Sheet'!$A$2:$B$5,2)</f>
        <v>0.23630000000000001</v>
      </c>
      <c r="F257" s="98">
        <f t="shared" si="309"/>
        <v>47.55</v>
      </c>
      <c r="G257" s="98"/>
      <c r="H257" s="98"/>
      <c r="I257" s="21"/>
      <c r="J257" s="21"/>
      <c r="K257" s="21"/>
      <c r="L257" s="21"/>
      <c r="M257" s="21">
        <v>109</v>
      </c>
      <c r="N257" s="21"/>
      <c r="O257" s="21"/>
      <c r="P257" s="21"/>
      <c r="Q257" s="21"/>
      <c r="R257" s="21"/>
      <c r="S257" s="21">
        <v>44</v>
      </c>
      <c r="T257" s="21"/>
      <c r="U257" s="21"/>
      <c r="V257" s="21">
        <v>22</v>
      </c>
      <c r="W257" s="21"/>
      <c r="X257" s="21">
        <v>18</v>
      </c>
      <c r="Y257" s="21"/>
      <c r="Z257" s="21"/>
      <c r="AA257" s="98">
        <f t="shared" si="297"/>
        <v>193</v>
      </c>
      <c r="AB257" s="98">
        <f>IF(OR(B257="",C257=""),"",SUMIFS('Reference Sheet'!$D$9:$D$42,'Reference Sheet'!$A$9:$A$42,C257,'Reference Sheet'!$B$9:$B$42,B257))</f>
        <v>176</v>
      </c>
      <c r="AC257" s="98">
        <f t="shared" si="310"/>
        <v>-17</v>
      </c>
      <c r="AD257" s="100">
        <f t="shared" si="329"/>
        <v>0</v>
      </c>
      <c r="AE257" s="100">
        <f t="shared" si="330"/>
        <v>0</v>
      </c>
      <c r="AF257" s="100">
        <f t="shared" si="331"/>
        <v>0</v>
      </c>
      <c r="AG257" s="100">
        <f t="shared" si="332"/>
        <v>0</v>
      </c>
      <c r="AH257" s="100">
        <f t="shared" si="333"/>
        <v>0</v>
      </c>
      <c r="AI257" s="100">
        <f t="shared" si="334"/>
        <v>0</v>
      </c>
      <c r="AJ257" s="100">
        <f t="shared" si="335"/>
        <v>99.398963730569946</v>
      </c>
      <c r="AK257" s="100">
        <f t="shared" si="336"/>
        <v>0</v>
      </c>
      <c r="AL257" s="100">
        <f t="shared" si="298"/>
        <v>0</v>
      </c>
      <c r="AM257" s="100">
        <f t="shared" si="337"/>
        <v>0</v>
      </c>
      <c r="AN257" s="100">
        <f t="shared" si="338"/>
        <v>0</v>
      </c>
      <c r="AO257" s="100">
        <f t="shared" si="339"/>
        <v>0</v>
      </c>
      <c r="AP257" s="100">
        <f t="shared" si="340"/>
        <v>40.124352331606218</v>
      </c>
      <c r="AQ257" s="100">
        <f t="shared" si="341"/>
        <v>0</v>
      </c>
      <c r="AR257" s="100">
        <f t="shared" si="342"/>
        <v>0</v>
      </c>
      <c r="AS257" s="100">
        <f t="shared" si="343"/>
        <v>20.062176165803109</v>
      </c>
      <c r="AT257" s="100">
        <f t="shared" si="299"/>
        <v>0</v>
      </c>
      <c r="AU257" s="100">
        <f t="shared" si="311"/>
        <v>16.414507772020727</v>
      </c>
      <c r="AV257" s="100">
        <f t="shared" si="300"/>
        <v>0</v>
      </c>
      <c r="AW257" s="100">
        <f t="shared" si="312"/>
        <v>0</v>
      </c>
      <c r="AX257">
        <f t="shared" si="313"/>
        <v>176</v>
      </c>
      <c r="AY257" s="98">
        <f t="shared" si="301"/>
        <v>0</v>
      </c>
      <c r="AZ257" s="98">
        <f t="shared" si="302"/>
        <v>0</v>
      </c>
      <c r="BA257" s="98">
        <f t="shared" si="344"/>
        <v>0</v>
      </c>
      <c r="BB257" s="98">
        <f t="shared" si="303"/>
        <v>0</v>
      </c>
      <c r="BC257" s="98">
        <f t="shared" si="345"/>
        <v>0</v>
      </c>
      <c r="BD257" s="98">
        <f t="shared" si="346"/>
        <v>0</v>
      </c>
      <c r="BE257" s="98">
        <f t="shared" si="347"/>
        <v>4726.4207253886007</v>
      </c>
      <c r="BF257" s="98">
        <f t="shared" si="304"/>
        <v>0</v>
      </c>
      <c r="BG257" s="98">
        <f t="shared" si="305"/>
        <v>0</v>
      </c>
      <c r="BH257" s="98">
        <f t="shared" si="348"/>
        <v>0</v>
      </c>
      <c r="BI257" s="98">
        <f t="shared" si="349"/>
        <v>0</v>
      </c>
      <c r="BJ257" s="98">
        <f t="shared" si="350"/>
        <v>0</v>
      </c>
      <c r="BK257" s="98">
        <f t="shared" si="351"/>
        <v>1907.9129533678756</v>
      </c>
      <c r="BL257" s="98">
        <f t="shared" si="306"/>
        <v>0</v>
      </c>
      <c r="BM257" s="98">
        <f t="shared" si="352"/>
        <v>0</v>
      </c>
      <c r="BN257" s="98">
        <f t="shared" si="353"/>
        <v>953.95647668393781</v>
      </c>
      <c r="BO257" s="98">
        <f t="shared" si="307"/>
        <v>0</v>
      </c>
      <c r="BP257" s="98">
        <f t="shared" si="354"/>
        <v>780.50984455958553</v>
      </c>
      <c r="BQ257" s="98">
        <f t="shared" si="308"/>
        <v>0</v>
      </c>
      <c r="BR257" s="98">
        <f t="shared" si="355"/>
        <v>0</v>
      </c>
    </row>
    <row r="258" spans="1:70" x14ac:dyDescent="0.25">
      <c r="A258" t="s">
        <v>58</v>
      </c>
      <c r="B258" t="s">
        <v>17</v>
      </c>
      <c r="C258">
        <v>2024</v>
      </c>
      <c r="D258" s="98">
        <f>INDEX('Reference Sheet'!$G$9:$J$100, MATCH(A258,'Reference Sheet'!$F$9:$F$100,0), MATCH(C258,'Reference Sheet'!$G$8:$J$8,0))/2080</f>
        <v>34.301024038461541</v>
      </c>
      <c r="E258" s="99">
        <f>VLOOKUP(C258,'Reference Sheet'!$A$2:$B$5,2)</f>
        <v>0.1913</v>
      </c>
      <c r="F258" s="98">
        <f t="shared" ref="F258:F287" si="372">D258*(1+E258)</f>
        <v>40.862809937019236</v>
      </c>
      <c r="G258" s="98"/>
      <c r="H258" s="98"/>
      <c r="I258" s="21"/>
      <c r="J258" s="21"/>
      <c r="K258" s="21"/>
      <c r="L258" s="21"/>
      <c r="M258" s="106">
        <v>0</v>
      </c>
      <c r="N258" s="106"/>
      <c r="O258" s="106"/>
      <c r="P258" s="21"/>
      <c r="Q258" s="21"/>
      <c r="R258" s="21"/>
      <c r="S258" s="21">
        <v>2.5</v>
      </c>
      <c r="T258" s="21"/>
      <c r="U258" s="21"/>
      <c r="V258" s="21">
        <v>11.99</v>
      </c>
      <c r="W258" s="21"/>
      <c r="X258" s="21"/>
      <c r="Y258" s="21"/>
      <c r="Z258" s="21"/>
      <c r="AA258" s="98">
        <f t="shared" si="297"/>
        <v>14.49</v>
      </c>
      <c r="AB258" s="98">
        <f t="shared" ref="AB258:AB287" si="373">AA258</f>
        <v>14.49</v>
      </c>
      <c r="AC258" s="98">
        <f t="shared" ref="AC258:AC287" si="374">AB258-AA258</f>
        <v>0</v>
      </c>
      <c r="AD258" s="100">
        <f t="shared" si="329"/>
        <v>0</v>
      </c>
      <c r="AE258" s="100">
        <f t="shared" si="330"/>
        <v>0</v>
      </c>
      <c r="AF258" s="100">
        <f t="shared" si="331"/>
        <v>0</v>
      </c>
      <c r="AG258" s="100">
        <f t="shared" si="332"/>
        <v>0</v>
      </c>
      <c r="AH258" s="100">
        <f t="shared" si="333"/>
        <v>0</v>
      </c>
      <c r="AI258" s="100">
        <f t="shared" si="334"/>
        <v>0</v>
      </c>
      <c r="AJ258" s="100">
        <f t="shared" si="335"/>
        <v>0</v>
      </c>
      <c r="AK258" s="100">
        <f t="shared" si="336"/>
        <v>0</v>
      </c>
      <c r="AL258" s="100">
        <f t="shared" si="298"/>
        <v>0</v>
      </c>
      <c r="AM258" s="100">
        <f t="shared" si="337"/>
        <v>0</v>
      </c>
      <c r="AN258" s="100">
        <f t="shared" si="338"/>
        <v>0</v>
      </c>
      <c r="AO258" s="100">
        <f t="shared" si="339"/>
        <v>0</v>
      </c>
      <c r="AP258" s="100">
        <f t="shared" si="340"/>
        <v>2.5</v>
      </c>
      <c r="AQ258" s="100">
        <f t="shared" si="341"/>
        <v>0</v>
      </c>
      <c r="AR258" s="100">
        <f t="shared" si="342"/>
        <v>0</v>
      </c>
      <c r="AS258" s="100">
        <f t="shared" si="343"/>
        <v>11.99</v>
      </c>
      <c r="AT258" s="100">
        <f t="shared" si="299"/>
        <v>0</v>
      </c>
      <c r="AU258" s="100">
        <f t="shared" ref="AU258:AU287" si="375">(X258/$AA258)*$AB258</f>
        <v>0</v>
      </c>
      <c r="AV258" s="100">
        <f t="shared" si="300"/>
        <v>0</v>
      </c>
      <c r="AW258" s="100">
        <f t="shared" ref="AW258:AW287" si="376">(Z258/$AA258)*$AB258</f>
        <v>0</v>
      </c>
      <c r="AX258">
        <f t="shared" ref="AX258:AX287" si="377">SUM(AF258:AW258)</f>
        <v>14.49</v>
      </c>
      <c r="AY258" s="98">
        <f t="shared" si="301"/>
        <v>0</v>
      </c>
      <c r="AZ258" s="98">
        <f t="shared" si="302"/>
        <v>0</v>
      </c>
      <c r="BA258" s="98">
        <f t="shared" ref="BA258:BA287" si="378">$F258*AF258</f>
        <v>0</v>
      </c>
      <c r="BB258" s="98">
        <f t="shared" si="303"/>
        <v>0</v>
      </c>
      <c r="BC258" s="98">
        <f t="shared" ref="BC258:BC287" si="379">$F258*AH258</f>
        <v>0</v>
      </c>
      <c r="BD258" s="98">
        <f t="shared" ref="BD258:BD287" si="380">$F258*AI258</f>
        <v>0</v>
      </c>
      <c r="BE258" s="98">
        <f t="shared" ref="BE258:BE287" si="381">$F258*AJ258</f>
        <v>0</v>
      </c>
      <c r="BF258" s="98">
        <f t="shared" si="304"/>
        <v>0</v>
      </c>
      <c r="BG258" s="98">
        <f t="shared" si="305"/>
        <v>0</v>
      </c>
      <c r="BH258" s="98">
        <f t="shared" ref="BH258:BH287" si="382">$F258*AM258</f>
        <v>0</v>
      </c>
      <c r="BI258" s="98">
        <f t="shared" ref="BI258:BI287" si="383">$F258*AN258</f>
        <v>0</v>
      </c>
      <c r="BJ258" s="98">
        <f t="shared" ref="BJ258:BJ287" si="384">$F258*AO258</f>
        <v>0</v>
      </c>
      <c r="BK258" s="98">
        <f t="shared" ref="BK258:BK287" si="385">$F258*AP258</f>
        <v>102.15702484254808</v>
      </c>
      <c r="BL258" s="98">
        <f t="shared" si="306"/>
        <v>0</v>
      </c>
      <c r="BM258" s="98">
        <f t="shared" ref="BM258:BM287" si="386">$F258*AR258</f>
        <v>0</v>
      </c>
      <c r="BN258" s="98">
        <f t="shared" ref="BN258:BN287" si="387">$F258*AS258</f>
        <v>489.94509114486067</v>
      </c>
      <c r="BO258" s="98">
        <f t="shared" si="307"/>
        <v>0</v>
      </c>
      <c r="BP258" s="98">
        <f t="shared" ref="BP258:BP287" si="388">$F258*AU258</f>
        <v>0</v>
      </c>
      <c r="BQ258" s="98">
        <f t="shared" si="308"/>
        <v>0</v>
      </c>
      <c r="BR258" s="98">
        <f t="shared" ref="BR258:BR287" si="389">$F258*AW258</f>
        <v>0</v>
      </c>
    </row>
    <row r="259" spans="1:70" x14ac:dyDescent="0.25">
      <c r="A259" t="s">
        <v>58</v>
      </c>
      <c r="B259" t="s">
        <v>15</v>
      </c>
      <c r="C259">
        <v>2024</v>
      </c>
      <c r="D259" s="98">
        <f>INDEX('Reference Sheet'!$G$9:$J$100, MATCH(A259,'Reference Sheet'!$F$9:$F$100,0), MATCH(C259,'Reference Sheet'!$G$8:$J$8,0))/2080</f>
        <v>34.301024038461541</v>
      </c>
      <c r="E259" s="99">
        <f>VLOOKUP(C259,'Reference Sheet'!$A$2:$B$5,2)</f>
        <v>0.1913</v>
      </c>
      <c r="F259" s="98">
        <f t="shared" si="372"/>
        <v>40.862809937019236</v>
      </c>
      <c r="G259" s="98"/>
      <c r="H259" s="98"/>
      <c r="I259" s="21"/>
      <c r="J259" s="21"/>
      <c r="K259" s="21"/>
      <c r="L259" s="21"/>
      <c r="M259" s="106">
        <v>0</v>
      </c>
      <c r="N259" s="106"/>
      <c r="O259" s="106"/>
      <c r="P259" s="21"/>
      <c r="Q259" s="21"/>
      <c r="R259" s="21"/>
      <c r="S259" s="21">
        <v>3</v>
      </c>
      <c r="T259" s="21"/>
      <c r="U259" s="21"/>
      <c r="V259" s="21">
        <v>4.3499999999999996</v>
      </c>
      <c r="W259" s="21"/>
      <c r="X259" s="21"/>
      <c r="Y259" s="21"/>
      <c r="Z259" s="21"/>
      <c r="AA259" s="98">
        <f t="shared" si="297"/>
        <v>7.35</v>
      </c>
      <c r="AB259" s="98">
        <f t="shared" si="373"/>
        <v>7.35</v>
      </c>
      <c r="AC259" s="98">
        <f t="shared" si="374"/>
        <v>0</v>
      </c>
      <c r="AD259" s="100">
        <f t="shared" si="329"/>
        <v>0</v>
      </c>
      <c r="AE259" s="100">
        <f t="shared" si="330"/>
        <v>0</v>
      </c>
      <c r="AF259" s="100">
        <f t="shared" si="331"/>
        <v>0</v>
      </c>
      <c r="AG259" s="100">
        <f t="shared" si="332"/>
        <v>0</v>
      </c>
      <c r="AH259" s="100">
        <f t="shared" si="333"/>
        <v>0</v>
      </c>
      <c r="AI259" s="100">
        <f t="shared" si="334"/>
        <v>0</v>
      </c>
      <c r="AJ259" s="100">
        <f t="shared" si="335"/>
        <v>0</v>
      </c>
      <c r="AK259" s="100">
        <f t="shared" si="336"/>
        <v>0</v>
      </c>
      <c r="AL259" s="100">
        <f t="shared" si="298"/>
        <v>0</v>
      </c>
      <c r="AM259" s="100">
        <f t="shared" si="337"/>
        <v>0</v>
      </c>
      <c r="AN259" s="100">
        <f t="shared" si="338"/>
        <v>0</v>
      </c>
      <c r="AO259" s="100">
        <f t="shared" si="339"/>
        <v>0</v>
      </c>
      <c r="AP259" s="100">
        <f t="shared" si="340"/>
        <v>3</v>
      </c>
      <c r="AQ259" s="100">
        <f t="shared" si="341"/>
        <v>0</v>
      </c>
      <c r="AR259" s="100">
        <f t="shared" si="342"/>
        <v>0</v>
      </c>
      <c r="AS259" s="100">
        <f t="shared" si="343"/>
        <v>4.3499999999999996</v>
      </c>
      <c r="AT259" s="100">
        <f t="shared" si="299"/>
        <v>0</v>
      </c>
      <c r="AU259" s="100">
        <f t="shared" si="375"/>
        <v>0</v>
      </c>
      <c r="AV259" s="100">
        <f t="shared" si="300"/>
        <v>0</v>
      </c>
      <c r="AW259" s="100">
        <f t="shared" si="376"/>
        <v>0</v>
      </c>
      <c r="AX259">
        <f t="shared" si="377"/>
        <v>7.35</v>
      </c>
      <c r="AY259" s="98">
        <f t="shared" si="301"/>
        <v>0</v>
      </c>
      <c r="AZ259" s="98">
        <f t="shared" si="302"/>
        <v>0</v>
      </c>
      <c r="BA259" s="98">
        <f t="shared" si="378"/>
        <v>0</v>
      </c>
      <c r="BB259" s="98">
        <f t="shared" si="303"/>
        <v>0</v>
      </c>
      <c r="BC259" s="98">
        <f t="shared" si="379"/>
        <v>0</v>
      </c>
      <c r="BD259" s="98">
        <f t="shared" si="380"/>
        <v>0</v>
      </c>
      <c r="BE259" s="98">
        <f t="shared" si="381"/>
        <v>0</v>
      </c>
      <c r="BF259" s="98">
        <f t="shared" si="304"/>
        <v>0</v>
      </c>
      <c r="BG259" s="98">
        <f t="shared" si="305"/>
        <v>0</v>
      </c>
      <c r="BH259" s="98">
        <f t="shared" si="382"/>
        <v>0</v>
      </c>
      <c r="BI259" s="98">
        <f t="shared" si="383"/>
        <v>0</v>
      </c>
      <c r="BJ259" s="98">
        <f t="shared" si="384"/>
        <v>0</v>
      </c>
      <c r="BK259" s="98">
        <f t="shared" si="385"/>
        <v>122.58842981105771</v>
      </c>
      <c r="BL259" s="98">
        <f t="shared" si="306"/>
        <v>0</v>
      </c>
      <c r="BM259" s="98">
        <f t="shared" si="386"/>
        <v>0</v>
      </c>
      <c r="BN259" s="98">
        <f t="shared" si="387"/>
        <v>177.75322322603367</v>
      </c>
      <c r="BO259" s="98">
        <f t="shared" si="307"/>
        <v>0</v>
      </c>
      <c r="BP259" s="98">
        <f t="shared" si="388"/>
        <v>0</v>
      </c>
      <c r="BQ259" s="98">
        <f t="shared" si="308"/>
        <v>0</v>
      </c>
      <c r="BR259" s="98">
        <f t="shared" si="389"/>
        <v>0</v>
      </c>
    </row>
    <row r="260" spans="1:70" x14ac:dyDescent="0.25">
      <c r="A260" t="s">
        <v>58</v>
      </c>
      <c r="B260" t="s">
        <v>16</v>
      </c>
      <c r="C260">
        <v>2024</v>
      </c>
      <c r="D260" s="98">
        <f>INDEX('Reference Sheet'!$G$9:$J$100, MATCH(A260,'Reference Sheet'!$F$9:$F$100,0), MATCH(C260,'Reference Sheet'!$G$8:$J$8,0))/2080</f>
        <v>34.301024038461541</v>
      </c>
      <c r="E260" s="99">
        <f>VLOOKUP(C260,'Reference Sheet'!$A$2:$B$5,2)</f>
        <v>0.1913</v>
      </c>
      <c r="F260" s="98">
        <f t="shared" ref="F260" si="390">D260*(1+E260)</f>
        <v>40.862809937019236</v>
      </c>
      <c r="G260" s="98"/>
      <c r="H260" s="98"/>
      <c r="I260" s="21"/>
      <c r="J260" s="21"/>
      <c r="K260" s="21"/>
      <c r="L260" s="21"/>
      <c r="M260" s="106"/>
      <c r="N260" s="106"/>
      <c r="O260" s="106"/>
      <c r="P260" s="21"/>
      <c r="Q260" s="21"/>
      <c r="R260" s="21"/>
      <c r="S260" s="21"/>
      <c r="T260" s="21"/>
      <c r="U260" s="21"/>
      <c r="V260" s="21">
        <v>11.49</v>
      </c>
      <c r="W260" s="21"/>
      <c r="X260" s="21"/>
      <c r="Y260" s="21"/>
      <c r="Z260" s="21"/>
      <c r="AA260" s="98">
        <f t="shared" si="297"/>
        <v>11.49</v>
      </c>
      <c r="AB260" s="98">
        <f t="shared" ref="AB260" si="391">AA260</f>
        <v>11.49</v>
      </c>
      <c r="AC260" s="98">
        <f t="shared" ref="AC260" si="392">AB260-AA260</f>
        <v>0</v>
      </c>
      <c r="AD260" s="100">
        <f t="shared" si="329"/>
        <v>0</v>
      </c>
      <c r="AE260" s="100">
        <f t="shared" si="330"/>
        <v>0</v>
      </c>
      <c r="AF260" s="100">
        <f t="shared" si="331"/>
        <v>0</v>
      </c>
      <c r="AG260" s="100">
        <f t="shared" si="332"/>
        <v>0</v>
      </c>
      <c r="AH260" s="100">
        <f t="shared" si="333"/>
        <v>0</v>
      </c>
      <c r="AI260" s="100">
        <f t="shared" si="334"/>
        <v>0</v>
      </c>
      <c r="AJ260" s="100">
        <f t="shared" si="335"/>
        <v>0</v>
      </c>
      <c r="AK260" s="100">
        <f t="shared" si="336"/>
        <v>0</v>
      </c>
      <c r="AL260" s="100">
        <f t="shared" si="298"/>
        <v>0</v>
      </c>
      <c r="AM260" s="100">
        <f t="shared" si="337"/>
        <v>0</v>
      </c>
      <c r="AN260" s="100">
        <f t="shared" si="338"/>
        <v>0</v>
      </c>
      <c r="AO260" s="100">
        <f t="shared" si="339"/>
        <v>0</v>
      </c>
      <c r="AP260" s="100">
        <f t="shared" si="340"/>
        <v>0</v>
      </c>
      <c r="AQ260" s="100">
        <f t="shared" si="341"/>
        <v>0</v>
      </c>
      <c r="AR260" s="100">
        <f t="shared" si="342"/>
        <v>0</v>
      </c>
      <c r="AS260" s="100">
        <f t="shared" si="343"/>
        <v>11.49</v>
      </c>
      <c r="AT260" s="100">
        <f t="shared" si="299"/>
        <v>0</v>
      </c>
      <c r="AU260" s="100">
        <f t="shared" ref="AU260" si="393">(X260/$AA260)*$AB260</f>
        <v>0</v>
      </c>
      <c r="AV260" s="100">
        <f t="shared" si="300"/>
        <v>0</v>
      </c>
      <c r="AW260" s="100">
        <f t="shared" ref="AW260" si="394">(Z260/$AA260)*$AB260</f>
        <v>0</v>
      </c>
      <c r="AX260">
        <f t="shared" ref="AX260" si="395">SUM(AF260:AW260)</f>
        <v>11.49</v>
      </c>
      <c r="AY260" s="98">
        <f t="shared" si="301"/>
        <v>0</v>
      </c>
      <c r="AZ260" s="98">
        <f t="shared" si="302"/>
        <v>0</v>
      </c>
      <c r="BA260" s="98">
        <f t="shared" ref="BA260" si="396">$F260*AF260</f>
        <v>0</v>
      </c>
      <c r="BB260" s="98">
        <f t="shared" si="303"/>
        <v>0</v>
      </c>
      <c r="BC260" s="98">
        <f t="shared" ref="BC260" si="397">$F260*AH260</f>
        <v>0</v>
      </c>
      <c r="BD260" s="98">
        <f t="shared" ref="BD260" si="398">$F260*AI260</f>
        <v>0</v>
      </c>
      <c r="BE260" s="98">
        <f t="shared" ref="BE260" si="399">$F260*AJ260</f>
        <v>0</v>
      </c>
      <c r="BF260" s="98">
        <f t="shared" si="304"/>
        <v>0</v>
      </c>
      <c r="BG260" s="98">
        <f t="shared" si="305"/>
        <v>0</v>
      </c>
      <c r="BH260" s="98">
        <f t="shared" ref="BH260" si="400">$F260*AM260</f>
        <v>0</v>
      </c>
      <c r="BI260" s="98">
        <f t="shared" ref="BI260" si="401">$F260*AN260</f>
        <v>0</v>
      </c>
      <c r="BJ260" s="98">
        <f t="shared" ref="BJ260" si="402">$F260*AO260</f>
        <v>0</v>
      </c>
      <c r="BK260" s="98">
        <f t="shared" ref="BK260" si="403">$F260*AP260</f>
        <v>0</v>
      </c>
      <c r="BL260" s="98">
        <f t="shared" si="306"/>
        <v>0</v>
      </c>
      <c r="BM260" s="98">
        <f t="shared" ref="BM260" si="404">$F260*AR260</f>
        <v>0</v>
      </c>
      <c r="BN260" s="98">
        <f t="shared" ref="BN260" si="405">$F260*AS260</f>
        <v>469.51368617635103</v>
      </c>
      <c r="BO260" s="98">
        <f t="shared" si="307"/>
        <v>0</v>
      </c>
      <c r="BP260" s="98">
        <f t="shared" ref="BP260" si="406">$F260*AU260</f>
        <v>0</v>
      </c>
      <c r="BQ260" s="98">
        <f t="shared" si="308"/>
        <v>0</v>
      </c>
      <c r="BR260" s="98">
        <f t="shared" ref="BR260" si="407">$F260*AW260</f>
        <v>0</v>
      </c>
    </row>
    <row r="261" spans="1:70" x14ac:dyDescent="0.25">
      <c r="A261" t="s">
        <v>58</v>
      </c>
      <c r="B261" t="s">
        <v>7</v>
      </c>
      <c r="C261">
        <v>2024</v>
      </c>
      <c r="D261" s="98">
        <f>INDEX('Reference Sheet'!$G$9:$J$100, MATCH(A261,'Reference Sheet'!$F$9:$F$100,0), MATCH(C261,'Reference Sheet'!$G$8:$J$8,0))/2080</f>
        <v>34.301024038461541</v>
      </c>
      <c r="E261" s="99">
        <f>VLOOKUP(C261,'Reference Sheet'!$A$2:$B$5,2)</f>
        <v>0.1913</v>
      </c>
      <c r="F261" s="98">
        <f t="shared" si="372"/>
        <v>40.862809937019236</v>
      </c>
      <c r="G261" s="98"/>
      <c r="H261" s="98"/>
      <c r="I261" s="32"/>
      <c r="J261" s="32"/>
      <c r="K261" s="32"/>
      <c r="L261" s="32"/>
      <c r="M261" s="32">
        <v>1.5</v>
      </c>
      <c r="N261" s="32"/>
      <c r="O261" s="32"/>
      <c r="P261" s="32"/>
      <c r="Q261" s="32"/>
      <c r="R261" s="32"/>
      <c r="S261" s="32"/>
      <c r="T261" s="32"/>
      <c r="U261" s="32"/>
      <c r="V261" s="32"/>
      <c r="W261" s="32"/>
      <c r="X261" s="32"/>
      <c r="Y261" s="32"/>
      <c r="Z261" s="32"/>
      <c r="AA261" s="98">
        <f t="shared" si="297"/>
        <v>1.5</v>
      </c>
      <c r="AB261" s="98">
        <f t="shared" si="373"/>
        <v>1.5</v>
      </c>
      <c r="AC261" s="98">
        <f t="shared" si="374"/>
        <v>0</v>
      </c>
      <c r="AD261" s="100">
        <f t="shared" si="329"/>
        <v>0</v>
      </c>
      <c r="AE261" s="100">
        <f t="shared" si="330"/>
        <v>0</v>
      </c>
      <c r="AF261" s="100">
        <f t="shared" si="331"/>
        <v>0</v>
      </c>
      <c r="AG261" s="100">
        <f t="shared" si="332"/>
        <v>0</v>
      </c>
      <c r="AH261" s="100">
        <f t="shared" si="333"/>
        <v>0</v>
      </c>
      <c r="AI261" s="100">
        <f t="shared" si="334"/>
        <v>0</v>
      </c>
      <c r="AJ261" s="100">
        <f t="shared" si="335"/>
        <v>1.5</v>
      </c>
      <c r="AK261" s="100">
        <f t="shared" si="336"/>
        <v>0</v>
      </c>
      <c r="AL261" s="100">
        <f t="shared" si="298"/>
        <v>0</v>
      </c>
      <c r="AM261" s="100">
        <f t="shared" si="337"/>
        <v>0</v>
      </c>
      <c r="AN261" s="100">
        <f t="shared" si="338"/>
        <v>0</v>
      </c>
      <c r="AO261" s="100">
        <f t="shared" si="339"/>
        <v>0</v>
      </c>
      <c r="AP261" s="100">
        <f t="shared" si="340"/>
        <v>0</v>
      </c>
      <c r="AQ261" s="100">
        <f t="shared" si="341"/>
        <v>0</v>
      </c>
      <c r="AR261" s="100">
        <f t="shared" si="342"/>
        <v>0</v>
      </c>
      <c r="AS261" s="100">
        <f t="shared" si="343"/>
        <v>0</v>
      </c>
      <c r="AT261" s="100">
        <f t="shared" si="299"/>
        <v>0</v>
      </c>
      <c r="AU261" s="100">
        <f t="shared" si="375"/>
        <v>0</v>
      </c>
      <c r="AV261" s="100">
        <f t="shared" si="300"/>
        <v>0</v>
      </c>
      <c r="AW261" s="100">
        <f t="shared" si="376"/>
        <v>0</v>
      </c>
      <c r="AX261">
        <f t="shared" si="377"/>
        <v>1.5</v>
      </c>
      <c r="AY261" s="98">
        <f t="shared" si="301"/>
        <v>0</v>
      </c>
      <c r="AZ261" s="98">
        <f t="shared" si="302"/>
        <v>0</v>
      </c>
      <c r="BA261" s="98">
        <f t="shared" si="378"/>
        <v>0</v>
      </c>
      <c r="BB261" s="98">
        <f t="shared" si="303"/>
        <v>0</v>
      </c>
      <c r="BC261" s="98">
        <f t="shared" si="379"/>
        <v>0</v>
      </c>
      <c r="BD261" s="98">
        <f t="shared" si="380"/>
        <v>0</v>
      </c>
      <c r="BE261" s="98">
        <f t="shared" si="381"/>
        <v>61.294214905528854</v>
      </c>
      <c r="BF261" s="98">
        <f t="shared" si="304"/>
        <v>0</v>
      </c>
      <c r="BG261" s="98">
        <f t="shared" si="305"/>
        <v>0</v>
      </c>
      <c r="BH261" s="98">
        <f t="shared" si="382"/>
        <v>0</v>
      </c>
      <c r="BI261" s="98">
        <f t="shared" si="383"/>
        <v>0</v>
      </c>
      <c r="BJ261" s="98">
        <f t="shared" si="384"/>
        <v>0</v>
      </c>
      <c r="BK261" s="98">
        <f t="shared" si="385"/>
        <v>0</v>
      </c>
      <c r="BL261" s="98">
        <f t="shared" si="306"/>
        <v>0</v>
      </c>
      <c r="BM261" s="98">
        <f t="shared" si="386"/>
        <v>0</v>
      </c>
      <c r="BN261" s="98">
        <f t="shared" si="387"/>
        <v>0</v>
      </c>
      <c r="BO261" s="98">
        <f t="shared" si="307"/>
        <v>0</v>
      </c>
      <c r="BP261" s="98">
        <f t="shared" si="388"/>
        <v>0</v>
      </c>
      <c r="BQ261" s="98">
        <f t="shared" si="308"/>
        <v>0</v>
      </c>
      <c r="BR261" s="98">
        <f t="shared" si="389"/>
        <v>0</v>
      </c>
    </row>
    <row r="262" spans="1:70" x14ac:dyDescent="0.25">
      <c r="A262" t="s">
        <v>58</v>
      </c>
      <c r="B262" t="s">
        <v>8</v>
      </c>
      <c r="C262">
        <v>2024</v>
      </c>
      <c r="D262" s="98">
        <f>INDEX('Reference Sheet'!$G$9:$J$100, MATCH(A262,'Reference Sheet'!$F$9:$F$100,0), MATCH(C262,'Reference Sheet'!$G$8:$J$8,0))/2080</f>
        <v>34.301024038461541</v>
      </c>
      <c r="E262" s="99">
        <f>VLOOKUP(C262,'Reference Sheet'!$A$2:$B$5,2)</f>
        <v>0.1913</v>
      </c>
      <c r="F262" s="98">
        <f t="shared" si="372"/>
        <v>40.862809937019236</v>
      </c>
      <c r="G262" s="98"/>
      <c r="H262" s="98"/>
      <c r="I262" s="32"/>
      <c r="J262" s="32"/>
      <c r="K262" s="32"/>
      <c r="L262" s="32"/>
      <c r="M262" s="32">
        <v>3</v>
      </c>
      <c r="N262" s="32"/>
      <c r="O262" s="32"/>
      <c r="P262" s="32"/>
      <c r="Q262" s="32"/>
      <c r="R262" s="32"/>
      <c r="S262" s="32"/>
      <c r="T262" s="32"/>
      <c r="U262" s="32"/>
      <c r="V262" s="32"/>
      <c r="W262" s="32"/>
      <c r="X262" s="32"/>
      <c r="Y262" s="32"/>
      <c r="Z262" s="32"/>
      <c r="AA262" s="98">
        <f t="shared" si="297"/>
        <v>3</v>
      </c>
      <c r="AB262" s="98">
        <f t="shared" si="373"/>
        <v>3</v>
      </c>
      <c r="AC262" s="98">
        <f t="shared" si="374"/>
        <v>0</v>
      </c>
      <c r="AD262" s="100">
        <f t="shared" si="329"/>
        <v>0</v>
      </c>
      <c r="AE262" s="100">
        <f t="shared" si="330"/>
        <v>0</v>
      </c>
      <c r="AF262" s="100">
        <f t="shared" si="331"/>
        <v>0</v>
      </c>
      <c r="AG262" s="100">
        <f t="shared" si="332"/>
        <v>0</v>
      </c>
      <c r="AH262" s="100">
        <f t="shared" si="333"/>
        <v>0</v>
      </c>
      <c r="AI262" s="100">
        <f t="shared" si="334"/>
        <v>0</v>
      </c>
      <c r="AJ262" s="100">
        <f t="shared" si="335"/>
        <v>3</v>
      </c>
      <c r="AK262" s="100">
        <f t="shared" si="336"/>
        <v>0</v>
      </c>
      <c r="AL262" s="100">
        <f t="shared" si="298"/>
        <v>0</v>
      </c>
      <c r="AM262" s="100">
        <f t="shared" si="337"/>
        <v>0</v>
      </c>
      <c r="AN262" s="100">
        <f t="shared" si="338"/>
        <v>0</v>
      </c>
      <c r="AO262" s="100">
        <f t="shared" si="339"/>
        <v>0</v>
      </c>
      <c r="AP262" s="100">
        <f t="shared" si="340"/>
        <v>0</v>
      </c>
      <c r="AQ262" s="100">
        <f t="shared" si="341"/>
        <v>0</v>
      </c>
      <c r="AR262" s="100">
        <f t="shared" si="342"/>
        <v>0</v>
      </c>
      <c r="AS262" s="100">
        <f t="shared" si="343"/>
        <v>0</v>
      </c>
      <c r="AT262" s="100">
        <f t="shared" si="299"/>
        <v>0</v>
      </c>
      <c r="AU262" s="100">
        <f t="shared" si="375"/>
        <v>0</v>
      </c>
      <c r="AV262" s="100">
        <f t="shared" si="300"/>
        <v>0</v>
      </c>
      <c r="AW262" s="100">
        <f t="shared" si="376"/>
        <v>0</v>
      </c>
      <c r="AX262">
        <f t="shared" si="377"/>
        <v>3</v>
      </c>
      <c r="AY262" s="98">
        <f t="shared" si="301"/>
        <v>0</v>
      </c>
      <c r="AZ262" s="98">
        <f t="shared" si="302"/>
        <v>0</v>
      </c>
      <c r="BA262" s="98">
        <f t="shared" si="378"/>
        <v>0</v>
      </c>
      <c r="BB262" s="98">
        <f t="shared" si="303"/>
        <v>0</v>
      </c>
      <c r="BC262" s="98">
        <f t="shared" si="379"/>
        <v>0</v>
      </c>
      <c r="BD262" s="98">
        <f t="shared" si="380"/>
        <v>0</v>
      </c>
      <c r="BE262" s="98">
        <f t="shared" si="381"/>
        <v>122.58842981105771</v>
      </c>
      <c r="BF262" s="98">
        <f t="shared" si="304"/>
        <v>0</v>
      </c>
      <c r="BG262" s="98">
        <f t="shared" si="305"/>
        <v>0</v>
      </c>
      <c r="BH262" s="98">
        <f t="shared" si="382"/>
        <v>0</v>
      </c>
      <c r="BI262" s="98">
        <f t="shared" si="383"/>
        <v>0</v>
      </c>
      <c r="BJ262" s="98">
        <f t="shared" si="384"/>
        <v>0</v>
      </c>
      <c r="BK262" s="98">
        <f t="shared" si="385"/>
        <v>0</v>
      </c>
      <c r="BL262" s="98">
        <f t="shared" si="306"/>
        <v>0</v>
      </c>
      <c r="BM262" s="98">
        <f t="shared" si="386"/>
        <v>0</v>
      </c>
      <c r="BN262" s="98">
        <f t="shared" si="387"/>
        <v>0</v>
      </c>
      <c r="BO262" s="98">
        <f t="shared" si="307"/>
        <v>0</v>
      </c>
      <c r="BP262" s="98">
        <f t="shared" si="388"/>
        <v>0</v>
      </c>
      <c r="BQ262" s="98">
        <f t="shared" si="308"/>
        <v>0</v>
      </c>
      <c r="BR262" s="98">
        <f t="shared" si="389"/>
        <v>0</v>
      </c>
    </row>
    <row r="263" spans="1:70" x14ac:dyDescent="0.25">
      <c r="A263" t="s">
        <v>58</v>
      </c>
      <c r="B263" t="s">
        <v>9</v>
      </c>
      <c r="C263">
        <v>2024</v>
      </c>
      <c r="D263" s="98">
        <f>INDEX('Reference Sheet'!$G$9:$J$100, MATCH(A263,'Reference Sheet'!$F$9:$F$100,0), MATCH(C263,'Reference Sheet'!$G$8:$J$8,0))/2080</f>
        <v>34.301024038461541</v>
      </c>
      <c r="E263" s="99">
        <f>VLOOKUP(C263,'Reference Sheet'!$A$2:$B$5,2)</f>
        <v>0.1913</v>
      </c>
      <c r="F263" s="98">
        <f t="shared" si="372"/>
        <v>40.862809937019236</v>
      </c>
      <c r="G263" s="98"/>
      <c r="H263" s="98"/>
      <c r="I263" s="32"/>
      <c r="J263" s="32"/>
      <c r="K263" s="32"/>
      <c r="L263" s="32"/>
      <c r="M263" s="32">
        <v>2.5</v>
      </c>
      <c r="N263" s="32"/>
      <c r="O263" s="32"/>
      <c r="P263" s="32"/>
      <c r="Q263" s="32"/>
      <c r="R263" s="32"/>
      <c r="S263" s="32"/>
      <c r="T263" s="32"/>
      <c r="U263" s="32"/>
      <c r="V263" s="32"/>
      <c r="W263" s="32"/>
      <c r="X263" s="32"/>
      <c r="Y263" s="32"/>
      <c r="Z263" s="32"/>
      <c r="AA263" s="98">
        <f t="shared" ref="AA263:AA317" si="408">SUM(G263:Z263)</f>
        <v>2.5</v>
      </c>
      <c r="AB263" s="98">
        <f t="shared" si="373"/>
        <v>2.5</v>
      </c>
      <c r="AC263" s="98">
        <f t="shared" si="374"/>
        <v>0</v>
      </c>
      <c r="AD263" s="100">
        <f t="shared" si="329"/>
        <v>0</v>
      </c>
      <c r="AE263" s="100">
        <f t="shared" si="330"/>
        <v>0</v>
      </c>
      <c r="AF263" s="100">
        <f t="shared" si="331"/>
        <v>0</v>
      </c>
      <c r="AG263" s="100">
        <f t="shared" si="332"/>
        <v>0</v>
      </c>
      <c r="AH263" s="100">
        <f t="shared" si="333"/>
        <v>0</v>
      </c>
      <c r="AI263" s="100">
        <f t="shared" si="334"/>
        <v>0</v>
      </c>
      <c r="AJ263" s="100">
        <f t="shared" si="335"/>
        <v>2.5</v>
      </c>
      <c r="AK263" s="100">
        <f t="shared" si="336"/>
        <v>0</v>
      </c>
      <c r="AL263" s="100">
        <f t="shared" si="298"/>
        <v>0</v>
      </c>
      <c r="AM263" s="100">
        <f t="shared" si="337"/>
        <v>0</v>
      </c>
      <c r="AN263" s="100">
        <f t="shared" si="338"/>
        <v>0</v>
      </c>
      <c r="AO263" s="100">
        <f t="shared" si="339"/>
        <v>0</v>
      </c>
      <c r="AP263" s="100">
        <f t="shared" si="340"/>
        <v>0</v>
      </c>
      <c r="AQ263" s="100">
        <f t="shared" si="341"/>
        <v>0</v>
      </c>
      <c r="AR263" s="100">
        <f t="shared" si="342"/>
        <v>0</v>
      </c>
      <c r="AS263" s="100">
        <f t="shared" si="343"/>
        <v>0</v>
      </c>
      <c r="AT263" s="100">
        <f t="shared" si="299"/>
        <v>0</v>
      </c>
      <c r="AU263" s="100">
        <f t="shared" si="375"/>
        <v>0</v>
      </c>
      <c r="AV263" s="100">
        <f t="shared" si="300"/>
        <v>0</v>
      </c>
      <c r="AW263" s="100">
        <f t="shared" si="376"/>
        <v>0</v>
      </c>
      <c r="AX263">
        <f t="shared" si="377"/>
        <v>2.5</v>
      </c>
      <c r="AY263" s="98">
        <f t="shared" si="301"/>
        <v>0</v>
      </c>
      <c r="AZ263" s="98">
        <f t="shared" si="302"/>
        <v>0</v>
      </c>
      <c r="BA263" s="98">
        <f t="shared" si="378"/>
        <v>0</v>
      </c>
      <c r="BB263" s="98">
        <f t="shared" si="303"/>
        <v>0</v>
      </c>
      <c r="BC263" s="98">
        <f t="shared" si="379"/>
        <v>0</v>
      </c>
      <c r="BD263" s="98">
        <f t="shared" si="380"/>
        <v>0</v>
      </c>
      <c r="BE263" s="98">
        <f t="shared" si="381"/>
        <v>102.15702484254808</v>
      </c>
      <c r="BF263" s="98">
        <f t="shared" si="304"/>
        <v>0</v>
      </c>
      <c r="BG263" s="98">
        <f t="shared" si="305"/>
        <v>0</v>
      </c>
      <c r="BH263" s="98">
        <f t="shared" si="382"/>
        <v>0</v>
      </c>
      <c r="BI263" s="98">
        <f t="shared" si="383"/>
        <v>0</v>
      </c>
      <c r="BJ263" s="98">
        <f t="shared" si="384"/>
        <v>0</v>
      </c>
      <c r="BK263" s="98">
        <f t="shared" si="385"/>
        <v>0</v>
      </c>
      <c r="BL263" s="98">
        <f t="shared" si="306"/>
        <v>0</v>
      </c>
      <c r="BM263" s="98">
        <f t="shared" si="386"/>
        <v>0</v>
      </c>
      <c r="BN263" s="98">
        <f t="shared" si="387"/>
        <v>0</v>
      </c>
      <c r="BO263" s="98">
        <f t="shared" si="307"/>
        <v>0</v>
      </c>
      <c r="BP263" s="98">
        <f t="shared" si="388"/>
        <v>0</v>
      </c>
      <c r="BQ263" s="98">
        <f t="shared" si="308"/>
        <v>0</v>
      </c>
      <c r="BR263" s="98">
        <f t="shared" si="389"/>
        <v>0</v>
      </c>
    </row>
    <row r="264" spans="1:70" x14ac:dyDescent="0.25">
      <c r="A264" t="s">
        <v>58</v>
      </c>
      <c r="B264" t="s">
        <v>10</v>
      </c>
      <c r="C264">
        <v>2024</v>
      </c>
      <c r="D264" s="98">
        <f>INDEX('Reference Sheet'!$G$9:$J$100, MATCH(A264,'Reference Sheet'!$F$9:$F$100,0), MATCH(C264,'Reference Sheet'!$G$8:$J$8,0))/2080</f>
        <v>34.301024038461541</v>
      </c>
      <c r="E264" s="99">
        <f>VLOOKUP(C264,'Reference Sheet'!$A$2:$B$5,2)</f>
        <v>0.1913</v>
      </c>
      <c r="F264" s="98">
        <f t="shared" si="372"/>
        <v>40.862809937019236</v>
      </c>
      <c r="G264" s="98"/>
      <c r="H264" s="98"/>
      <c r="I264" s="32"/>
      <c r="J264" s="32"/>
      <c r="K264" s="32"/>
      <c r="L264" s="32"/>
      <c r="M264" s="32">
        <v>12</v>
      </c>
      <c r="N264" s="32"/>
      <c r="O264" s="32"/>
      <c r="P264" s="32"/>
      <c r="Q264" s="32"/>
      <c r="R264" s="32"/>
      <c r="S264" s="32"/>
      <c r="T264" s="32"/>
      <c r="U264" s="32"/>
      <c r="V264" s="32"/>
      <c r="W264" s="32"/>
      <c r="X264" s="32"/>
      <c r="Y264" s="32"/>
      <c r="Z264" s="32"/>
      <c r="AA264" s="98">
        <f t="shared" si="408"/>
        <v>12</v>
      </c>
      <c r="AB264" s="98">
        <f t="shared" si="373"/>
        <v>12</v>
      </c>
      <c r="AC264" s="98">
        <f t="shared" si="374"/>
        <v>0</v>
      </c>
      <c r="AD264" s="100">
        <f t="shared" si="329"/>
        <v>0</v>
      </c>
      <c r="AE264" s="100">
        <f t="shared" si="330"/>
        <v>0</v>
      </c>
      <c r="AF264" s="100">
        <f t="shared" si="331"/>
        <v>0</v>
      </c>
      <c r="AG264" s="100">
        <f t="shared" si="332"/>
        <v>0</v>
      </c>
      <c r="AH264" s="100">
        <f t="shared" si="333"/>
        <v>0</v>
      </c>
      <c r="AI264" s="100">
        <f t="shared" si="334"/>
        <v>0</v>
      </c>
      <c r="AJ264" s="100">
        <f t="shared" si="335"/>
        <v>12</v>
      </c>
      <c r="AK264" s="100">
        <f t="shared" si="336"/>
        <v>0</v>
      </c>
      <c r="AL264" s="100">
        <f t="shared" ref="AL264:AL287" si="409">(O264/$AA264)*$AB264</f>
        <v>0</v>
      </c>
      <c r="AM264" s="100">
        <f t="shared" si="337"/>
        <v>0</v>
      </c>
      <c r="AN264" s="100">
        <f t="shared" si="338"/>
        <v>0</v>
      </c>
      <c r="AO264" s="100">
        <f t="shared" si="339"/>
        <v>0</v>
      </c>
      <c r="AP264" s="100">
        <f t="shared" si="340"/>
        <v>0</v>
      </c>
      <c r="AQ264" s="100">
        <f t="shared" si="341"/>
        <v>0</v>
      </c>
      <c r="AR264" s="100">
        <f t="shared" si="342"/>
        <v>0</v>
      </c>
      <c r="AS264" s="100">
        <f t="shared" si="343"/>
        <v>0</v>
      </c>
      <c r="AT264" s="100">
        <f t="shared" ref="AT264:AT287" si="410">(W264/$AA264)*$AB264</f>
        <v>0</v>
      </c>
      <c r="AU264" s="100">
        <f t="shared" si="375"/>
        <v>0</v>
      </c>
      <c r="AV264" s="100">
        <f t="shared" ref="AV264:AV287" si="411">(Y264/$AA264)*$AB264</f>
        <v>0</v>
      </c>
      <c r="AW264" s="100">
        <f t="shared" si="376"/>
        <v>0</v>
      </c>
      <c r="AX264">
        <f t="shared" si="377"/>
        <v>12</v>
      </c>
      <c r="AY264" s="98">
        <f t="shared" ref="AY264:AY287" si="412">$F264*AD264</f>
        <v>0</v>
      </c>
      <c r="AZ264" s="98">
        <f t="shared" ref="AZ264:AZ287" si="413">$F264*AE264</f>
        <v>0</v>
      </c>
      <c r="BA264" s="98">
        <f t="shared" si="378"/>
        <v>0</v>
      </c>
      <c r="BB264" s="98">
        <f t="shared" ref="BB264:BB287" si="414">$F264*AG264</f>
        <v>0</v>
      </c>
      <c r="BC264" s="98">
        <f t="shared" si="379"/>
        <v>0</v>
      </c>
      <c r="BD264" s="98">
        <f t="shared" si="380"/>
        <v>0</v>
      </c>
      <c r="BE264" s="98">
        <f t="shared" si="381"/>
        <v>490.35371924423083</v>
      </c>
      <c r="BF264" s="98">
        <f t="shared" ref="BF264:BF287" si="415">$F264*AK264</f>
        <v>0</v>
      </c>
      <c r="BG264" s="98">
        <f t="shared" ref="BG264:BG287" si="416">$F264*AL264</f>
        <v>0</v>
      </c>
      <c r="BH264" s="98">
        <f t="shared" si="382"/>
        <v>0</v>
      </c>
      <c r="BI264" s="98">
        <f t="shared" si="383"/>
        <v>0</v>
      </c>
      <c r="BJ264" s="98">
        <f t="shared" si="384"/>
        <v>0</v>
      </c>
      <c r="BK264" s="98">
        <f t="shared" si="385"/>
        <v>0</v>
      </c>
      <c r="BL264" s="98">
        <f t="shared" ref="BL264:BL287" si="417">$F264*AQ264</f>
        <v>0</v>
      </c>
      <c r="BM264" s="98">
        <f t="shared" si="386"/>
        <v>0</v>
      </c>
      <c r="BN264" s="98">
        <f t="shared" si="387"/>
        <v>0</v>
      </c>
      <c r="BO264" s="98">
        <f t="shared" ref="BO264:BO287" si="418">$F264*AT264</f>
        <v>0</v>
      </c>
      <c r="BP264" s="98">
        <f t="shared" si="388"/>
        <v>0</v>
      </c>
      <c r="BQ264" s="98">
        <f t="shared" ref="BQ264:BQ287" si="419">$F264*AV264</f>
        <v>0</v>
      </c>
      <c r="BR264" s="98">
        <f t="shared" si="389"/>
        <v>0</v>
      </c>
    </row>
    <row r="265" spans="1:70" x14ac:dyDescent="0.25">
      <c r="A265" t="s">
        <v>58</v>
      </c>
      <c r="B265" t="s">
        <v>11</v>
      </c>
      <c r="C265">
        <v>2024</v>
      </c>
      <c r="D265" s="98">
        <f>INDEX('Reference Sheet'!$G$9:$J$100, MATCH(A265,'Reference Sheet'!$F$9:$F$100,0), MATCH(C265,'Reference Sheet'!$G$8:$J$8,0))/2080</f>
        <v>34.301024038461541</v>
      </c>
      <c r="E265" s="99">
        <f>VLOOKUP(C265,'Reference Sheet'!$A$2:$B$5,2)</f>
        <v>0.1913</v>
      </c>
      <c r="F265" s="98">
        <f t="shared" si="372"/>
        <v>40.862809937019236</v>
      </c>
      <c r="G265" s="98"/>
      <c r="H265" s="98"/>
      <c r="I265" s="32"/>
      <c r="J265" s="32"/>
      <c r="K265" s="32"/>
      <c r="L265" s="32"/>
      <c r="M265" s="32">
        <v>0.5</v>
      </c>
      <c r="N265" s="32"/>
      <c r="O265" s="32"/>
      <c r="P265" s="32"/>
      <c r="Q265" s="32"/>
      <c r="R265" s="32"/>
      <c r="S265" s="32"/>
      <c r="T265" s="32"/>
      <c r="U265" s="32"/>
      <c r="V265" s="32"/>
      <c r="W265" s="32"/>
      <c r="X265" s="32"/>
      <c r="Y265" s="32"/>
      <c r="Z265" s="32"/>
      <c r="AA265" s="98">
        <f t="shared" si="408"/>
        <v>0.5</v>
      </c>
      <c r="AB265" s="98">
        <f t="shared" si="373"/>
        <v>0.5</v>
      </c>
      <c r="AC265" s="98">
        <f t="shared" si="374"/>
        <v>0</v>
      </c>
      <c r="AD265" s="100">
        <f t="shared" si="329"/>
        <v>0</v>
      </c>
      <c r="AE265" s="100">
        <f t="shared" si="330"/>
        <v>0</v>
      </c>
      <c r="AF265" s="100">
        <f t="shared" si="331"/>
        <v>0</v>
      </c>
      <c r="AG265" s="100">
        <f t="shared" si="332"/>
        <v>0</v>
      </c>
      <c r="AH265" s="100">
        <f t="shared" si="333"/>
        <v>0</v>
      </c>
      <c r="AI265" s="100">
        <f t="shared" si="334"/>
        <v>0</v>
      </c>
      <c r="AJ265" s="100">
        <f t="shared" si="335"/>
        <v>0.5</v>
      </c>
      <c r="AK265" s="100">
        <f t="shared" si="336"/>
        <v>0</v>
      </c>
      <c r="AL265" s="100">
        <f t="shared" si="409"/>
        <v>0</v>
      </c>
      <c r="AM265" s="100">
        <f t="shared" si="337"/>
        <v>0</v>
      </c>
      <c r="AN265" s="100">
        <f t="shared" si="338"/>
        <v>0</v>
      </c>
      <c r="AO265" s="100">
        <f t="shared" si="339"/>
        <v>0</v>
      </c>
      <c r="AP265" s="100">
        <f t="shared" si="340"/>
        <v>0</v>
      </c>
      <c r="AQ265" s="100">
        <f t="shared" si="341"/>
        <v>0</v>
      </c>
      <c r="AR265" s="100">
        <f t="shared" si="342"/>
        <v>0</v>
      </c>
      <c r="AS265" s="100">
        <f t="shared" si="343"/>
        <v>0</v>
      </c>
      <c r="AT265" s="100">
        <f t="shared" si="410"/>
        <v>0</v>
      </c>
      <c r="AU265" s="100">
        <f t="shared" si="375"/>
        <v>0</v>
      </c>
      <c r="AV265" s="100">
        <f t="shared" si="411"/>
        <v>0</v>
      </c>
      <c r="AW265" s="100">
        <f t="shared" si="376"/>
        <v>0</v>
      </c>
      <c r="AX265">
        <f t="shared" si="377"/>
        <v>0.5</v>
      </c>
      <c r="AY265" s="98">
        <f t="shared" si="412"/>
        <v>0</v>
      </c>
      <c r="AZ265" s="98">
        <f t="shared" si="413"/>
        <v>0</v>
      </c>
      <c r="BA265" s="98">
        <f t="shared" si="378"/>
        <v>0</v>
      </c>
      <c r="BB265" s="98">
        <f t="shared" si="414"/>
        <v>0</v>
      </c>
      <c r="BC265" s="98">
        <f t="shared" si="379"/>
        <v>0</v>
      </c>
      <c r="BD265" s="98">
        <f t="shared" si="380"/>
        <v>0</v>
      </c>
      <c r="BE265" s="98">
        <f t="shared" si="381"/>
        <v>20.431404968509618</v>
      </c>
      <c r="BF265" s="98">
        <f t="shared" si="415"/>
        <v>0</v>
      </c>
      <c r="BG265" s="98">
        <f t="shared" si="416"/>
        <v>0</v>
      </c>
      <c r="BH265" s="98">
        <f t="shared" si="382"/>
        <v>0</v>
      </c>
      <c r="BI265" s="98">
        <f t="shared" si="383"/>
        <v>0</v>
      </c>
      <c r="BJ265" s="98">
        <f t="shared" si="384"/>
        <v>0</v>
      </c>
      <c r="BK265" s="98">
        <f t="shared" si="385"/>
        <v>0</v>
      </c>
      <c r="BL265" s="98">
        <f t="shared" si="417"/>
        <v>0</v>
      </c>
      <c r="BM265" s="98">
        <f t="shared" si="386"/>
        <v>0</v>
      </c>
      <c r="BN265" s="98">
        <f t="shared" si="387"/>
        <v>0</v>
      </c>
      <c r="BO265" s="98">
        <f t="shared" si="418"/>
        <v>0</v>
      </c>
      <c r="BP265" s="98">
        <f t="shared" si="388"/>
        <v>0</v>
      </c>
      <c r="BQ265" s="98">
        <f t="shared" si="419"/>
        <v>0</v>
      </c>
      <c r="BR265" s="98">
        <f t="shared" si="389"/>
        <v>0</v>
      </c>
    </row>
    <row r="266" spans="1:70" x14ac:dyDescent="0.25">
      <c r="A266" t="s">
        <v>58</v>
      </c>
      <c r="B266" t="s">
        <v>12</v>
      </c>
      <c r="C266">
        <v>2024</v>
      </c>
      <c r="D266" s="98">
        <f>INDEX('Reference Sheet'!$G$9:$J$100, MATCH(A266,'Reference Sheet'!$F$9:$F$100,0), MATCH(C266,'Reference Sheet'!$G$8:$J$8,0))/2080</f>
        <v>34.301024038461541</v>
      </c>
      <c r="E266" s="99">
        <f>VLOOKUP(C266,'Reference Sheet'!$A$2:$B$5,2)</f>
        <v>0.1913</v>
      </c>
      <c r="F266" s="98">
        <f t="shared" si="372"/>
        <v>40.862809937019236</v>
      </c>
      <c r="G266" s="98"/>
      <c r="H266" s="98"/>
      <c r="I266" s="32"/>
      <c r="J266" s="32"/>
      <c r="K266" s="32"/>
      <c r="L266" s="32"/>
      <c r="M266" s="32">
        <v>12.5</v>
      </c>
      <c r="N266" s="32"/>
      <c r="O266" s="32"/>
      <c r="P266" s="32"/>
      <c r="Q266" s="32"/>
      <c r="R266" s="32"/>
      <c r="S266" s="32"/>
      <c r="T266" s="32"/>
      <c r="U266" s="32"/>
      <c r="V266" s="32"/>
      <c r="W266" s="32"/>
      <c r="X266" s="32"/>
      <c r="Y266" s="32"/>
      <c r="Z266" s="32"/>
      <c r="AA266" s="98">
        <f t="shared" si="408"/>
        <v>12.5</v>
      </c>
      <c r="AB266" s="98">
        <f t="shared" si="373"/>
        <v>12.5</v>
      </c>
      <c r="AC266" s="98">
        <f t="shared" si="374"/>
        <v>0</v>
      </c>
      <c r="AD266" s="100">
        <f t="shared" si="329"/>
        <v>0</v>
      </c>
      <c r="AE266" s="100">
        <f t="shared" si="330"/>
        <v>0</v>
      </c>
      <c r="AF266" s="100">
        <f t="shared" si="331"/>
        <v>0</v>
      </c>
      <c r="AG266" s="100">
        <f t="shared" si="332"/>
        <v>0</v>
      </c>
      <c r="AH266" s="100">
        <f t="shared" si="333"/>
        <v>0</v>
      </c>
      <c r="AI266" s="100">
        <f t="shared" si="334"/>
        <v>0</v>
      </c>
      <c r="AJ266" s="100">
        <f t="shared" si="335"/>
        <v>12.5</v>
      </c>
      <c r="AK266" s="100">
        <f t="shared" si="336"/>
        <v>0</v>
      </c>
      <c r="AL266" s="100">
        <f t="shared" si="409"/>
        <v>0</v>
      </c>
      <c r="AM266" s="100">
        <f t="shared" si="337"/>
        <v>0</v>
      </c>
      <c r="AN266" s="100">
        <f t="shared" si="338"/>
        <v>0</v>
      </c>
      <c r="AO266" s="100">
        <f t="shared" si="339"/>
        <v>0</v>
      </c>
      <c r="AP266" s="100">
        <f t="shared" si="340"/>
        <v>0</v>
      </c>
      <c r="AQ266" s="100">
        <f t="shared" si="341"/>
        <v>0</v>
      </c>
      <c r="AR266" s="100">
        <f t="shared" si="342"/>
        <v>0</v>
      </c>
      <c r="AS266" s="100">
        <f t="shared" si="343"/>
        <v>0</v>
      </c>
      <c r="AT266" s="100">
        <f t="shared" si="410"/>
        <v>0</v>
      </c>
      <c r="AU266" s="100">
        <f t="shared" si="375"/>
        <v>0</v>
      </c>
      <c r="AV266" s="100">
        <f t="shared" si="411"/>
        <v>0</v>
      </c>
      <c r="AW266" s="100">
        <f t="shared" si="376"/>
        <v>0</v>
      </c>
      <c r="AX266">
        <f t="shared" si="377"/>
        <v>12.5</v>
      </c>
      <c r="AY266" s="98">
        <f t="shared" si="412"/>
        <v>0</v>
      </c>
      <c r="AZ266" s="98">
        <f t="shared" si="413"/>
        <v>0</v>
      </c>
      <c r="BA266" s="98">
        <f t="shared" si="378"/>
        <v>0</v>
      </c>
      <c r="BB266" s="98">
        <f t="shared" si="414"/>
        <v>0</v>
      </c>
      <c r="BC266" s="98">
        <f t="shared" si="379"/>
        <v>0</v>
      </c>
      <c r="BD266" s="98">
        <f t="shared" si="380"/>
        <v>0</v>
      </c>
      <c r="BE266" s="98">
        <f t="shared" si="381"/>
        <v>510.78512421274047</v>
      </c>
      <c r="BF266" s="98">
        <f t="shared" si="415"/>
        <v>0</v>
      </c>
      <c r="BG266" s="98">
        <f t="shared" si="416"/>
        <v>0</v>
      </c>
      <c r="BH266" s="98">
        <f t="shared" si="382"/>
        <v>0</v>
      </c>
      <c r="BI266" s="98">
        <f t="shared" si="383"/>
        <v>0</v>
      </c>
      <c r="BJ266" s="98">
        <f t="shared" si="384"/>
        <v>0</v>
      </c>
      <c r="BK266" s="98">
        <f t="shared" si="385"/>
        <v>0</v>
      </c>
      <c r="BL266" s="98">
        <f t="shared" si="417"/>
        <v>0</v>
      </c>
      <c r="BM266" s="98">
        <f t="shared" si="386"/>
        <v>0</v>
      </c>
      <c r="BN266" s="98">
        <f t="shared" si="387"/>
        <v>0</v>
      </c>
      <c r="BO266" s="98">
        <f t="shared" si="418"/>
        <v>0</v>
      </c>
      <c r="BP266" s="98">
        <f t="shared" si="388"/>
        <v>0</v>
      </c>
      <c r="BQ266" s="98">
        <f t="shared" si="419"/>
        <v>0</v>
      </c>
      <c r="BR266" s="98">
        <f t="shared" si="389"/>
        <v>0</v>
      </c>
    </row>
    <row r="267" spans="1:70" x14ac:dyDescent="0.25">
      <c r="A267" t="s">
        <v>58</v>
      </c>
      <c r="B267" t="s">
        <v>13</v>
      </c>
      <c r="C267">
        <v>2024</v>
      </c>
      <c r="D267" s="98">
        <f>INDEX('Reference Sheet'!$G$9:$J$100, MATCH(A267,'Reference Sheet'!$F$9:$F$100,0), MATCH(C267,'Reference Sheet'!$G$8:$J$8,0))/2080</f>
        <v>34.301024038461541</v>
      </c>
      <c r="E267" s="99">
        <f>VLOOKUP(C267,'Reference Sheet'!$A$2:$B$5,2)</f>
        <v>0.1913</v>
      </c>
      <c r="F267" s="98">
        <f t="shared" si="372"/>
        <v>40.862809937019236</v>
      </c>
      <c r="G267" s="98"/>
      <c r="H267" s="98"/>
      <c r="I267" s="32"/>
      <c r="J267" s="32"/>
      <c r="K267" s="32"/>
      <c r="L267" s="32"/>
      <c r="M267" s="32">
        <v>2</v>
      </c>
      <c r="N267" s="32"/>
      <c r="O267" s="32"/>
      <c r="P267" s="32"/>
      <c r="Q267" s="32"/>
      <c r="R267" s="32"/>
      <c r="S267" s="32"/>
      <c r="T267" s="32"/>
      <c r="U267" s="32"/>
      <c r="V267" s="32"/>
      <c r="W267" s="32"/>
      <c r="X267" s="32"/>
      <c r="Y267" s="32"/>
      <c r="Z267" s="32"/>
      <c r="AA267" s="98">
        <f t="shared" si="408"/>
        <v>2</v>
      </c>
      <c r="AB267" s="98">
        <f t="shared" si="373"/>
        <v>2</v>
      </c>
      <c r="AC267" s="98">
        <f t="shared" si="374"/>
        <v>0</v>
      </c>
      <c r="AD267" s="100">
        <f t="shared" si="329"/>
        <v>0</v>
      </c>
      <c r="AE267" s="100">
        <f t="shared" si="330"/>
        <v>0</v>
      </c>
      <c r="AF267" s="100">
        <f t="shared" si="331"/>
        <v>0</v>
      </c>
      <c r="AG267" s="100">
        <f t="shared" si="332"/>
        <v>0</v>
      </c>
      <c r="AH267" s="100">
        <f t="shared" si="333"/>
        <v>0</v>
      </c>
      <c r="AI267" s="100">
        <f t="shared" si="334"/>
        <v>0</v>
      </c>
      <c r="AJ267" s="100">
        <f t="shared" si="335"/>
        <v>2</v>
      </c>
      <c r="AK267" s="100">
        <f t="shared" si="336"/>
        <v>0</v>
      </c>
      <c r="AL267" s="100">
        <f t="shared" si="409"/>
        <v>0</v>
      </c>
      <c r="AM267" s="100">
        <f t="shared" si="337"/>
        <v>0</v>
      </c>
      <c r="AN267" s="100">
        <f t="shared" si="338"/>
        <v>0</v>
      </c>
      <c r="AO267" s="100">
        <f t="shared" si="339"/>
        <v>0</v>
      </c>
      <c r="AP267" s="100">
        <f t="shared" si="340"/>
        <v>0</v>
      </c>
      <c r="AQ267" s="100">
        <f t="shared" si="341"/>
        <v>0</v>
      </c>
      <c r="AR267" s="100">
        <f t="shared" si="342"/>
        <v>0</v>
      </c>
      <c r="AS267" s="100">
        <f t="shared" si="343"/>
        <v>0</v>
      </c>
      <c r="AT267" s="100">
        <f t="shared" si="410"/>
        <v>0</v>
      </c>
      <c r="AU267" s="100">
        <f t="shared" si="375"/>
        <v>0</v>
      </c>
      <c r="AV267" s="100">
        <f t="shared" si="411"/>
        <v>0</v>
      </c>
      <c r="AW267" s="100">
        <f t="shared" si="376"/>
        <v>0</v>
      </c>
      <c r="AX267">
        <f t="shared" si="377"/>
        <v>2</v>
      </c>
      <c r="AY267" s="98">
        <f t="shared" si="412"/>
        <v>0</v>
      </c>
      <c r="AZ267" s="98">
        <f t="shared" si="413"/>
        <v>0</v>
      </c>
      <c r="BA267" s="98">
        <f t="shared" si="378"/>
        <v>0</v>
      </c>
      <c r="BB267" s="98">
        <f t="shared" si="414"/>
        <v>0</v>
      </c>
      <c r="BC267" s="98">
        <f t="shared" si="379"/>
        <v>0</v>
      </c>
      <c r="BD267" s="98">
        <f t="shared" si="380"/>
        <v>0</v>
      </c>
      <c r="BE267" s="98">
        <f t="shared" si="381"/>
        <v>81.725619874038472</v>
      </c>
      <c r="BF267" s="98">
        <f t="shared" si="415"/>
        <v>0</v>
      </c>
      <c r="BG267" s="98">
        <f t="shared" si="416"/>
        <v>0</v>
      </c>
      <c r="BH267" s="98">
        <f t="shared" si="382"/>
        <v>0</v>
      </c>
      <c r="BI267" s="98">
        <f t="shared" si="383"/>
        <v>0</v>
      </c>
      <c r="BJ267" s="98">
        <f t="shared" si="384"/>
        <v>0</v>
      </c>
      <c r="BK267" s="98">
        <f t="shared" si="385"/>
        <v>0</v>
      </c>
      <c r="BL267" s="98">
        <f t="shared" si="417"/>
        <v>0</v>
      </c>
      <c r="BM267" s="98">
        <f t="shared" si="386"/>
        <v>0</v>
      </c>
      <c r="BN267" s="98">
        <f t="shared" si="387"/>
        <v>0</v>
      </c>
      <c r="BO267" s="98">
        <f t="shared" si="418"/>
        <v>0</v>
      </c>
      <c r="BP267" s="98">
        <f t="shared" si="388"/>
        <v>0</v>
      </c>
      <c r="BQ267" s="98">
        <f t="shared" si="419"/>
        <v>0</v>
      </c>
      <c r="BR267" s="98">
        <f t="shared" si="389"/>
        <v>0</v>
      </c>
    </row>
    <row r="268" spans="1:70" x14ac:dyDescent="0.25">
      <c r="A268" t="s">
        <v>58</v>
      </c>
      <c r="B268" t="s">
        <v>8</v>
      </c>
      <c r="C268">
        <v>2025</v>
      </c>
      <c r="D268" s="98">
        <f>INDEX('Reference Sheet'!$G$9:$J$100, MATCH(A268,'Reference Sheet'!$F$9:$F$100,0), MATCH(C268,'Reference Sheet'!$G$8:$J$8,0))/2080</f>
        <v>34.287096153846157</v>
      </c>
      <c r="E268" s="99">
        <f>VLOOKUP(C268,'Reference Sheet'!$A$2:$B$5,2)</f>
        <v>0.22450000000000001</v>
      </c>
      <c r="F268" s="98">
        <f t="shared" si="372"/>
        <v>41.984549240384617</v>
      </c>
      <c r="G268" s="98"/>
      <c r="H268" s="98">
        <v>11.8</v>
      </c>
      <c r="I268" s="32"/>
      <c r="J268" s="32"/>
      <c r="K268" s="32"/>
      <c r="L268" s="32"/>
      <c r="M268" s="32">
        <v>1</v>
      </c>
      <c r="N268" s="32">
        <v>74.75</v>
      </c>
      <c r="O268" s="32">
        <v>17.420000000000002</v>
      </c>
      <c r="P268" s="32">
        <v>40</v>
      </c>
      <c r="Q268" s="32"/>
      <c r="R268" s="32"/>
      <c r="S268" s="32">
        <v>1</v>
      </c>
      <c r="T268" s="32">
        <v>3.56</v>
      </c>
      <c r="U268" s="32"/>
      <c r="V268" s="32">
        <v>19</v>
      </c>
      <c r="W268" s="32"/>
      <c r="X268" s="32"/>
      <c r="Y268" s="32"/>
      <c r="Z268" s="32">
        <v>12.7</v>
      </c>
      <c r="AA268" s="98">
        <f t="shared" si="408"/>
        <v>181.23</v>
      </c>
      <c r="AB268" s="98">
        <f>IF(OR(B268="",C268=""),"",SUMIFS('Reference Sheet'!$D$9:$D$42,'Reference Sheet'!$A$9:$A$42,C268,'Reference Sheet'!$B$9:$B$42,B268))</f>
        <v>168</v>
      </c>
      <c r="AC268" s="98">
        <f t="shared" si="374"/>
        <v>-13.22999999999999</v>
      </c>
      <c r="AD268" s="100">
        <f t="shared" si="329"/>
        <v>0</v>
      </c>
      <c r="AE268" s="100">
        <f t="shared" si="330"/>
        <v>10.938586326767092</v>
      </c>
      <c r="AF268" s="100">
        <f t="shared" si="331"/>
        <v>0</v>
      </c>
      <c r="AG268" s="100">
        <f t="shared" si="332"/>
        <v>0</v>
      </c>
      <c r="AH268" s="100">
        <f t="shared" si="333"/>
        <v>0</v>
      </c>
      <c r="AI268" s="100">
        <f t="shared" si="334"/>
        <v>0</v>
      </c>
      <c r="AJ268" s="100">
        <f t="shared" si="335"/>
        <v>0.92699884125144849</v>
      </c>
      <c r="AK268" s="100">
        <f t="shared" si="336"/>
        <v>69.293163383545775</v>
      </c>
      <c r="AL268" s="100">
        <f t="shared" si="409"/>
        <v>16.148319814600235</v>
      </c>
      <c r="AM268" s="100">
        <f t="shared" si="337"/>
        <v>37.079953650057938</v>
      </c>
      <c r="AN268" s="100">
        <f t="shared" si="338"/>
        <v>0</v>
      </c>
      <c r="AO268" s="100">
        <f t="shared" si="339"/>
        <v>0</v>
      </c>
      <c r="AP268" s="100">
        <f t="shared" si="340"/>
        <v>0.92699884125144849</v>
      </c>
      <c r="AQ268" s="100">
        <f t="shared" si="341"/>
        <v>3.3001158748551567</v>
      </c>
      <c r="AR268" s="100">
        <f t="shared" si="342"/>
        <v>0</v>
      </c>
      <c r="AS268" s="100">
        <f t="shared" si="343"/>
        <v>17.612977983777519</v>
      </c>
      <c r="AT268" s="100">
        <f t="shared" si="410"/>
        <v>0</v>
      </c>
      <c r="AU268" s="100">
        <f t="shared" si="375"/>
        <v>0</v>
      </c>
      <c r="AV268" s="100">
        <f t="shared" si="411"/>
        <v>0</v>
      </c>
      <c r="AW268" s="100">
        <f t="shared" si="376"/>
        <v>11.772885283893395</v>
      </c>
      <c r="AX268">
        <f t="shared" si="377"/>
        <v>157.06141367323292</v>
      </c>
      <c r="AY268" s="98">
        <f t="shared" si="412"/>
        <v>0</v>
      </c>
      <c r="AZ268" s="98">
        <f t="shared" si="413"/>
        <v>459.25161625635087</v>
      </c>
      <c r="BA268" s="98">
        <f t="shared" si="378"/>
        <v>0</v>
      </c>
      <c r="BB268" s="98">
        <f t="shared" si="414"/>
        <v>0</v>
      </c>
      <c r="BC268" s="98">
        <f t="shared" si="379"/>
        <v>0</v>
      </c>
      <c r="BD268" s="98">
        <f t="shared" si="380"/>
        <v>0</v>
      </c>
      <c r="BE268" s="98">
        <f t="shared" si="381"/>
        <v>38.919628496300923</v>
      </c>
      <c r="BF268" s="98">
        <f t="shared" si="415"/>
        <v>2909.242230098494</v>
      </c>
      <c r="BG268" s="98">
        <f t="shared" si="416"/>
        <v>677.97992840556219</v>
      </c>
      <c r="BH268" s="98">
        <f t="shared" si="382"/>
        <v>1556.7851398520368</v>
      </c>
      <c r="BI268" s="98">
        <f t="shared" si="383"/>
        <v>0</v>
      </c>
      <c r="BJ268" s="98">
        <f t="shared" si="384"/>
        <v>0</v>
      </c>
      <c r="BK268" s="98">
        <f t="shared" si="385"/>
        <v>38.919628496300923</v>
      </c>
      <c r="BL268" s="98">
        <f t="shared" si="417"/>
        <v>138.55387744683128</v>
      </c>
      <c r="BM268" s="98">
        <f t="shared" si="386"/>
        <v>0</v>
      </c>
      <c r="BN268" s="98">
        <f t="shared" si="387"/>
        <v>739.47294142971737</v>
      </c>
      <c r="BO268" s="98">
        <f t="shared" si="418"/>
        <v>0</v>
      </c>
      <c r="BP268" s="98">
        <f t="shared" si="388"/>
        <v>0</v>
      </c>
      <c r="BQ268" s="98">
        <f t="shared" si="419"/>
        <v>0</v>
      </c>
      <c r="BR268" s="98">
        <f t="shared" si="389"/>
        <v>494.27928190302163</v>
      </c>
    </row>
    <row r="269" spans="1:70" x14ac:dyDescent="0.25">
      <c r="A269" t="s">
        <v>58</v>
      </c>
      <c r="B269" t="s">
        <v>9</v>
      </c>
      <c r="C269">
        <v>2025</v>
      </c>
      <c r="D269" s="98">
        <f>INDEX('Reference Sheet'!$G$9:$J$100, MATCH(A269,'Reference Sheet'!$F$9:$F$100,0), MATCH(C269,'Reference Sheet'!$G$8:$J$8,0))/2080</f>
        <v>34.287096153846157</v>
      </c>
      <c r="E269" s="99">
        <f>VLOOKUP(C269,'Reference Sheet'!$A$2:$B$5,2)</f>
        <v>0.22450000000000001</v>
      </c>
      <c r="F269" s="98">
        <f t="shared" si="372"/>
        <v>41.984549240384617</v>
      </c>
      <c r="G269" s="98"/>
      <c r="H269" s="98">
        <v>11.8</v>
      </c>
      <c r="I269" s="32"/>
      <c r="J269" s="32"/>
      <c r="K269" s="32"/>
      <c r="L269" s="32"/>
      <c r="M269" s="32">
        <v>3</v>
      </c>
      <c r="N269" s="32">
        <v>74.75</v>
      </c>
      <c r="O269" s="32">
        <v>17.420000000000002</v>
      </c>
      <c r="P269" s="32">
        <v>40</v>
      </c>
      <c r="Q269" s="32"/>
      <c r="R269" s="32"/>
      <c r="S269" s="32">
        <v>1</v>
      </c>
      <c r="T269" s="32">
        <v>3.56</v>
      </c>
      <c r="U269" s="32"/>
      <c r="V269" s="32">
        <v>27</v>
      </c>
      <c r="W269" s="32"/>
      <c r="X269" s="32"/>
      <c r="Y269" s="32"/>
      <c r="Z269" s="32">
        <v>12.74</v>
      </c>
      <c r="AA269" s="98">
        <f t="shared" si="408"/>
        <v>191.27</v>
      </c>
      <c r="AB269" s="98">
        <f>IF(OR(B269="",C269=""),"",SUMIFS('Reference Sheet'!$D$9:$D$42,'Reference Sheet'!$A$9:$A$42,C269,'Reference Sheet'!$B$9:$B$42,B269))</f>
        <v>176</v>
      </c>
      <c r="AC269" s="98">
        <f t="shared" si="374"/>
        <v>-15.27000000000001</v>
      </c>
      <c r="AD269" s="100">
        <f t="shared" ref="AD269:AD287" si="420">(G269/$AA269)*$AB269</f>
        <v>0</v>
      </c>
      <c r="AE269" s="100">
        <f t="shared" ref="AE269:AE287" si="421">(H269/$AA269)*$AB269</f>
        <v>10.857949495477598</v>
      </c>
      <c r="AF269" s="100">
        <f t="shared" ref="AF269:AF287" si="422">(I269/$AA269)*$AB269</f>
        <v>0</v>
      </c>
      <c r="AG269" s="100">
        <f t="shared" ref="AG269:AG287" si="423">(J269/$AA269)*$AB269</f>
        <v>0</v>
      </c>
      <c r="AH269" s="100">
        <f t="shared" ref="AH269:AH287" si="424">(K269/$AA269)*$AB269</f>
        <v>0</v>
      </c>
      <c r="AI269" s="100">
        <f t="shared" ref="AI269:AI287" si="425">(L269/$AA269)*$AB269</f>
        <v>0</v>
      </c>
      <c r="AJ269" s="100">
        <f t="shared" ref="AJ269:AJ287" si="426">(M269/$AA269)*$AB269</f>
        <v>2.760495634443457</v>
      </c>
      <c r="AK269" s="100">
        <f t="shared" ref="AK269:AK287" si="427">(N269/$AA269)*$AB269</f>
        <v>68.78234955821614</v>
      </c>
      <c r="AL269" s="100">
        <f t="shared" si="409"/>
        <v>16.029277984001673</v>
      </c>
      <c r="AM269" s="100">
        <f t="shared" ref="AM269:AM287" si="428">(P269/$AA269)*$AB269</f>
        <v>36.806608459246092</v>
      </c>
      <c r="AN269" s="100">
        <f t="shared" ref="AN269:AN287" si="429">(Q269/$AA269)*$AB269</f>
        <v>0</v>
      </c>
      <c r="AO269" s="100">
        <f t="shared" ref="AO269:AO287" si="430">(R269/$AA269)*$AB269</f>
        <v>0</v>
      </c>
      <c r="AP269" s="100">
        <f t="shared" ref="AP269:AP287" si="431">(S269/$AA269)*$AB269</f>
        <v>0.92016521148115227</v>
      </c>
      <c r="AQ269" s="100">
        <f t="shared" ref="AQ269:AQ287" si="432">(T269/$AA269)*$AB269</f>
        <v>3.2757881528729018</v>
      </c>
      <c r="AR269" s="100">
        <f t="shared" ref="AR269:AR287" si="433">(U269/$AA269)*$AB269</f>
        <v>0</v>
      </c>
      <c r="AS269" s="100">
        <f t="shared" ref="AS269:AS287" si="434">(V269/$AA269)*$AB269</f>
        <v>24.844460709991111</v>
      </c>
      <c r="AT269" s="100">
        <f t="shared" si="410"/>
        <v>0</v>
      </c>
      <c r="AU269" s="100">
        <f t="shared" si="375"/>
        <v>0</v>
      </c>
      <c r="AV269" s="100">
        <f t="shared" si="411"/>
        <v>0</v>
      </c>
      <c r="AW269" s="100">
        <f t="shared" si="376"/>
        <v>11.72290479426988</v>
      </c>
      <c r="AX269">
        <f t="shared" si="377"/>
        <v>165.14205050452239</v>
      </c>
      <c r="AY269" s="98">
        <f t="shared" si="412"/>
        <v>0</v>
      </c>
      <c r="AZ269" s="98">
        <f t="shared" si="413"/>
        <v>455.86611524248855</v>
      </c>
      <c r="BA269" s="98">
        <f t="shared" si="378"/>
        <v>0</v>
      </c>
      <c r="BB269" s="98">
        <f t="shared" si="414"/>
        <v>0</v>
      </c>
      <c r="BC269" s="98">
        <f t="shared" si="379"/>
        <v>0</v>
      </c>
      <c r="BD269" s="98">
        <f t="shared" si="380"/>
        <v>0</v>
      </c>
      <c r="BE269" s="98">
        <f t="shared" si="381"/>
        <v>115.89816489215809</v>
      </c>
      <c r="BF269" s="98">
        <f t="shared" si="415"/>
        <v>2887.7959418962728</v>
      </c>
      <c r="BG269" s="98">
        <f t="shared" si="416"/>
        <v>672.98201080713136</v>
      </c>
      <c r="BH269" s="98">
        <f t="shared" si="382"/>
        <v>1545.3088652287745</v>
      </c>
      <c r="BI269" s="98">
        <f t="shared" si="383"/>
        <v>0</v>
      </c>
      <c r="BJ269" s="98">
        <f t="shared" si="384"/>
        <v>0</v>
      </c>
      <c r="BK269" s="98">
        <f t="shared" si="385"/>
        <v>38.632721630719359</v>
      </c>
      <c r="BL269" s="98">
        <f t="shared" si="417"/>
        <v>137.53248900536093</v>
      </c>
      <c r="BM269" s="98">
        <f t="shared" si="386"/>
        <v>0</v>
      </c>
      <c r="BN269" s="98">
        <f t="shared" si="387"/>
        <v>1043.0834840294228</v>
      </c>
      <c r="BO269" s="98">
        <f t="shared" si="418"/>
        <v>0</v>
      </c>
      <c r="BP269" s="98">
        <f t="shared" si="388"/>
        <v>0</v>
      </c>
      <c r="BQ269" s="98">
        <f t="shared" si="419"/>
        <v>0</v>
      </c>
      <c r="BR269" s="98">
        <f t="shared" si="389"/>
        <v>492.18087357536467</v>
      </c>
    </row>
    <row r="270" spans="1:70" x14ac:dyDescent="0.25">
      <c r="A270" t="s">
        <v>58</v>
      </c>
      <c r="B270" t="s">
        <v>13</v>
      </c>
      <c r="C270">
        <v>2025</v>
      </c>
      <c r="D270" s="98">
        <f>INDEX('Reference Sheet'!$G$9:$J$100, MATCH(A270,'Reference Sheet'!$F$9:$F$100,0), MATCH(C270,'Reference Sheet'!$G$8:$J$8,0))/2080</f>
        <v>34.287096153846157</v>
      </c>
      <c r="E270" s="99">
        <f>VLOOKUP(C270,'Reference Sheet'!$A$2:$B$5,2)</f>
        <v>0.22450000000000001</v>
      </c>
      <c r="F270" s="98">
        <f t="shared" si="372"/>
        <v>41.984549240384617</v>
      </c>
      <c r="G270" s="98"/>
      <c r="H270" s="98">
        <v>11.8</v>
      </c>
      <c r="I270" s="32"/>
      <c r="J270" s="32"/>
      <c r="K270" s="32"/>
      <c r="L270" s="32"/>
      <c r="M270" s="32">
        <v>1</v>
      </c>
      <c r="N270" s="32">
        <v>74.75</v>
      </c>
      <c r="O270" s="32">
        <v>17.420000000000002</v>
      </c>
      <c r="P270" s="32">
        <v>40</v>
      </c>
      <c r="Q270" s="32"/>
      <c r="R270" s="32"/>
      <c r="S270" s="32">
        <v>1</v>
      </c>
      <c r="T270" s="32">
        <v>3.56</v>
      </c>
      <c r="U270" s="32"/>
      <c r="V270" s="32">
        <v>6.71</v>
      </c>
      <c r="W270" s="32"/>
      <c r="X270" s="32"/>
      <c r="Y270" s="32"/>
      <c r="Z270" s="32">
        <v>12.74</v>
      </c>
      <c r="AA270" s="98">
        <f t="shared" si="408"/>
        <v>168.98000000000002</v>
      </c>
      <c r="AB270" s="98">
        <f>IF(OR(B270="",C270=""),"",SUMIFS('Reference Sheet'!$D$9:$D$42,'Reference Sheet'!$A$9:$A$42,C270,'Reference Sheet'!$B$9:$B$42,B270))</f>
        <v>168</v>
      </c>
      <c r="AC270" s="98">
        <f t="shared" si="374"/>
        <v>-0.98000000000001819</v>
      </c>
      <c r="AD270" s="100">
        <f t="shared" si="420"/>
        <v>0</v>
      </c>
      <c r="AE270" s="100">
        <f t="shared" si="421"/>
        <v>11.731565865782931</v>
      </c>
      <c r="AF270" s="100">
        <f t="shared" si="422"/>
        <v>0</v>
      </c>
      <c r="AG270" s="100">
        <f t="shared" si="423"/>
        <v>0</v>
      </c>
      <c r="AH270" s="100">
        <f t="shared" si="424"/>
        <v>0</v>
      </c>
      <c r="AI270" s="100">
        <f t="shared" si="425"/>
        <v>0</v>
      </c>
      <c r="AJ270" s="100">
        <f t="shared" si="426"/>
        <v>0.99420049710024838</v>
      </c>
      <c r="AK270" s="100">
        <f t="shared" si="427"/>
        <v>74.316487158243575</v>
      </c>
      <c r="AL270" s="100">
        <f t="shared" si="409"/>
        <v>17.318972659486331</v>
      </c>
      <c r="AM270" s="100">
        <f t="shared" si="428"/>
        <v>39.768019884009938</v>
      </c>
      <c r="AN270" s="100">
        <f t="shared" si="429"/>
        <v>0</v>
      </c>
      <c r="AO270" s="100">
        <f t="shared" si="430"/>
        <v>0</v>
      </c>
      <c r="AP270" s="100">
        <f t="shared" si="431"/>
        <v>0.99420049710024838</v>
      </c>
      <c r="AQ270" s="100">
        <f t="shared" si="432"/>
        <v>3.5393537696768842</v>
      </c>
      <c r="AR270" s="100">
        <f t="shared" si="433"/>
        <v>0</v>
      </c>
      <c r="AS270" s="100">
        <f t="shared" si="434"/>
        <v>6.6710853355426671</v>
      </c>
      <c r="AT270" s="100">
        <f t="shared" si="410"/>
        <v>0</v>
      </c>
      <c r="AU270" s="100">
        <f t="shared" si="375"/>
        <v>0</v>
      </c>
      <c r="AV270" s="100">
        <f t="shared" si="411"/>
        <v>0</v>
      </c>
      <c r="AW270" s="100">
        <f t="shared" si="376"/>
        <v>12.666114333057166</v>
      </c>
      <c r="AX270">
        <f t="shared" si="377"/>
        <v>156.2684341342171</v>
      </c>
      <c r="AY270" s="98">
        <f t="shared" si="412"/>
        <v>0</v>
      </c>
      <c r="AZ270" s="98">
        <f t="shared" si="413"/>
        <v>492.54450475877888</v>
      </c>
      <c r="BA270" s="98">
        <f t="shared" si="378"/>
        <v>0</v>
      </c>
      <c r="BB270" s="98">
        <f t="shared" si="414"/>
        <v>0</v>
      </c>
      <c r="BC270" s="98">
        <f t="shared" si="379"/>
        <v>0</v>
      </c>
      <c r="BD270" s="98">
        <f t="shared" si="380"/>
        <v>0</v>
      </c>
      <c r="BE270" s="98">
        <f t="shared" si="381"/>
        <v>41.741059725320241</v>
      </c>
      <c r="BF270" s="98">
        <f t="shared" si="415"/>
        <v>3120.1442144676885</v>
      </c>
      <c r="BG270" s="98">
        <f t="shared" si="416"/>
        <v>727.12926041507876</v>
      </c>
      <c r="BH270" s="98">
        <f t="shared" si="382"/>
        <v>1669.6423890128099</v>
      </c>
      <c r="BI270" s="98">
        <f t="shared" si="383"/>
        <v>0</v>
      </c>
      <c r="BJ270" s="98">
        <f t="shared" si="384"/>
        <v>0</v>
      </c>
      <c r="BK270" s="98">
        <f t="shared" si="385"/>
        <v>41.741059725320241</v>
      </c>
      <c r="BL270" s="98">
        <f t="shared" si="417"/>
        <v>148.59817262214005</v>
      </c>
      <c r="BM270" s="98">
        <f t="shared" si="386"/>
        <v>0</v>
      </c>
      <c r="BN270" s="98">
        <f t="shared" si="387"/>
        <v>280.08251075689884</v>
      </c>
      <c r="BO270" s="98">
        <f t="shared" si="418"/>
        <v>0</v>
      </c>
      <c r="BP270" s="98">
        <f t="shared" si="388"/>
        <v>0</v>
      </c>
      <c r="BQ270" s="98">
        <f t="shared" si="419"/>
        <v>0</v>
      </c>
      <c r="BR270" s="98">
        <f t="shared" si="389"/>
        <v>531.78110090057999</v>
      </c>
    </row>
    <row r="271" spans="1:70" x14ac:dyDescent="0.25">
      <c r="A271" t="s">
        <v>58</v>
      </c>
      <c r="B271" t="s">
        <v>15</v>
      </c>
      <c r="C271">
        <v>2025</v>
      </c>
      <c r="D271" s="98">
        <f>INDEX('Reference Sheet'!$G$9:$J$100, MATCH(A271,'Reference Sheet'!$F$9:$F$100,0), MATCH(C271,'Reference Sheet'!$G$8:$J$8,0))/2080</f>
        <v>34.287096153846157</v>
      </c>
      <c r="E271" s="99">
        <f>VLOOKUP(C271,'Reference Sheet'!$A$2:$B$5,2)</f>
        <v>0.22450000000000001</v>
      </c>
      <c r="F271" s="98">
        <f t="shared" si="372"/>
        <v>41.984549240384617</v>
      </c>
      <c r="G271" s="98"/>
      <c r="H271" s="98">
        <v>11.8</v>
      </c>
      <c r="I271" s="32"/>
      <c r="J271" s="32"/>
      <c r="K271" s="32"/>
      <c r="L271" s="32"/>
      <c r="M271" s="32">
        <v>3</v>
      </c>
      <c r="N271" s="32">
        <v>74.75</v>
      </c>
      <c r="O271" s="32">
        <v>17.420000000000002</v>
      </c>
      <c r="P271" s="32">
        <v>40</v>
      </c>
      <c r="Q271" s="32"/>
      <c r="R271" s="32"/>
      <c r="S271" s="32">
        <v>1</v>
      </c>
      <c r="T271" s="32">
        <v>3.56</v>
      </c>
      <c r="U271" s="32"/>
      <c r="V271" s="32">
        <v>8.7100000000000009</v>
      </c>
      <c r="W271" s="32"/>
      <c r="X271" s="32"/>
      <c r="Y271" s="32"/>
      <c r="Z271" s="32">
        <v>12.74</v>
      </c>
      <c r="AA271" s="98">
        <f t="shared" si="408"/>
        <v>172.98000000000002</v>
      </c>
      <c r="AB271" s="98">
        <f>IF(OR(B271="",C271=""),"",SUMIFS('Reference Sheet'!$D$9:$D$42,'Reference Sheet'!$A$9:$A$42,C271,'Reference Sheet'!$B$9:$B$42,B271))</f>
        <v>184</v>
      </c>
      <c r="AC271" s="98">
        <f t="shared" si="374"/>
        <v>11.019999999999982</v>
      </c>
      <c r="AD271" s="100">
        <f t="shared" si="420"/>
        <v>0</v>
      </c>
      <c r="AE271" s="100">
        <f t="shared" si="421"/>
        <v>12.551740085559024</v>
      </c>
      <c r="AF271" s="100">
        <f t="shared" si="422"/>
        <v>0</v>
      </c>
      <c r="AG271" s="100">
        <f t="shared" si="423"/>
        <v>0</v>
      </c>
      <c r="AH271" s="100">
        <f t="shared" si="424"/>
        <v>0</v>
      </c>
      <c r="AI271" s="100">
        <f t="shared" si="425"/>
        <v>0</v>
      </c>
      <c r="AJ271" s="100">
        <f t="shared" si="426"/>
        <v>3.1911203607353449</v>
      </c>
      <c r="AK271" s="100">
        <f t="shared" si="427"/>
        <v>79.512082321655683</v>
      </c>
      <c r="AL271" s="100">
        <f t="shared" si="409"/>
        <v>18.529772228003235</v>
      </c>
      <c r="AM271" s="100">
        <f t="shared" si="428"/>
        <v>42.548271476471264</v>
      </c>
      <c r="AN271" s="100">
        <f t="shared" si="429"/>
        <v>0</v>
      </c>
      <c r="AO271" s="100">
        <f t="shared" si="430"/>
        <v>0</v>
      </c>
      <c r="AP271" s="100">
        <f t="shared" si="431"/>
        <v>1.0637067869117816</v>
      </c>
      <c r="AQ271" s="100">
        <f t="shared" si="432"/>
        <v>3.7867961614059427</v>
      </c>
      <c r="AR271" s="100">
        <f t="shared" si="433"/>
        <v>0</v>
      </c>
      <c r="AS271" s="100">
        <f t="shared" si="434"/>
        <v>9.2648861140016177</v>
      </c>
      <c r="AT271" s="100">
        <f t="shared" si="410"/>
        <v>0</v>
      </c>
      <c r="AU271" s="100">
        <f t="shared" si="375"/>
        <v>0</v>
      </c>
      <c r="AV271" s="100">
        <f t="shared" si="411"/>
        <v>0</v>
      </c>
      <c r="AW271" s="100">
        <f t="shared" si="376"/>
        <v>13.551624465256097</v>
      </c>
      <c r="AX271">
        <f t="shared" si="377"/>
        <v>171.44825991444094</v>
      </c>
      <c r="AY271" s="98">
        <f t="shared" si="412"/>
        <v>0</v>
      </c>
      <c r="AZ271" s="98">
        <f t="shared" si="413"/>
        <v>526.97914967466227</v>
      </c>
      <c r="BA271" s="98">
        <f t="shared" si="378"/>
        <v>0</v>
      </c>
      <c r="BB271" s="98">
        <f t="shared" si="414"/>
        <v>0</v>
      </c>
      <c r="BC271" s="98">
        <f t="shared" si="379"/>
        <v>0</v>
      </c>
      <c r="BD271" s="98">
        <f t="shared" si="380"/>
        <v>0</v>
      </c>
      <c r="BE271" s="98">
        <f t="shared" si="381"/>
        <v>133.97774991728701</v>
      </c>
      <c r="BF271" s="98">
        <f t="shared" si="415"/>
        <v>3338.2789354390684</v>
      </c>
      <c r="BG271" s="98">
        <f t="shared" si="416"/>
        <v>777.96413451971318</v>
      </c>
      <c r="BH271" s="98">
        <f t="shared" si="382"/>
        <v>1786.36999889716</v>
      </c>
      <c r="BI271" s="98">
        <f t="shared" si="383"/>
        <v>0</v>
      </c>
      <c r="BJ271" s="98">
        <f t="shared" si="384"/>
        <v>0</v>
      </c>
      <c r="BK271" s="98">
        <f t="shared" si="385"/>
        <v>44.659249972429002</v>
      </c>
      <c r="BL271" s="98">
        <f t="shared" si="417"/>
        <v>158.98692990184725</v>
      </c>
      <c r="BM271" s="98">
        <f t="shared" si="386"/>
        <v>0</v>
      </c>
      <c r="BN271" s="98">
        <f t="shared" si="387"/>
        <v>388.98206725985659</v>
      </c>
      <c r="BO271" s="98">
        <f t="shared" si="418"/>
        <v>0</v>
      </c>
      <c r="BP271" s="98">
        <f t="shared" si="388"/>
        <v>0</v>
      </c>
      <c r="BQ271" s="98">
        <f t="shared" si="419"/>
        <v>0</v>
      </c>
      <c r="BR271" s="98">
        <f t="shared" si="389"/>
        <v>568.95884464874541</v>
      </c>
    </row>
    <row r="272" spans="1:70" x14ac:dyDescent="0.25">
      <c r="A272" t="s">
        <v>58</v>
      </c>
      <c r="B272" t="s">
        <v>16</v>
      </c>
      <c r="C272">
        <v>2025</v>
      </c>
      <c r="D272" s="98">
        <f>INDEX('Reference Sheet'!$G$9:$J$100, MATCH(A272,'Reference Sheet'!$F$9:$F$100,0), MATCH(C272,'Reference Sheet'!$G$8:$J$8,0))/2080</f>
        <v>34.287096153846157</v>
      </c>
      <c r="E272" s="99">
        <f>VLOOKUP(C272,'Reference Sheet'!$A$2:$B$5,2)</f>
        <v>0.22450000000000001</v>
      </c>
      <c r="F272" s="98">
        <f t="shared" si="372"/>
        <v>41.984549240384617</v>
      </c>
      <c r="G272" s="98"/>
      <c r="H272" s="98">
        <v>11.8</v>
      </c>
      <c r="I272" s="32"/>
      <c r="J272" s="32"/>
      <c r="K272" s="32"/>
      <c r="L272" s="32"/>
      <c r="M272" s="32">
        <v>1</v>
      </c>
      <c r="N272" s="32">
        <v>74.75</v>
      </c>
      <c r="O272" s="32">
        <v>17.420000000000002</v>
      </c>
      <c r="P272" s="32">
        <v>40</v>
      </c>
      <c r="Q272" s="32"/>
      <c r="R272" s="32"/>
      <c r="S272" s="32">
        <v>1</v>
      </c>
      <c r="T272" s="32">
        <v>3.56</v>
      </c>
      <c r="U272" s="32"/>
      <c r="V272" s="32">
        <v>12.46</v>
      </c>
      <c r="W272" s="32"/>
      <c r="X272" s="32"/>
      <c r="Y272" s="32"/>
      <c r="Z272" s="32">
        <v>12.74</v>
      </c>
      <c r="AA272" s="98">
        <f t="shared" si="408"/>
        <v>174.73000000000002</v>
      </c>
      <c r="AB272" s="98">
        <f>IF(OR(B272="",C272=""),"",SUMIFS('Reference Sheet'!$D$9:$D$42,'Reference Sheet'!$A$9:$A$42,C272,'Reference Sheet'!$B$9:$B$42,B272))</f>
        <v>160</v>
      </c>
      <c r="AC272" s="98">
        <f t="shared" si="374"/>
        <v>-14.730000000000018</v>
      </c>
      <c r="AD272" s="100">
        <f t="shared" si="420"/>
        <v>0</v>
      </c>
      <c r="AE272" s="100">
        <f t="shared" si="421"/>
        <v>10.805242373948376</v>
      </c>
      <c r="AF272" s="100">
        <f t="shared" si="422"/>
        <v>0</v>
      </c>
      <c r="AG272" s="100">
        <f t="shared" si="423"/>
        <v>0</v>
      </c>
      <c r="AH272" s="100">
        <f t="shared" si="424"/>
        <v>0</v>
      </c>
      <c r="AI272" s="100">
        <f t="shared" si="425"/>
        <v>0</v>
      </c>
      <c r="AJ272" s="100">
        <f t="shared" si="426"/>
        <v>0.9156985062668116</v>
      </c>
      <c r="AK272" s="100">
        <f t="shared" si="427"/>
        <v>68.448463343444161</v>
      </c>
      <c r="AL272" s="100">
        <f t="shared" si="409"/>
        <v>15.951467979167859</v>
      </c>
      <c r="AM272" s="100">
        <f t="shared" si="428"/>
        <v>36.627940250672467</v>
      </c>
      <c r="AN272" s="100">
        <f t="shared" si="429"/>
        <v>0</v>
      </c>
      <c r="AO272" s="100">
        <f t="shared" si="430"/>
        <v>0</v>
      </c>
      <c r="AP272" s="100">
        <f t="shared" si="431"/>
        <v>0.9156985062668116</v>
      </c>
      <c r="AQ272" s="100">
        <f t="shared" si="432"/>
        <v>3.2598866823098493</v>
      </c>
      <c r="AR272" s="100">
        <f t="shared" si="433"/>
        <v>0</v>
      </c>
      <c r="AS272" s="100">
        <f t="shared" si="434"/>
        <v>11.409603388084474</v>
      </c>
      <c r="AT272" s="100">
        <f t="shared" si="410"/>
        <v>0</v>
      </c>
      <c r="AU272" s="100">
        <f t="shared" si="375"/>
        <v>0</v>
      </c>
      <c r="AV272" s="100">
        <f t="shared" si="411"/>
        <v>0</v>
      </c>
      <c r="AW272" s="100">
        <f t="shared" si="376"/>
        <v>11.66599896983918</v>
      </c>
      <c r="AX272">
        <f t="shared" si="377"/>
        <v>149.19475762605163</v>
      </c>
      <c r="AY272" s="98">
        <f t="shared" si="412"/>
        <v>0</v>
      </c>
      <c r="AZ272" s="98">
        <f t="shared" si="413"/>
        <v>453.65323050332597</v>
      </c>
      <c r="BA272" s="98">
        <f t="shared" si="378"/>
        <v>0</v>
      </c>
      <c r="BB272" s="98">
        <f t="shared" si="414"/>
        <v>0</v>
      </c>
      <c r="BC272" s="98">
        <f t="shared" si="379"/>
        <v>0</v>
      </c>
      <c r="BD272" s="98">
        <f t="shared" si="380"/>
        <v>0</v>
      </c>
      <c r="BE272" s="98">
        <f t="shared" si="381"/>
        <v>38.445189025705595</v>
      </c>
      <c r="BF272" s="98">
        <f t="shared" si="415"/>
        <v>2873.7778796714929</v>
      </c>
      <c r="BG272" s="98">
        <f t="shared" si="416"/>
        <v>669.7151928277915</v>
      </c>
      <c r="BH272" s="98">
        <f t="shared" si="382"/>
        <v>1537.8075610282237</v>
      </c>
      <c r="BI272" s="98">
        <f t="shared" si="383"/>
        <v>0</v>
      </c>
      <c r="BJ272" s="98">
        <f t="shared" si="384"/>
        <v>0</v>
      </c>
      <c r="BK272" s="98">
        <f t="shared" si="385"/>
        <v>38.445189025705595</v>
      </c>
      <c r="BL272" s="98">
        <f t="shared" si="417"/>
        <v>136.86487293151191</v>
      </c>
      <c r="BM272" s="98">
        <f t="shared" si="386"/>
        <v>0</v>
      </c>
      <c r="BN272" s="98">
        <f t="shared" si="387"/>
        <v>479.02705526029172</v>
      </c>
      <c r="BO272" s="98">
        <f t="shared" si="418"/>
        <v>0</v>
      </c>
      <c r="BP272" s="98">
        <f t="shared" si="388"/>
        <v>0</v>
      </c>
      <c r="BQ272" s="98">
        <f t="shared" si="419"/>
        <v>0</v>
      </c>
      <c r="BR272" s="98">
        <f t="shared" si="389"/>
        <v>489.79170818748923</v>
      </c>
    </row>
    <row r="273" spans="1:156" x14ac:dyDescent="0.25">
      <c r="A273" t="s">
        <v>58</v>
      </c>
      <c r="B273" t="s">
        <v>7</v>
      </c>
      <c r="C273">
        <v>2025</v>
      </c>
      <c r="D273" s="98">
        <f>INDEX('Reference Sheet'!$G$9:$J$100, MATCH(A273,'Reference Sheet'!$F$9:$F$100,0), MATCH(C273,'Reference Sheet'!$G$8:$J$8,0))/2080</f>
        <v>34.287096153846157</v>
      </c>
      <c r="E273" s="99">
        <f>VLOOKUP(C273,'Reference Sheet'!$A$2:$B$5,2)</f>
        <v>0.22450000000000001</v>
      </c>
      <c r="F273" s="98">
        <f t="shared" si="372"/>
        <v>41.984549240384617</v>
      </c>
      <c r="G273" s="98"/>
      <c r="H273" s="98">
        <v>11.8</v>
      </c>
      <c r="I273" s="32"/>
      <c r="J273" s="32"/>
      <c r="K273" s="32"/>
      <c r="L273" s="32"/>
      <c r="M273" s="32">
        <v>0.5</v>
      </c>
      <c r="N273" s="32">
        <v>74.75</v>
      </c>
      <c r="O273" s="32">
        <v>17.420000000000002</v>
      </c>
      <c r="P273" s="32"/>
      <c r="Q273" s="32"/>
      <c r="R273" s="32"/>
      <c r="S273" s="32">
        <v>11.5</v>
      </c>
      <c r="T273" s="32">
        <v>3.56</v>
      </c>
      <c r="U273" s="32"/>
      <c r="V273" s="32">
        <v>10.85</v>
      </c>
      <c r="W273" s="32"/>
      <c r="X273" s="32"/>
      <c r="Y273" s="32"/>
      <c r="Z273" s="32">
        <v>12.74</v>
      </c>
      <c r="AA273" s="98">
        <f t="shared" si="408"/>
        <v>143.12</v>
      </c>
      <c r="AB273" s="98">
        <f>IF(OR(B273="",C273=""),"",SUMIFS('Reference Sheet'!$D$9:$D$42,'Reference Sheet'!$A$9:$A$42,C273,'Reference Sheet'!$B$9:$B$42,B273))</f>
        <v>160</v>
      </c>
      <c r="AC273" s="98">
        <f t="shared" si="374"/>
        <v>16.879999999999995</v>
      </c>
      <c r="AD273" s="100">
        <f t="shared" si="420"/>
        <v>0</v>
      </c>
      <c r="AE273" s="100">
        <f t="shared" si="421"/>
        <v>13.191727221911682</v>
      </c>
      <c r="AF273" s="100">
        <f t="shared" si="422"/>
        <v>0</v>
      </c>
      <c r="AG273" s="100">
        <f t="shared" si="423"/>
        <v>0</v>
      </c>
      <c r="AH273" s="100">
        <f t="shared" si="424"/>
        <v>0</v>
      </c>
      <c r="AI273" s="100">
        <f t="shared" si="425"/>
        <v>0</v>
      </c>
      <c r="AJ273" s="100">
        <f t="shared" si="426"/>
        <v>0.55897149245388478</v>
      </c>
      <c r="AK273" s="100">
        <f t="shared" si="427"/>
        <v>83.566238121855775</v>
      </c>
      <c r="AL273" s="100">
        <f t="shared" si="409"/>
        <v>19.474566797093349</v>
      </c>
      <c r="AM273" s="100">
        <f t="shared" si="428"/>
        <v>0</v>
      </c>
      <c r="AN273" s="100">
        <f t="shared" si="429"/>
        <v>0</v>
      </c>
      <c r="AO273" s="100">
        <f t="shared" si="430"/>
        <v>0</v>
      </c>
      <c r="AP273" s="100">
        <f t="shared" si="431"/>
        <v>12.85634432643935</v>
      </c>
      <c r="AQ273" s="100">
        <f t="shared" si="432"/>
        <v>3.9798770262716596</v>
      </c>
      <c r="AR273" s="100">
        <f t="shared" si="433"/>
        <v>0</v>
      </c>
      <c r="AS273" s="100">
        <f t="shared" si="434"/>
        <v>12.129681386249301</v>
      </c>
      <c r="AT273" s="100">
        <f t="shared" si="410"/>
        <v>0</v>
      </c>
      <c r="AU273" s="100">
        <f t="shared" si="375"/>
        <v>0</v>
      </c>
      <c r="AV273" s="100">
        <f t="shared" si="411"/>
        <v>0</v>
      </c>
      <c r="AW273" s="100">
        <f t="shared" si="376"/>
        <v>14.242593627724986</v>
      </c>
      <c r="AX273">
        <f t="shared" si="377"/>
        <v>146.80827277808828</v>
      </c>
      <c r="AY273" s="98">
        <f t="shared" si="412"/>
        <v>0</v>
      </c>
      <c r="AZ273" s="98">
        <f t="shared" si="413"/>
        <v>553.84872111407321</v>
      </c>
      <c r="BA273" s="98">
        <f t="shared" si="378"/>
        <v>0</v>
      </c>
      <c r="BB273" s="98">
        <f t="shared" si="414"/>
        <v>0</v>
      </c>
      <c r="BC273" s="98">
        <f t="shared" si="379"/>
        <v>0</v>
      </c>
      <c r="BD273" s="98">
        <f t="shared" si="380"/>
        <v>0</v>
      </c>
      <c r="BE273" s="98">
        <f t="shared" si="381"/>
        <v>23.468166148901403</v>
      </c>
      <c r="BF273" s="98">
        <f t="shared" si="415"/>
        <v>3508.4908392607599</v>
      </c>
      <c r="BG273" s="98">
        <f t="shared" si="416"/>
        <v>817.63090862772503</v>
      </c>
      <c r="BH273" s="98">
        <f t="shared" si="382"/>
        <v>0</v>
      </c>
      <c r="BI273" s="98">
        <f t="shared" si="383"/>
        <v>0</v>
      </c>
      <c r="BJ273" s="98">
        <f t="shared" si="384"/>
        <v>0</v>
      </c>
      <c r="BK273" s="98">
        <f t="shared" si="385"/>
        <v>539.76782142473235</v>
      </c>
      <c r="BL273" s="98">
        <f t="shared" si="417"/>
        <v>167.09334298017799</v>
      </c>
      <c r="BM273" s="98">
        <f t="shared" si="386"/>
        <v>0</v>
      </c>
      <c r="BN273" s="98">
        <f t="shared" si="387"/>
        <v>509.25920543116052</v>
      </c>
      <c r="BO273" s="98">
        <f t="shared" si="418"/>
        <v>0</v>
      </c>
      <c r="BP273" s="98">
        <f t="shared" si="388"/>
        <v>0</v>
      </c>
      <c r="BQ273" s="98">
        <f t="shared" si="419"/>
        <v>0</v>
      </c>
      <c r="BR273" s="98">
        <f t="shared" si="389"/>
        <v>597.96887347400786</v>
      </c>
    </row>
    <row r="274" spans="1:156" x14ac:dyDescent="0.25">
      <c r="A274" t="s">
        <v>58</v>
      </c>
      <c r="B274" t="s">
        <v>17</v>
      </c>
      <c r="C274">
        <v>2025</v>
      </c>
      <c r="D274" s="98">
        <f>INDEX('Reference Sheet'!$G$9:$J$100, MATCH(A274,'Reference Sheet'!$F$9:$F$100,0), MATCH(C274,'Reference Sheet'!$G$8:$J$8,0))/2080</f>
        <v>34.287096153846157</v>
      </c>
      <c r="E274" s="99">
        <f>VLOOKUP(C274,'Reference Sheet'!$A$2:$B$5,2)</f>
        <v>0.22450000000000001</v>
      </c>
      <c r="F274" s="98">
        <f t="shared" si="372"/>
        <v>41.984549240384617</v>
      </c>
      <c r="G274" s="98"/>
      <c r="H274" s="98">
        <v>11.8</v>
      </c>
      <c r="I274" s="32"/>
      <c r="J274" s="32"/>
      <c r="K274" s="32"/>
      <c r="L274" s="32"/>
      <c r="M274" s="32">
        <v>2</v>
      </c>
      <c r="N274" s="32">
        <v>74.75</v>
      </c>
      <c r="O274" s="32">
        <v>17.420000000000002</v>
      </c>
      <c r="P274" s="32">
        <v>40</v>
      </c>
      <c r="Q274" s="32"/>
      <c r="R274" s="32"/>
      <c r="S274" s="32">
        <v>2</v>
      </c>
      <c r="T274" s="32">
        <v>3.56</v>
      </c>
      <c r="U274" s="32"/>
      <c r="V274" s="32">
        <v>9.4600000000000009</v>
      </c>
      <c r="W274" s="32"/>
      <c r="X274" s="32"/>
      <c r="Y274" s="32"/>
      <c r="Z274" s="32">
        <v>12.74</v>
      </c>
      <c r="AA274" s="98">
        <f t="shared" si="408"/>
        <v>173.73000000000002</v>
      </c>
      <c r="AB274" s="98">
        <f>IF(OR(B274="",C274=""),"",SUMIFS('Reference Sheet'!$D$9:$D$42,'Reference Sheet'!$A$9:$A$42,C274,'Reference Sheet'!$B$9:$B$42,B274))</f>
        <v>184</v>
      </c>
      <c r="AC274" s="98">
        <f t="shared" si="374"/>
        <v>10.269999999999982</v>
      </c>
      <c r="AD274" s="100">
        <f t="shared" si="420"/>
        <v>0</v>
      </c>
      <c r="AE274" s="100">
        <f t="shared" si="421"/>
        <v>12.497553675243191</v>
      </c>
      <c r="AF274" s="100">
        <f t="shared" si="422"/>
        <v>0</v>
      </c>
      <c r="AG274" s="100">
        <f t="shared" si="423"/>
        <v>0</v>
      </c>
      <c r="AH274" s="100">
        <f t="shared" si="424"/>
        <v>0</v>
      </c>
      <c r="AI274" s="100">
        <f t="shared" si="425"/>
        <v>0</v>
      </c>
      <c r="AJ274" s="100">
        <f t="shared" si="426"/>
        <v>2.1182294364818968</v>
      </c>
      <c r="AK274" s="100">
        <f t="shared" si="427"/>
        <v>79.168825188510894</v>
      </c>
      <c r="AL274" s="100">
        <f t="shared" si="409"/>
        <v>18.449778391757324</v>
      </c>
      <c r="AM274" s="100">
        <f t="shared" si="428"/>
        <v>42.364588729637937</v>
      </c>
      <c r="AN274" s="100">
        <f t="shared" si="429"/>
        <v>0</v>
      </c>
      <c r="AO274" s="100">
        <f t="shared" si="430"/>
        <v>0</v>
      </c>
      <c r="AP274" s="100">
        <f t="shared" si="431"/>
        <v>2.1182294364818968</v>
      </c>
      <c r="AQ274" s="100">
        <f t="shared" si="432"/>
        <v>3.7704483969377764</v>
      </c>
      <c r="AR274" s="100">
        <f t="shared" si="433"/>
        <v>0</v>
      </c>
      <c r="AS274" s="100">
        <f t="shared" si="434"/>
        <v>10.019225234559375</v>
      </c>
      <c r="AT274" s="100">
        <f t="shared" si="410"/>
        <v>0</v>
      </c>
      <c r="AU274" s="100">
        <f t="shared" si="375"/>
        <v>0</v>
      </c>
      <c r="AV274" s="100">
        <f t="shared" si="411"/>
        <v>0</v>
      </c>
      <c r="AW274" s="100">
        <f t="shared" si="376"/>
        <v>13.493121510389683</v>
      </c>
      <c r="AX274">
        <f t="shared" si="377"/>
        <v>171.50244632475676</v>
      </c>
      <c r="AY274" s="98">
        <f t="shared" si="412"/>
        <v>0</v>
      </c>
      <c r="AZ274" s="98">
        <f t="shared" si="413"/>
        <v>524.70415766259748</v>
      </c>
      <c r="BA274" s="98">
        <f t="shared" si="378"/>
        <v>0</v>
      </c>
      <c r="BB274" s="98">
        <f t="shared" si="414"/>
        <v>0</v>
      </c>
      <c r="BC274" s="98">
        <f t="shared" si="379"/>
        <v>0</v>
      </c>
      <c r="BD274" s="98">
        <f t="shared" si="380"/>
        <v>0</v>
      </c>
      <c r="BE274" s="98">
        <f t="shared" si="381"/>
        <v>88.932908078406356</v>
      </c>
      <c r="BF274" s="98">
        <f t="shared" si="415"/>
        <v>3323.8674394304376</v>
      </c>
      <c r="BG274" s="98">
        <f t="shared" si="416"/>
        <v>774.60562936291944</v>
      </c>
      <c r="BH274" s="98">
        <f t="shared" si="382"/>
        <v>1778.6581615681271</v>
      </c>
      <c r="BI274" s="98">
        <f t="shared" si="383"/>
        <v>0</v>
      </c>
      <c r="BJ274" s="98">
        <f t="shared" si="384"/>
        <v>0</v>
      </c>
      <c r="BK274" s="98">
        <f t="shared" si="385"/>
        <v>88.932908078406356</v>
      </c>
      <c r="BL274" s="98">
        <f t="shared" si="417"/>
        <v>158.30057637956332</v>
      </c>
      <c r="BM274" s="98">
        <f t="shared" si="386"/>
        <v>0</v>
      </c>
      <c r="BN274" s="98">
        <f t="shared" si="387"/>
        <v>420.65265521086218</v>
      </c>
      <c r="BO274" s="98">
        <f t="shared" si="418"/>
        <v>0</v>
      </c>
      <c r="BP274" s="98">
        <f t="shared" si="388"/>
        <v>0</v>
      </c>
      <c r="BQ274" s="98">
        <f t="shared" si="419"/>
        <v>0</v>
      </c>
      <c r="BR274" s="98">
        <f t="shared" si="389"/>
        <v>566.5026244594485</v>
      </c>
    </row>
    <row r="275" spans="1:156" x14ac:dyDescent="0.25">
      <c r="A275" t="s">
        <v>58</v>
      </c>
      <c r="B275" t="s">
        <v>6</v>
      </c>
      <c r="C275">
        <v>2025</v>
      </c>
      <c r="D275" s="98">
        <f>INDEX('Reference Sheet'!$G$9:$J$100, MATCH(A275,'Reference Sheet'!$F$9:$F$100,0), MATCH(C275,'Reference Sheet'!$G$8:$J$8,0))/2080</f>
        <v>34.287096153846157</v>
      </c>
      <c r="E275" s="99">
        <f>VLOOKUP(C275,'Reference Sheet'!$A$2:$B$5,2)</f>
        <v>0.22450000000000001</v>
      </c>
      <c r="F275" s="98">
        <f t="shared" si="372"/>
        <v>41.984549240384617</v>
      </c>
      <c r="G275" s="98"/>
      <c r="H275" s="98">
        <v>11.8</v>
      </c>
      <c r="I275" s="21"/>
      <c r="J275" s="21"/>
      <c r="K275" s="21"/>
      <c r="L275" s="21"/>
      <c r="M275" s="106">
        <v>2.75</v>
      </c>
      <c r="N275" s="32">
        <v>74.75</v>
      </c>
      <c r="O275" s="32">
        <v>17.420000000000002</v>
      </c>
      <c r="P275" s="21"/>
      <c r="Q275" s="21"/>
      <c r="R275" s="21"/>
      <c r="S275" s="21">
        <v>2.75</v>
      </c>
      <c r="T275" s="32">
        <v>3.56</v>
      </c>
      <c r="U275" s="21"/>
      <c r="V275" s="21">
        <v>7</v>
      </c>
      <c r="W275" s="21"/>
      <c r="X275" s="21"/>
      <c r="Y275" s="21"/>
      <c r="Z275" s="32">
        <v>12.74</v>
      </c>
      <c r="AA275" s="98">
        <f t="shared" si="408"/>
        <v>132.77000000000001</v>
      </c>
      <c r="AB275" s="98">
        <f>IF(OR(B275="",C275=""),"",SUMIFS('Reference Sheet'!$D$9:$D$42,'Reference Sheet'!$A$9:$A$42,C275,'Reference Sheet'!$B$9:$B$42,B275))</f>
        <v>184</v>
      </c>
      <c r="AC275" s="98">
        <f t="shared" si="374"/>
        <v>51.22999999999999</v>
      </c>
      <c r="AD275" s="100">
        <f t="shared" si="420"/>
        <v>0</v>
      </c>
      <c r="AE275" s="100">
        <f t="shared" si="421"/>
        <v>16.35309181290954</v>
      </c>
      <c r="AF275" s="100">
        <f t="shared" si="422"/>
        <v>0</v>
      </c>
      <c r="AG275" s="100">
        <f t="shared" si="423"/>
        <v>0</v>
      </c>
      <c r="AH275" s="100">
        <f t="shared" si="424"/>
        <v>0</v>
      </c>
      <c r="AI275" s="100">
        <f t="shared" si="425"/>
        <v>0</v>
      </c>
      <c r="AJ275" s="100">
        <f t="shared" si="426"/>
        <v>3.8111019055509527</v>
      </c>
      <c r="AK275" s="100">
        <f t="shared" si="427"/>
        <v>103.5926790690668</v>
      </c>
      <c r="AL275" s="100">
        <f t="shared" si="409"/>
        <v>24.141598252617307</v>
      </c>
      <c r="AM275" s="100">
        <f t="shared" si="428"/>
        <v>0</v>
      </c>
      <c r="AN275" s="100">
        <f t="shared" si="429"/>
        <v>0</v>
      </c>
      <c r="AO275" s="100">
        <f t="shared" si="430"/>
        <v>0</v>
      </c>
      <c r="AP275" s="100">
        <f t="shared" si="431"/>
        <v>3.8111019055509527</v>
      </c>
      <c r="AQ275" s="100">
        <f t="shared" si="432"/>
        <v>4.9336446486405059</v>
      </c>
      <c r="AR275" s="100">
        <f t="shared" si="433"/>
        <v>0</v>
      </c>
      <c r="AS275" s="100">
        <f t="shared" si="434"/>
        <v>9.7009866686751511</v>
      </c>
      <c r="AT275" s="100">
        <f t="shared" si="410"/>
        <v>0</v>
      </c>
      <c r="AU275" s="100">
        <f t="shared" si="375"/>
        <v>0</v>
      </c>
      <c r="AV275" s="100">
        <f t="shared" si="411"/>
        <v>0</v>
      </c>
      <c r="AW275" s="100">
        <f t="shared" si="376"/>
        <v>17.655795736988775</v>
      </c>
      <c r="AX275">
        <f t="shared" si="377"/>
        <v>167.64690818709042</v>
      </c>
      <c r="AY275" s="98">
        <f t="shared" si="412"/>
        <v>0</v>
      </c>
      <c r="AZ275" s="98">
        <f t="shared" si="413"/>
        <v>686.57718845163106</v>
      </c>
      <c r="BA275" s="98">
        <f t="shared" si="378"/>
        <v>0</v>
      </c>
      <c r="BB275" s="98">
        <f t="shared" si="414"/>
        <v>0</v>
      </c>
      <c r="BC275" s="98">
        <f t="shared" si="379"/>
        <v>0</v>
      </c>
      <c r="BD275" s="98">
        <f t="shared" si="380"/>
        <v>0</v>
      </c>
      <c r="BE275" s="98">
        <f t="shared" si="381"/>
        <v>160.00739561372762</v>
      </c>
      <c r="BF275" s="98">
        <f t="shared" si="415"/>
        <v>4349.2919353185962</v>
      </c>
      <c r="BG275" s="98">
        <f t="shared" si="416"/>
        <v>1013.5741205785945</v>
      </c>
      <c r="BH275" s="98">
        <f t="shared" si="382"/>
        <v>0</v>
      </c>
      <c r="BI275" s="98">
        <f t="shared" si="383"/>
        <v>0</v>
      </c>
      <c r="BJ275" s="98">
        <f t="shared" si="384"/>
        <v>0</v>
      </c>
      <c r="BK275" s="98">
        <f t="shared" si="385"/>
        <v>160.00739561372762</v>
      </c>
      <c r="BL275" s="98">
        <f t="shared" si="417"/>
        <v>207.13684668540739</v>
      </c>
      <c r="BM275" s="98">
        <f t="shared" si="386"/>
        <v>0</v>
      </c>
      <c r="BN275" s="98">
        <f t="shared" si="387"/>
        <v>407.2915524713066</v>
      </c>
      <c r="BO275" s="98">
        <f t="shared" si="418"/>
        <v>0</v>
      </c>
      <c r="BP275" s="98">
        <f t="shared" si="388"/>
        <v>0</v>
      </c>
      <c r="BQ275" s="98">
        <f t="shared" si="419"/>
        <v>0</v>
      </c>
      <c r="BR275" s="98">
        <f t="shared" si="389"/>
        <v>741.27062549777804</v>
      </c>
    </row>
    <row r="276" spans="1:156" x14ac:dyDescent="0.25">
      <c r="A276" t="s">
        <v>58</v>
      </c>
      <c r="B276" t="s">
        <v>12</v>
      </c>
      <c r="C276">
        <v>2025</v>
      </c>
      <c r="D276" s="98">
        <f>INDEX('Reference Sheet'!$G$9:$J$100, MATCH(A276,'Reference Sheet'!$F$9:$F$100,0), MATCH(C276,'Reference Sheet'!$G$8:$J$8,0))/2080</f>
        <v>34.287096153846157</v>
      </c>
      <c r="E276" s="99">
        <f>VLOOKUP(C276,'Reference Sheet'!$A$2:$B$5,2)</f>
        <v>0.22450000000000001</v>
      </c>
      <c r="F276" s="98">
        <f t="shared" si="372"/>
        <v>41.984549240384617</v>
      </c>
      <c r="G276" s="98"/>
      <c r="H276" s="98">
        <v>11.8</v>
      </c>
      <c r="I276" s="32"/>
      <c r="J276" s="32"/>
      <c r="K276" s="32"/>
      <c r="L276" s="32"/>
      <c r="M276" s="32">
        <v>2</v>
      </c>
      <c r="N276" s="32">
        <v>74.75</v>
      </c>
      <c r="O276" s="32">
        <v>17.420000000000002</v>
      </c>
      <c r="P276" s="32">
        <v>40</v>
      </c>
      <c r="Q276" s="32"/>
      <c r="R276" s="32"/>
      <c r="S276" s="32">
        <v>3</v>
      </c>
      <c r="T276" s="32">
        <v>3.56</v>
      </c>
      <c r="U276" s="32"/>
      <c r="V276" s="32">
        <v>6.21</v>
      </c>
      <c r="W276" s="32"/>
      <c r="X276" s="32"/>
      <c r="Y276" s="32"/>
      <c r="Z276" s="32">
        <v>12.74</v>
      </c>
      <c r="AA276" s="98">
        <f t="shared" si="408"/>
        <v>171.48000000000002</v>
      </c>
      <c r="AB276" s="98">
        <f>IF(OR(B276="",C276=""),"",SUMIFS('Reference Sheet'!$D$9:$D$42,'Reference Sheet'!$A$9:$A$42,C276,'Reference Sheet'!$B$9:$B$42,B276))</f>
        <v>184</v>
      </c>
      <c r="AC276" s="98">
        <f t="shared" si="374"/>
        <v>12.519999999999982</v>
      </c>
      <c r="AD276" s="100">
        <f t="shared" si="420"/>
        <v>0</v>
      </c>
      <c r="AE276" s="100">
        <f t="shared" si="421"/>
        <v>12.661534872871471</v>
      </c>
      <c r="AF276" s="100">
        <f t="shared" si="422"/>
        <v>0</v>
      </c>
      <c r="AG276" s="100">
        <f t="shared" si="423"/>
        <v>0</v>
      </c>
      <c r="AH276" s="100">
        <f t="shared" si="424"/>
        <v>0</v>
      </c>
      <c r="AI276" s="100">
        <f t="shared" si="425"/>
        <v>0</v>
      </c>
      <c r="AJ276" s="100">
        <f t="shared" si="426"/>
        <v>2.1460228598087236</v>
      </c>
      <c r="AK276" s="100">
        <f t="shared" si="427"/>
        <v>80.207604385351047</v>
      </c>
      <c r="AL276" s="100">
        <f t="shared" si="409"/>
        <v>18.691859108933986</v>
      </c>
      <c r="AM276" s="100">
        <f t="shared" si="428"/>
        <v>42.920457196174482</v>
      </c>
      <c r="AN276" s="100">
        <f t="shared" si="429"/>
        <v>0</v>
      </c>
      <c r="AO276" s="100">
        <f t="shared" si="430"/>
        <v>0</v>
      </c>
      <c r="AP276" s="100">
        <f t="shared" si="431"/>
        <v>3.2190342897130857</v>
      </c>
      <c r="AQ276" s="100">
        <f t="shared" si="432"/>
        <v>3.8199206904595284</v>
      </c>
      <c r="AR276" s="100">
        <f t="shared" si="433"/>
        <v>0</v>
      </c>
      <c r="AS276" s="100">
        <f t="shared" si="434"/>
        <v>6.663400979706088</v>
      </c>
      <c r="AT276" s="100">
        <f t="shared" si="410"/>
        <v>0</v>
      </c>
      <c r="AU276" s="100">
        <f t="shared" si="375"/>
        <v>0</v>
      </c>
      <c r="AV276" s="100">
        <f t="shared" si="411"/>
        <v>0</v>
      </c>
      <c r="AW276" s="100">
        <f t="shared" si="376"/>
        <v>13.670165616981572</v>
      </c>
      <c r="AX276">
        <f t="shared" si="377"/>
        <v>171.3384651271285</v>
      </c>
      <c r="AY276" s="98">
        <f t="shared" si="412"/>
        <v>0</v>
      </c>
      <c r="AZ276" s="98">
        <f t="shared" si="413"/>
        <v>531.58883432891923</v>
      </c>
      <c r="BA276" s="98">
        <f t="shared" si="378"/>
        <v>0</v>
      </c>
      <c r="BB276" s="98">
        <f t="shared" si="414"/>
        <v>0</v>
      </c>
      <c r="BC276" s="98">
        <f t="shared" si="379"/>
        <v>0</v>
      </c>
      <c r="BD276" s="98">
        <f t="shared" si="380"/>
        <v>0</v>
      </c>
      <c r="BE276" s="98">
        <f t="shared" si="381"/>
        <v>90.099802428630369</v>
      </c>
      <c r="BF276" s="98">
        <f t="shared" si="415"/>
        <v>3367.4801157700604</v>
      </c>
      <c r="BG276" s="98">
        <f t="shared" si="416"/>
        <v>784.76927915337069</v>
      </c>
      <c r="BH276" s="98">
        <f t="shared" si="382"/>
        <v>1801.9960485726078</v>
      </c>
      <c r="BI276" s="98">
        <f t="shared" si="383"/>
        <v>0</v>
      </c>
      <c r="BJ276" s="98">
        <f t="shared" si="384"/>
        <v>0</v>
      </c>
      <c r="BK276" s="98">
        <f t="shared" si="385"/>
        <v>135.14970364294555</v>
      </c>
      <c r="BL276" s="98">
        <f t="shared" si="417"/>
        <v>160.37764832296207</v>
      </c>
      <c r="BM276" s="98">
        <f t="shared" si="386"/>
        <v>0</v>
      </c>
      <c r="BN276" s="98">
        <f t="shared" si="387"/>
        <v>279.75988654089736</v>
      </c>
      <c r="BO276" s="98">
        <f t="shared" si="418"/>
        <v>0</v>
      </c>
      <c r="BP276" s="98">
        <f t="shared" si="388"/>
        <v>0</v>
      </c>
      <c r="BQ276" s="98">
        <f t="shared" si="419"/>
        <v>0</v>
      </c>
      <c r="BR276" s="98">
        <f t="shared" si="389"/>
        <v>573.93574147037555</v>
      </c>
    </row>
    <row r="277" spans="1:156" x14ac:dyDescent="0.25">
      <c r="A277" t="s">
        <v>58</v>
      </c>
      <c r="B277" t="s">
        <v>11</v>
      </c>
      <c r="C277">
        <v>2025</v>
      </c>
      <c r="D277" s="98">
        <f>INDEX('Reference Sheet'!$G$9:$J$100, MATCH(A277,'Reference Sheet'!$F$9:$F$100,0), MATCH(C277,'Reference Sheet'!$G$8:$J$8,0))/2080</f>
        <v>34.287096153846157</v>
      </c>
      <c r="E277" s="99">
        <f>VLOOKUP(C277,'Reference Sheet'!$A$2:$B$5,2)</f>
        <v>0.22450000000000001</v>
      </c>
      <c r="F277" s="98">
        <f t="shared" si="372"/>
        <v>41.984549240384617</v>
      </c>
      <c r="G277" s="98"/>
      <c r="H277" s="98">
        <v>11.8</v>
      </c>
      <c r="I277" s="32"/>
      <c r="J277" s="32"/>
      <c r="K277" s="32"/>
      <c r="L277" s="32"/>
      <c r="M277" s="32">
        <v>8.5</v>
      </c>
      <c r="N277" s="32">
        <v>74.75</v>
      </c>
      <c r="O277" s="32">
        <v>17.420000000000002</v>
      </c>
      <c r="P277" s="32">
        <v>40</v>
      </c>
      <c r="Q277" s="32"/>
      <c r="R277" s="32"/>
      <c r="S277" s="32">
        <v>9.5</v>
      </c>
      <c r="T277" s="32">
        <v>3.56</v>
      </c>
      <c r="U277" s="32"/>
      <c r="V277" s="32">
        <v>11.21</v>
      </c>
      <c r="W277" s="32"/>
      <c r="X277" s="32"/>
      <c r="Y277" s="32"/>
      <c r="Z277" s="32">
        <v>12.74</v>
      </c>
      <c r="AA277" s="98">
        <f t="shared" si="408"/>
        <v>189.48000000000002</v>
      </c>
      <c r="AB277" s="98">
        <f>IF(OR(B277="",C277=""),"",SUMIFS('Reference Sheet'!$D$9:$D$42,'Reference Sheet'!$A$9:$A$42,C277,'Reference Sheet'!$B$9:$B$42,B277))</f>
        <v>168</v>
      </c>
      <c r="AC277" s="98">
        <f t="shared" si="374"/>
        <v>-21.480000000000018</v>
      </c>
      <c r="AD277" s="100">
        <f t="shared" si="420"/>
        <v>0</v>
      </c>
      <c r="AE277" s="100">
        <f t="shared" si="421"/>
        <v>10.462317922735908</v>
      </c>
      <c r="AF277" s="100">
        <f t="shared" si="422"/>
        <v>0</v>
      </c>
      <c r="AG277" s="100">
        <f t="shared" si="423"/>
        <v>0</v>
      </c>
      <c r="AH277" s="100">
        <f t="shared" si="424"/>
        <v>0</v>
      </c>
      <c r="AI277" s="100">
        <f t="shared" si="425"/>
        <v>0</v>
      </c>
      <c r="AJ277" s="100">
        <f t="shared" si="426"/>
        <v>7.5364154528182388</v>
      </c>
      <c r="AK277" s="100">
        <f t="shared" si="427"/>
        <v>66.276124129195694</v>
      </c>
      <c r="AL277" s="100">
        <f t="shared" si="409"/>
        <v>15.44521849271691</v>
      </c>
      <c r="AM277" s="100">
        <f t="shared" si="428"/>
        <v>35.465484483850538</v>
      </c>
      <c r="AN277" s="100">
        <f t="shared" si="429"/>
        <v>0</v>
      </c>
      <c r="AO277" s="100">
        <f t="shared" si="430"/>
        <v>0</v>
      </c>
      <c r="AP277" s="100">
        <f t="shared" si="431"/>
        <v>8.4230525649145012</v>
      </c>
      <c r="AQ277" s="100">
        <f t="shared" si="432"/>
        <v>3.1564281190626979</v>
      </c>
      <c r="AR277" s="100">
        <f t="shared" si="433"/>
        <v>0</v>
      </c>
      <c r="AS277" s="100">
        <f t="shared" si="434"/>
        <v>9.9392020265991121</v>
      </c>
      <c r="AT277" s="100">
        <f t="shared" si="410"/>
        <v>0</v>
      </c>
      <c r="AU277" s="100">
        <f t="shared" si="375"/>
        <v>0</v>
      </c>
      <c r="AV277" s="100">
        <f t="shared" si="411"/>
        <v>0</v>
      </c>
      <c r="AW277" s="100">
        <f t="shared" si="376"/>
        <v>11.295756808106397</v>
      </c>
      <c r="AX277">
        <f t="shared" si="377"/>
        <v>157.53768207726409</v>
      </c>
      <c r="AY277" s="98">
        <f t="shared" si="412"/>
        <v>0</v>
      </c>
      <c r="AZ277" s="98">
        <f t="shared" si="413"/>
        <v>439.2557019956642</v>
      </c>
      <c r="BA277" s="98">
        <f t="shared" si="378"/>
        <v>0</v>
      </c>
      <c r="BB277" s="98">
        <f t="shared" si="414"/>
        <v>0</v>
      </c>
      <c r="BC277" s="98">
        <f t="shared" si="379"/>
        <v>0</v>
      </c>
      <c r="BD277" s="98">
        <f t="shared" si="380"/>
        <v>0</v>
      </c>
      <c r="BE277" s="98">
        <f t="shared" si="381"/>
        <v>316.41300567484285</v>
      </c>
      <c r="BF277" s="98">
        <f t="shared" si="415"/>
        <v>2782.5731969640597</v>
      </c>
      <c r="BG277" s="98">
        <f t="shared" si="416"/>
        <v>648.46053633597217</v>
      </c>
      <c r="BH277" s="98">
        <f t="shared" si="382"/>
        <v>1489.0023796463195</v>
      </c>
      <c r="BI277" s="98">
        <f t="shared" si="383"/>
        <v>0</v>
      </c>
      <c r="BJ277" s="98">
        <f t="shared" si="384"/>
        <v>0</v>
      </c>
      <c r="BK277" s="98">
        <f t="shared" si="385"/>
        <v>353.63806516600084</v>
      </c>
      <c r="BL277" s="98">
        <f t="shared" si="417"/>
        <v>132.52121178852244</v>
      </c>
      <c r="BM277" s="98">
        <f t="shared" si="386"/>
        <v>0</v>
      </c>
      <c r="BN277" s="98">
        <f t="shared" si="387"/>
        <v>417.29291689588098</v>
      </c>
      <c r="BO277" s="98">
        <f t="shared" si="418"/>
        <v>0</v>
      </c>
      <c r="BP277" s="98">
        <f t="shared" si="388"/>
        <v>0</v>
      </c>
      <c r="BQ277" s="98">
        <f t="shared" si="419"/>
        <v>0</v>
      </c>
      <c r="BR277" s="98">
        <f t="shared" si="389"/>
        <v>474.24725791735278</v>
      </c>
    </row>
    <row r="278" spans="1:156" x14ac:dyDescent="0.25">
      <c r="A278" t="s">
        <v>58</v>
      </c>
      <c r="B278" t="s">
        <v>10</v>
      </c>
      <c r="C278">
        <v>2025</v>
      </c>
      <c r="D278" s="98">
        <f>INDEX('Reference Sheet'!$G$9:$J$100, MATCH(A278,'Reference Sheet'!$F$9:$F$100,0), MATCH(C278,'Reference Sheet'!$G$8:$J$8,0))/2080</f>
        <v>34.287096153846157</v>
      </c>
      <c r="E278" s="99">
        <f>VLOOKUP(C278,'Reference Sheet'!$A$2:$B$5,2)</f>
        <v>0.22450000000000001</v>
      </c>
      <c r="F278" s="98">
        <f t="shared" si="372"/>
        <v>41.984549240384617</v>
      </c>
      <c r="G278" s="98"/>
      <c r="H278" s="98">
        <v>11.8</v>
      </c>
      <c r="I278" s="32"/>
      <c r="J278" s="32"/>
      <c r="K278" s="32"/>
      <c r="L278" s="32"/>
      <c r="M278" s="32">
        <v>7.5</v>
      </c>
      <c r="N278" s="32">
        <v>74.75</v>
      </c>
      <c r="O278" s="32">
        <v>17.420000000000002</v>
      </c>
      <c r="P278" s="32">
        <v>40</v>
      </c>
      <c r="Q278" s="32"/>
      <c r="R278" s="32"/>
      <c r="S278" s="32">
        <v>7.5</v>
      </c>
      <c r="T278" s="32">
        <v>3.56</v>
      </c>
      <c r="U278" s="32"/>
      <c r="V278" s="32">
        <v>28</v>
      </c>
      <c r="W278" s="32"/>
      <c r="X278" s="32"/>
      <c r="Y278" s="32"/>
      <c r="Z278" s="32">
        <v>12.74</v>
      </c>
      <c r="AA278" s="98">
        <f t="shared" si="408"/>
        <v>203.27</v>
      </c>
      <c r="AB278" s="98">
        <f>IF(OR(B278="",C278=""),"",SUMIFS('Reference Sheet'!$D$9:$D$42,'Reference Sheet'!$A$9:$A$42,C278,'Reference Sheet'!$B$9:$B$42,B278))</f>
        <v>176</v>
      </c>
      <c r="AC278" s="98">
        <f t="shared" si="374"/>
        <v>-27.27000000000001</v>
      </c>
      <c r="AD278" s="100">
        <f t="shared" si="420"/>
        <v>0</v>
      </c>
      <c r="AE278" s="100">
        <f t="shared" si="421"/>
        <v>10.21695282137059</v>
      </c>
      <c r="AF278" s="100">
        <f t="shared" si="422"/>
        <v>0</v>
      </c>
      <c r="AG278" s="100">
        <f t="shared" si="423"/>
        <v>0</v>
      </c>
      <c r="AH278" s="100">
        <f t="shared" si="424"/>
        <v>0</v>
      </c>
      <c r="AI278" s="100">
        <f t="shared" si="425"/>
        <v>0</v>
      </c>
      <c r="AJ278" s="100">
        <f t="shared" si="426"/>
        <v>6.4938259457863925</v>
      </c>
      <c r="AK278" s="100">
        <f t="shared" si="427"/>
        <v>64.721798593004365</v>
      </c>
      <c r="AL278" s="100">
        <f t="shared" si="409"/>
        <v>15.082993063413195</v>
      </c>
      <c r="AM278" s="100">
        <f t="shared" si="428"/>
        <v>34.633738377527422</v>
      </c>
      <c r="AN278" s="100">
        <f t="shared" si="429"/>
        <v>0</v>
      </c>
      <c r="AO278" s="100">
        <f t="shared" si="430"/>
        <v>0</v>
      </c>
      <c r="AP278" s="100">
        <f t="shared" si="431"/>
        <v>6.4938259457863925</v>
      </c>
      <c r="AQ278" s="100">
        <f t="shared" si="432"/>
        <v>3.0824027155999407</v>
      </c>
      <c r="AR278" s="100">
        <f t="shared" si="433"/>
        <v>0</v>
      </c>
      <c r="AS278" s="100">
        <f t="shared" si="434"/>
        <v>24.2436168642692</v>
      </c>
      <c r="AT278" s="100">
        <f t="shared" si="410"/>
        <v>0</v>
      </c>
      <c r="AU278" s="100">
        <f t="shared" si="375"/>
        <v>0</v>
      </c>
      <c r="AV278" s="100">
        <f t="shared" si="411"/>
        <v>0</v>
      </c>
      <c r="AW278" s="100">
        <f t="shared" si="376"/>
        <v>11.030845673242485</v>
      </c>
      <c r="AX278">
        <f t="shared" si="377"/>
        <v>165.7830471786294</v>
      </c>
      <c r="AY278" s="98">
        <f t="shared" si="412"/>
        <v>0</v>
      </c>
      <c r="AZ278" s="98">
        <f t="shared" si="413"/>
        <v>428.95415881552009</v>
      </c>
      <c r="BA278" s="98">
        <f t="shared" si="378"/>
        <v>0</v>
      </c>
      <c r="BB278" s="98">
        <f t="shared" si="414"/>
        <v>0</v>
      </c>
      <c r="BC278" s="98">
        <f t="shared" si="379"/>
        <v>0</v>
      </c>
      <c r="BD278" s="98">
        <f t="shared" si="380"/>
        <v>0</v>
      </c>
      <c r="BE278" s="98">
        <f t="shared" si="381"/>
        <v>272.64035517935599</v>
      </c>
      <c r="BF278" s="98">
        <f t="shared" si="415"/>
        <v>2717.3155399542475</v>
      </c>
      <c r="BG278" s="98">
        <f t="shared" si="416"/>
        <v>633.25266496325094</v>
      </c>
      <c r="BH278" s="98">
        <f t="shared" si="382"/>
        <v>1454.0818942898984</v>
      </c>
      <c r="BI278" s="98">
        <f t="shared" si="383"/>
        <v>0</v>
      </c>
      <c r="BJ278" s="98">
        <f t="shared" si="384"/>
        <v>0</v>
      </c>
      <c r="BK278" s="98">
        <f t="shared" si="385"/>
        <v>272.64035517935599</v>
      </c>
      <c r="BL278" s="98">
        <f t="shared" si="417"/>
        <v>129.41328859180098</v>
      </c>
      <c r="BM278" s="98">
        <f t="shared" si="386"/>
        <v>0</v>
      </c>
      <c r="BN278" s="98">
        <f t="shared" si="387"/>
        <v>1017.8573260029291</v>
      </c>
      <c r="BO278" s="98">
        <f t="shared" si="418"/>
        <v>0</v>
      </c>
      <c r="BP278" s="98">
        <f t="shared" si="388"/>
        <v>0</v>
      </c>
      <c r="BQ278" s="98">
        <f t="shared" si="419"/>
        <v>0</v>
      </c>
      <c r="BR278" s="98">
        <f t="shared" si="389"/>
        <v>463.12508333133269</v>
      </c>
    </row>
    <row r="279" spans="1:156" x14ac:dyDescent="0.25">
      <c r="A279" t="s">
        <v>58</v>
      </c>
      <c r="B279" t="s">
        <v>14</v>
      </c>
      <c r="C279">
        <v>2025</v>
      </c>
      <c r="D279" s="98">
        <f>INDEX('Reference Sheet'!$G$9:$J$100, MATCH(A279,'Reference Sheet'!$F$9:$F$100,0), MATCH(C279,'Reference Sheet'!$G$8:$J$8,0))/2080</f>
        <v>34.287096153846157</v>
      </c>
      <c r="E279" s="99">
        <f>VLOOKUP(C279,'Reference Sheet'!$A$2:$B$5,2)</f>
        <v>0.22450000000000001</v>
      </c>
      <c r="F279" s="98">
        <f t="shared" si="372"/>
        <v>41.984549240384617</v>
      </c>
      <c r="G279" s="98"/>
      <c r="H279" s="98">
        <v>11.8</v>
      </c>
      <c r="I279" s="32"/>
      <c r="J279" s="32"/>
      <c r="K279" s="32"/>
      <c r="L279" s="32"/>
      <c r="M279" s="32">
        <v>1.5</v>
      </c>
      <c r="N279" s="32">
        <v>74.75</v>
      </c>
      <c r="O279" s="32">
        <v>17.41</v>
      </c>
      <c r="P279" s="32">
        <v>40</v>
      </c>
      <c r="Q279" s="32"/>
      <c r="R279" s="32"/>
      <c r="S279" s="32">
        <v>6.5</v>
      </c>
      <c r="T279" s="32">
        <v>3.55</v>
      </c>
      <c r="U279" s="32"/>
      <c r="V279" s="32">
        <v>8.7100000000000009</v>
      </c>
      <c r="W279" s="32"/>
      <c r="X279" s="32"/>
      <c r="Y279" s="32"/>
      <c r="Z279" s="32">
        <v>12.74</v>
      </c>
      <c r="AA279" s="98">
        <f t="shared" si="408"/>
        <v>176.96</v>
      </c>
      <c r="AB279" s="98">
        <f>IF(OR(B279="",C279=""),"",SUMIFS('Reference Sheet'!$D$9:$D$42,'Reference Sheet'!$A$9:$A$42,C279,'Reference Sheet'!$B$9:$B$42,B279))</f>
        <v>176</v>
      </c>
      <c r="AC279" s="98">
        <f t="shared" si="374"/>
        <v>-0.96000000000000796</v>
      </c>
      <c r="AD279" s="100">
        <f t="shared" si="420"/>
        <v>0</v>
      </c>
      <c r="AE279" s="100">
        <f t="shared" si="421"/>
        <v>11.735985533453889</v>
      </c>
      <c r="AF279" s="100">
        <f t="shared" si="422"/>
        <v>0</v>
      </c>
      <c r="AG279" s="100">
        <f t="shared" si="423"/>
        <v>0</v>
      </c>
      <c r="AH279" s="100">
        <f t="shared" si="424"/>
        <v>0</v>
      </c>
      <c r="AI279" s="100">
        <f t="shared" si="425"/>
        <v>0</v>
      </c>
      <c r="AJ279" s="100">
        <f t="shared" si="426"/>
        <v>1.4918625678119348</v>
      </c>
      <c r="AK279" s="100">
        <f t="shared" si="427"/>
        <v>74.344484629294755</v>
      </c>
      <c r="AL279" s="100">
        <f t="shared" si="409"/>
        <v>17.315551537070522</v>
      </c>
      <c r="AM279" s="100">
        <f t="shared" si="428"/>
        <v>39.783001808318261</v>
      </c>
      <c r="AN279" s="100">
        <f t="shared" si="429"/>
        <v>0</v>
      </c>
      <c r="AO279" s="100">
        <f t="shared" si="430"/>
        <v>0</v>
      </c>
      <c r="AP279" s="100">
        <f t="shared" si="431"/>
        <v>6.4647377938517181</v>
      </c>
      <c r="AQ279" s="100">
        <f t="shared" si="432"/>
        <v>3.5307414104882455</v>
      </c>
      <c r="AR279" s="100">
        <f t="shared" si="433"/>
        <v>0</v>
      </c>
      <c r="AS279" s="100">
        <f t="shared" si="434"/>
        <v>8.6627486437613026</v>
      </c>
      <c r="AT279" s="100">
        <f t="shared" si="410"/>
        <v>0</v>
      </c>
      <c r="AU279" s="100">
        <f t="shared" si="375"/>
        <v>0</v>
      </c>
      <c r="AV279" s="100">
        <f t="shared" si="411"/>
        <v>0</v>
      </c>
      <c r="AW279" s="100">
        <f t="shared" si="376"/>
        <v>12.670886075949365</v>
      </c>
      <c r="AX279">
        <f t="shared" si="377"/>
        <v>164.26401446654612</v>
      </c>
      <c r="AY279" s="98">
        <f t="shared" si="412"/>
        <v>0</v>
      </c>
      <c r="AZ279" s="98">
        <f t="shared" si="413"/>
        <v>492.7300625137363</v>
      </c>
      <c r="BA279" s="98">
        <f t="shared" si="378"/>
        <v>0</v>
      </c>
      <c r="BB279" s="98">
        <f t="shared" si="414"/>
        <v>0</v>
      </c>
      <c r="BC279" s="98">
        <f t="shared" si="379"/>
        <v>0</v>
      </c>
      <c r="BD279" s="98">
        <f t="shared" si="380"/>
        <v>0</v>
      </c>
      <c r="BE279" s="98">
        <f t="shared" si="381"/>
        <v>62.635177438186808</v>
      </c>
      <c r="BF279" s="98">
        <f t="shared" si="415"/>
        <v>3121.3196756696429</v>
      </c>
      <c r="BG279" s="98">
        <f t="shared" si="416"/>
        <v>726.9856261325549</v>
      </c>
      <c r="BH279" s="98">
        <f t="shared" si="382"/>
        <v>1670.2713983516483</v>
      </c>
      <c r="BI279" s="98">
        <f t="shared" si="383"/>
        <v>0</v>
      </c>
      <c r="BJ279" s="98">
        <f t="shared" si="384"/>
        <v>0</v>
      </c>
      <c r="BK279" s="98">
        <f t="shared" si="385"/>
        <v>271.41910223214285</v>
      </c>
      <c r="BL279" s="98">
        <f t="shared" si="417"/>
        <v>148.23658660370879</v>
      </c>
      <c r="BM279" s="98">
        <f t="shared" si="386"/>
        <v>0</v>
      </c>
      <c r="BN279" s="98">
        <f t="shared" si="387"/>
        <v>363.70159699107148</v>
      </c>
      <c r="BO279" s="98">
        <f t="shared" si="418"/>
        <v>0</v>
      </c>
      <c r="BP279" s="98">
        <f t="shared" si="388"/>
        <v>0</v>
      </c>
      <c r="BQ279" s="98">
        <f t="shared" si="419"/>
        <v>0</v>
      </c>
      <c r="BR279" s="98">
        <f t="shared" si="389"/>
        <v>531.98144037499992</v>
      </c>
    </row>
    <row r="280" spans="1:156" x14ac:dyDescent="0.25">
      <c r="A280" t="s">
        <v>58</v>
      </c>
      <c r="B280" t="s">
        <v>6</v>
      </c>
      <c r="C280">
        <v>2026</v>
      </c>
      <c r="D280" s="98">
        <f>INDEX('Reference Sheet'!$G$9:$J$100, MATCH(A280,'Reference Sheet'!$F$9:$F$100,0), MATCH(C280,'Reference Sheet'!$G$8:$J$8,0))/2080</f>
        <v>37.019230769230766</v>
      </c>
      <c r="E280" s="99">
        <f>VLOOKUP(C280,'Reference Sheet'!$A$2:$B$5,2)</f>
        <v>0.23630000000000001</v>
      </c>
      <c r="F280" s="98">
        <f t="shared" si="372"/>
        <v>45.766874999999992</v>
      </c>
      <c r="G280" s="98"/>
      <c r="H280" s="98"/>
      <c r="I280" s="32"/>
      <c r="J280" s="32"/>
      <c r="K280" s="32"/>
      <c r="L280" s="32"/>
      <c r="M280" s="32">
        <v>0.5</v>
      </c>
      <c r="N280" s="32"/>
      <c r="O280" s="32"/>
      <c r="P280" s="32"/>
      <c r="Q280" s="32"/>
      <c r="R280" s="32"/>
      <c r="S280" s="32">
        <v>0.5</v>
      </c>
      <c r="T280" s="32"/>
      <c r="U280" s="32"/>
      <c r="V280" s="32">
        <v>15.21</v>
      </c>
      <c r="W280" s="32"/>
      <c r="X280" s="32"/>
      <c r="Y280" s="32"/>
      <c r="Z280" s="32"/>
      <c r="AA280" s="98">
        <f t="shared" si="408"/>
        <v>16.21</v>
      </c>
      <c r="AB280" s="98">
        <f t="shared" si="373"/>
        <v>16.21</v>
      </c>
      <c r="AC280" s="98">
        <f t="shared" si="374"/>
        <v>0</v>
      </c>
      <c r="AD280" s="100">
        <f t="shared" si="420"/>
        <v>0</v>
      </c>
      <c r="AE280" s="100">
        <f t="shared" si="421"/>
        <v>0</v>
      </c>
      <c r="AF280" s="100">
        <f t="shared" si="422"/>
        <v>0</v>
      </c>
      <c r="AG280" s="100">
        <f t="shared" si="423"/>
        <v>0</v>
      </c>
      <c r="AH280" s="100">
        <f t="shared" si="424"/>
        <v>0</v>
      </c>
      <c r="AI280" s="100">
        <f t="shared" si="425"/>
        <v>0</v>
      </c>
      <c r="AJ280" s="100">
        <f t="shared" si="426"/>
        <v>0.5</v>
      </c>
      <c r="AK280" s="100">
        <f t="shared" si="427"/>
        <v>0</v>
      </c>
      <c r="AL280" s="100">
        <f t="shared" si="409"/>
        <v>0</v>
      </c>
      <c r="AM280" s="100">
        <f t="shared" si="428"/>
        <v>0</v>
      </c>
      <c r="AN280" s="100">
        <f t="shared" si="429"/>
        <v>0</v>
      </c>
      <c r="AO280" s="100">
        <f t="shared" si="430"/>
        <v>0</v>
      </c>
      <c r="AP280" s="100">
        <f t="shared" si="431"/>
        <v>0.5</v>
      </c>
      <c r="AQ280" s="100">
        <f t="shared" si="432"/>
        <v>0</v>
      </c>
      <c r="AR280" s="100">
        <f t="shared" si="433"/>
        <v>0</v>
      </c>
      <c r="AS280" s="100">
        <f t="shared" si="434"/>
        <v>15.21</v>
      </c>
      <c r="AT280" s="100">
        <f t="shared" si="410"/>
        <v>0</v>
      </c>
      <c r="AU280" s="100">
        <f t="shared" si="375"/>
        <v>0</v>
      </c>
      <c r="AV280" s="100">
        <f t="shared" si="411"/>
        <v>0</v>
      </c>
      <c r="AW280" s="100">
        <f t="shared" si="376"/>
        <v>0</v>
      </c>
      <c r="AX280">
        <f t="shared" si="377"/>
        <v>16.21</v>
      </c>
      <c r="AY280" s="98">
        <f t="shared" si="412"/>
        <v>0</v>
      </c>
      <c r="AZ280" s="98">
        <f t="shared" si="413"/>
        <v>0</v>
      </c>
      <c r="BA280" s="98">
        <f t="shared" si="378"/>
        <v>0</v>
      </c>
      <c r="BB280" s="98">
        <f t="shared" si="414"/>
        <v>0</v>
      </c>
      <c r="BC280" s="98">
        <f t="shared" si="379"/>
        <v>0</v>
      </c>
      <c r="BD280" s="98">
        <f t="shared" si="380"/>
        <v>0</v>
      </c>
      <c r="BE280" s="98">
        <f t="shared" si="381"/>
        <v>22.883437499999996</v>
      </c>
      <c r="BF280" s="98">
        <f t="shared" si="415"/>
        <v>0</v>
      </c>
      <c r="BG280" s="98">
        <f t="shared" si="416"/>
        <v>0</v>
      </c>
      <c r="BH280" s="98">
        <f t="shared" si="382"/>
        <v>0</v>
      </c>
      <c r="BI280" s="98">
        <f t="shared" si="383"/>
        <v>0</v>
      </c>
      <c r="BJ280" s="98">
        <f t="shared" si="384"/>
        <v>0</v>
      </c>
      <c r="BK280" s="98">
        <f t="shared" si="385"/>
        <v>22.883437499999996</v>
      </c>
      <c r="BL280" s="98">
        <f t="shared" si="417"/>
        <v>0</v>
      </c>
      <c r="BM280" s="98">
        <f t="shared" si="386"/>
        <v>0</v>
      </c>
      <c r="BN280" s="98">
        <f t="shared" si="387"/>
        <v>696.11416874999986</v>
      </c>
      <c r="BO280" s="98">
        <f t="shared" si="418"/>
        <v>0</v>
      </c>
      <c r="BP280" s="98">
        <f t="shared" si="388"/>
        <v>0</v>
      </c>
      <c r="BQ280" s="98">
        <f t="shared" si="419"/>
        <v>0</v>
      </c>
      <c r="BR280" s="98">
        <f t="shared" si="389"/>
        <v>0</v>
      </c>
    </row>
    <row r="281" spans="1:156" x14ac:dyDescent="0.25">
      <c r="A281" t="s">
        <v>58</v>
      </c>
      <c r="B281" t="s">
        <v>11</v>
      </c>
      <c r="C281">
        <v>2026</v>
      </c>
      <c r="D281" s="98">
        <f>INDEX('Reference Sheet'!$G$9:$J$100, MATCH(A281,'Reference Sheet'!$F$9:$F$100,0), MATCH(C281,'Reference Sheet'!$G$8:$J$8,0))/2080</f>
        <v>37.019230769230766</v>
      </c>
      <c r="E281" s="99">
        <f>VLOOKUP(C281,'Reference Sheet'!$A$2:$B$5,2)</f>
        <v>0.23630000000000001</v>
      </c>
      <c r="F281" s="98">
        <f t="shared" si="372"/>
        <v>45.766874999999992</v>
      </c>
      <c r="G281" s="98"/>
      <c r="H281" s="98"/>
      <c r="I281" s="32"/>
      <c r="J281" s="32"/>
      <c r="K281" s="32"/>
      <c r="L281" s="32"/>
      <c r="M281" s="32">
        <v>0.5</v>
      </c>
      <c r="N281" s="32"/>
      <c r="O281" s="32"/>
      <c r="P281" s="32"/>
      <c r="Q281" s="32"/>
      <c r="R281" s="32"/>
      <c r="S281" s="32">
        <v>0.5</v>
      </c>
      <c r="T281" s="32"/>
      <c r="U281" s="32"/>
      <c r="V281" s="32"/>
      <c r="W281" s="32"/>
      <c r="X281" s="32"/>
      <c r="Y281" s="32"/>
      <c r="Z281" s="32"/>
      <c r="AA281" s="98">
        <f t="shared" si="408"/>
        <v>1</v>
      </c>
      <c r="AB281" s="98">
        <f t="shared" si="373"/>
        <v>1</v>
      </c>
      <c r="AC281" s="98">
        <f t="shared" si="374"/>
        <v>0</v>
      </c>
      <c r="AD281" s="100">
        <f t="shared" si="420"/>
        <v>0</v>
      </c>
      <c r="AE281" s="100">
        <f t="shared" si="421"/>
        <v>0</v>
      </c>
      <c r="AF281" s="100">
        <f t="shared" si="422"/>
        <v>0</v>
      </c>
      <c r="AG281" s="100">
        <f t="shared" si="423"/>
        <v>0</v>
      </c>
      <c r="AH281" s="100">
        <f t="shared" si="424"/>
        <v>0</v>
      </c>
      <c r="AI281" s="100">
        <f t="shared" si="425"/>
        <v>0</v>
      </c>
      <c r="AJ281" s="100">
        <f t="shared" si="426"/>
        <v>0.5</v>
      </c>
      <c r="AK281" s="100">
        <f t="shared" si="427"/>
        <v>0</v>
      </c>
      <c r="AL281" s="100">
        <f t="shared" si="409"/>
        <v>0</v>
      </c>
      <c r="AM281" s="100">
        <f t="shared" si="428"/>
        <v>0</v>
      </c>
      <c r="AN281" s="100">
        <f t="shared" si="429"/>
        <v>0</v>
      </c>
      <c r="AO281" s="100">
        <f t="shared" si="430"/>
        <v>0</v>
      </c>
      <c r="AP281" s="100">
        <f t="shared" si="431"/>
        <v>0.5</v>
      </c>
      <c r="AQ281" s="100">
        <f t="shared" si="432"/>
        <v>0</v>
      </c>
      <c r="AR281" s="100">
        <f t="shared" si="433"/>
        <v>0</v>
      </c>
      <c r="AS281" s="100">
        <f t="shared" si="434"/>
        <v>0</v>
      </c>
      <c r="AT281" s="100">
        <f t="shared" si="410"/>
        <v>0</v>
      </c>
      <c r="AU281" s="100">
        <f t="shared" si="375"/>
        <v>0</v>
      </c>
      <c r="AV281" s="100">
        <f t="shared" si="411"/>
        <v>0</v>
      </c>
      <c r="AW281" s="100">
        <f t="shared" si="376"/>
        <v>0</v>
      </c>
      <c r="AX281">
        <f t="shared" si="377"/>
        <v>1</v>
      </c>
      <c r="AY281" s="98">
        <f t="shared" si="412"/>
        <v>0</v>
      </c>
      <c r="AZ281" s="98">
        <f t="shared" si="413"/>
        <v>0</v>
      </c>
      <c r="BA281" s="98">
        <f t="shared" si="378"/>
        <v>0</v>
      </c>
      <c r="BB281" s="98">
        <f t="shared" si="414"/>
        <v>0</v>
      </c>
      <c r="BC281" s="98">
        <f t="shared" si="379"/>
        <v>0</v>
      </c>
      <c r="BD281" s="98">
        <f t="shared" si="380"/>
        <v>0</v>
      </c>
      <c r="BE281" s="98">
        <f t="shared" si="381"/>
        <v>22.883437499999996</v>
      </c>
      <c r="BF281" s="98">
        <f t="shared" si="415"/>
        <v>0</v>
      </c>
      <c r="BG281" s="98">
        <f t="shared" si="416"/>
        <v>0</v>
      </c>
      <c r="BH281" s="98">
        <f t="shared" si="382"/>
        <v>0</v>
      </c>
      <c r="BI281" s="98">
        <f t="shared" si="383"/>
        <v>0</v>
      </c>
      <c r="BJ281" s="98">
        <f t="shared" si="384"/>
        <v>0</v>
      </c>
      <c r="BK281" s="98">
        <f t="shared" si="385"/>
        <v>22.883437499999996</v>
      </c>
      <c r="BL281" s="98">
        <f t="shared" si="417"/>
        <v>0</v>
      </c>
      <c r="BM281" s="98">
        <f t="shared" si="386"/>
        <v>0</v>
      </c>
      <c r="BN281" s="98">
        <f t="shared" si="387"/>
        <v>0</v>
      </c>
      <c r="BO281" s="98">
        <f t="shared" si="418"/>
        <v>0</v>
      </c>
      <c r="BP281" s="98">
        <f t="shared" si="388"/>
        <v>0</v>
      </c>
      <c r="BQ281" s="98">
        <f t="shared" si="419"/>
        <v>0</v>
      </c>
      <c r="BR281" s="98">
        <f t="shared" si="389"/>
        <v>0</v>
      </c>
    </row>
    <row r="282" spans="1:156" x14ac:dyDescent="0.25">
      <c r="A282" t="s">
        <v>58</v>
      </c>
      <c r="B282" t="s">
        <v>7</v>
      </c>
      <c r="C282">
        <v>2026</v>
      </c>
      <c r="D282" s="98">
        <f>INDEX('Reference Sheet'!$G$9:$J$100, MATCH(A282,'Reference Sheet'!$F$9:$F$100,0), MATCH(C282,'Reference Sheet'!$G$8:$J$8,0))/2080</f>
        <v>37.019230769230766</v>
      </c>
      <c r="E282" s="99">
        <f>VLOOKUP(C282,'Reference Sheet'!$A$2:$B$5,2)</f>
        <v>0.23630000000000001</v>
      </c>
      <c r="F282" s="98">
        <f t="shared" si="372"/>
        <v>45.766874999999992</v>
      </c>
      <c r="G282" s="98"/>
      <c r="H282" s="98"/>
      <c r="I282" s="32"/>
      <c r="J282" s="32"/>
      <c r="K282" s="32"/>
      <c r="L282" s="32"/>
      <c r="M282" s="32">
        <v>1</v>
      </c>
      <c r="N282" s="32"/>
      <c r="O282" s="32"/>
      <c r="P282" s="32"/>
      <c r="Q282" s="32"/>
      <c r="R282" s="32"/>
      <c r="S282" s="32">
        <v>1</v>
      </c>
      <c r="T282" s="32"/>
      <c r="U282" s="32"/>
      <c r="V282" s="32">
        <v>19</v>
      </c>
      <c r="W282" s="32"/>
      <c r="X282" s="32"/>
      <c r="Y282" s="32"/>
      <c r="Z282" s="32"/>
      <c r="AA282" s="98">
        <f t="shared" si="408"/>
        <v>21</v>
      </c>
      <c r="AB282" s="98">
        <f t="shared" si="373"/>
        <v>21</v>
      </c>
      <c r="AC282" s="98">
        <f t="shared" si="374"/>
        <v>0</v>
      </c>
      <c r="AD282" s="100">
        <f t="shared" si="420"/>
        <v>0</v>
      </c>
      <c r="AE282" s="100">
        <f t="shared" si="421"/>
        <v>0</v>
      </c>
      <c r="AF282" s="100">
        <f t="shared" si="422"/>
        <v>0</v>
      </c>
      <c r="AG282" s="100">
        <f t="shared" si="423"/>
        <v>0</v>
      </c>
      <c r="AH282" s="100">
        <f t="shared" si="424"/>
        <v>0</v>
      </c>
      <c r="AI282" s="100">
        <f t="shared" si="425"/>
        <v>0</v>
      </c>
      <c r="AJ282" s="100">
        <f t="shared" si="426"/>
        <v>1</v>
      </c>
      <c r="AK282" s="100">
        <f t="shared" si="427"/>
        <v>0</v>
      </c>
      <c r="AL282" s="100">
        <f t="shared" si="409"/>
        <v>0</v>
      </c>
      <c r="AM282" s="100">
        <f t="shared" si="428"/>
        <v>0</v>
      </c>
      <c r="AN282" s="100">
        <f t="shared" si="429"/>
        <v>0</v>
      </c>
      <c r="AO282" s="100">
        <f t="shared" si="430"/>
        <v>0</v>
      </c>
      <c r="AP282" s="100">
        <f t="shared" si="431"/>
        <v>1</v>
      </c>
      <c r="AQ282" s="100">
        <f t="shared" si="432"/>
        <v>0</v>
      </c>
      <c r="AR282" s="100">
        <f t="shared" si="433"/>
        <v>0</v>
      </c>
      <c r="AS282" s="100">
        <f t="shared" si="434"/>
        <v>19</v>
      </c>
      <c r="AT282" s="100">
        <f t="shared" si="410"/>
        <v>0</v>
      </c>
      <c r="AU282" s="100">
        <f t="shared" si="375"/>
        <v>0</v>
      </c>
      <c r="AV282" s="100">
        <f t="shared" si="411"/>
        <v>0</v>
      </c>
      <c r="AW282" s="100">
        <f t="shared" si="376"/>
        <v>0</v>
      </c>
      <c r="AX282">
        <f t="shared" si="377"/>
        <v>21</v>
      </c>
      <c r="AY282" s="98">
        <f t="shared" si="412"/>
        <v>0</v>
      </c>
      <c r="AZ282" s="98">
        <f t="shared" si="413"/>
        <v>0</v>
      </c>
      <c r="BA282" s="98">
        <f t="shared" si="378"/>
        <v>0</v>
      </c>
      <c r="BB282" s="98">
        <f t="shared" si="414"/>
        <v>0</v>
      </c>
      <c r="BC282" s="98">
        <f t="shared" si="379"/>
        <v>0</v>
      </c>
      <c r="BD282" s="98">
        <f t="shared" si="380"/>
        <v>0</v>
      </c>
      <c r="BE282" s="98">
        <f t="shared" si="381"/>
        <v>45.766874999999992</v>
      </c>
      <c r="BF282" s="98">
        <f t="shared" si="415"/>
        <v>0</v>
      </c>
      <c r="BG282" s="98">
        <f t="shared" si="416"/>
        <v>0</v>
      </c>
      <c r="BH282" s="98">
        <f t="shared" si="382"/>
        <v>0</v>
      </c>
      <c r="BI282" s="98">
        <f t="shared" si="383"/>
        <v>0</v>
      </c>
      <c r="BJ282" s="98">
        <f t="shared" si="384"/>
        <v>0</v>
      </c>
      <c r="BK282" s="98">
        <f t="shared" si="385"/>
        <v>45.766874999999992</v>
      </c>
      <c r="BL282" s="98">
        <f t="shared" si="417"/>
        <v>0</v>
      </c>
      <c r="BM282" s="98">
        <f t="shared" si="386"/>
        <v>0</v>
      </c>
      <c r="BN282" s="98">
        <f t="shared" si="387"/>
        <v>869.57062499999984</v>
      </c>
      <c r="BO282" s="98">
        <f t="shared" si="418"/>
        <v>0</v>
      </c>
      <c r="BP282" s="98">
        <f t="shared" si="388"/>
        <v>0</v>
      </c>
      <c r="BQ282" s="98">
        <f t="shared" si="419"/>
        <v>0</v>
      </c>
      <c r="BR282" s="98">
        <f t="shared" si="389"/>
        <v>0</v>
      </c>
    </row>
    <row r="283" spans="1:156" x14ac:dyDescent="0.25">
      <c r="A283" t="s">
        <v>58</v>
      </c>
      <c r="B283" t="s">
        <v>9</v>
      </c>
      <c r="C283">
        <v>2026</v>
      </c>
      <c r="D283" s="98">
        <f>INDEX('Reference Sheet'!$G$9:$J$100, MATCH(A283,'Reference Sheet'!$F$9:$F$100,0), MATCH(C283,'Reference Sheet'!$G$8:$J$8,0))/2080</f>
        <v>37.019230769230766</v>
      </c>
      <c r="E283" s="99">
        <f>VLOOKUP(C283,'Reference Sheet'!$A$2:$B$5,2)</f>
        <v>0.23630000000000001</v>
      </c>
      <c r="F283" s="98">
        <f t="shared" si="372"/>
        <v>45.766874999999992</v>
      </c>
      <c r="G283" s="98"/>
      <c r="H283" s="98"/>
      <c r="I283" s="32"/>
      <c r="J283" s="32"/>
      <c r="K283" s="32"/>
      <c r="L283" s="32"/>
      <c r="M283" s="32">
        <v>1.5</v>
      </c>
      <c r="N283" s="32"/>
      <c r="O283" s="32"/>
      <c r="P283" s="32"/>
      <c r="Q283" s="32"/>
      <c r="R283" s="32"/>
      <c r="S283" s="32">
        <v>1.5</v>
      </c>
      <c r="T283" s="32"/>
      <c r="U283" s="32"/>
      <c r="V283" s="32">
        <v>19.29</v>
      </c>
      <c r="W283" s="32"/>
      <c r="X283" s="32"/>
      <c r="Y283" s="32"/>
      <c r="Z283" s="32"/>
      <c r="AA283" s="98">
        <f t="shared" si="408"/>
        <v>22.29</v>
      </c>
      <c r="AB283" s="98">
        <f t="shared" si="373"/>
        <v>22.29</v>
      </c>
      <c r="AC283" s="98">
        <f t="shared" si="374"/>
        <v>0</v>
      </c>
      <c r="AD283" s="100">
        <f t="shared" si="420"/>
        <v>0</v>
      </c>
      <c r="AE283" s="100">
        <f t="shared" si="421"/>
        <v>0</v>
      </c>
      <c r="AF283" s="100">
        <f t="shared" si="422"/>
        <v>0</v>
      </c>
      <c r="AG283" s="100">
        <f t="shared" si="423"/>
        <v>0</v>
      </c>
      <c r="AH283" s="100">
        <f t="shared" si="424"/>
        <v>0</v>
      </c>
      <c r="AI283" s="100">
        <f t="shared" si="425"/>
        <v>0</v>
      </c>
      <c r="AJ283" s="100">
        <f t="shared" si="426"/>
        <v>1.5</v>
      </c>
      <c r="AK283" s="100">
        <f t="shared" si="427"/>
        <v>0</v>
      </c>
      <c r="AL283" s="100">
        <f t="shared" si="409"/>
        <v>0</v>
      </c>
      <c r="AM283" s="100">
        <f t="shared" si="428"/>
        <v>0</v>
      </c>
      <c r="AN283" s="100">
        <f t="shared" si="429"/>
        <v>0</v>
      </c>
      <c r="AO283" s="100">
        <f t="shared" si="430"/>
        <v>0</v>
      </c>
      <c r="AP283" s="100">
        <f t="shared" si="431"/>
        <v>1.5</v>
      </c>
      <c r="AQ283" s="100">
        <f t="shared" si="432"/>
        <v>0</v>
      </c>
      <c r="AR283" s="100">
        <f t="shared" si="433"/>
        <v>0</v>
      </c>
      <c r="AS283" s="100">
        <f t="shared" si="434"/>
        <v>19.29</v>
      </c>
      <c r="AT283" s="100">
        <f t="shared" si="410"/>
        <v>0</v>
      </c>
      <c r="AU283" s="100">
        <f t="shared" si="375"/>
        <v>0</v>
      </c>
      <c r="AV283" s="100">
        <f t="shared" si="411"/>
        <v>0</v>
      </c>
      <c r="AW283" s="100">
        <f t="shared" si="376"/>
        <v>0</v>
      </c>
      <c r="AX283">
        <f t="shared" si="377"/>
        <v>22.29</v>
      </c>
      <c r="AY283" s="98">
        <f t="shared" si="412"/>
        <v>0</v>
      </c>
      <c r="AZ283" s="98">
        <f t="shared" si="413"/>
        <v>0</v>
      </c>
      <c r="BA283" s="98">
        <f t="shared" si="378"/>
        <v>0</v>
      </c>
      <c r="BB283" s="98">
        <f t="shared" si="414"/>
        <v>0</v>
      </c>
      <c r="BC283" s="98">
        <f t="shared" si="379"/>
        <v>0</v>
      </c>
      <c r="BD283" s="98">
        <f t="shared" si="380"/>
        <v>0</v>
      </c>
      <c r="BE283" s="98">
        <f t="shared" si="381"/>
        <v>68.650312499999984</v>
      </c>
      <c r="BF283" s="98">
        <f t="shared" si="415"/>
        <v>0</v>
      </c>
      <c r="BG283" s="98">
        <f t="shared" si="416"/>
        <v>0</v>
      </c>
      <c r="BH283" s="98">
        <f t="shared" si="382"/>
        <v>0</v>
      </c>
      <c r="BI283" s="98">
        <f t="shared" si="383"/>
        <v>0</v>
      </c>
      <c r="BJ283" s="98">
        <f t="shared" si="384"/>
        <v>0</v>
      </c>
      <c r="BK283" s="98">
        <f t="shared" si="385"/>
        <v>68.650312499999984</v>
      </c>
      <c r="BL283" s="98">
        <f t="shared" si="417"/>
        <v>0</v>
      </c>
      <c r="BM283" s="98">
        <f t="shared" si="386"/>
        <v>0</v>
      </c>
      <c r="BN283" s="98">
        <f t="shared" si="387"/>
        <v>882.84301874999983</v>
      </c>
      <c r="BO283" s="98">
        <f t="shared" si="418"/>
        <v>0</v>
      </c>
      <c r="BP283" s="98">
        <f t="shared" si="388"/>
        <v>0</v>
      </c>
      <c r="BQ283" s="98">
        <f t="shared" si="419"/>
        <v>0</v>
      </c>
      <c r="BR283" s="98">
        <f t="shared" si="389"/>
        <v>0</v>
      </c>
    </row>
    <row r="284" spans="1:156" x14ac:dyDescent="0.25">
      <c r="A284" t="s">
        <v>58</v>
      </c>
      <c r="B284" t="s">
        <v>12</v>
      </c>
      <c r="C284">
        <v>2026</v>
      </c>
      <c r="D284" s="98">
        <f>INDEX('Reference Sheet'!$G$9:$J$100, MATCH(A284,'Reference Sheet'!$F$9:$F$100,0), MATCH(C284,'Reference Sheet'!$G$8:$J$8,0))/2080</f>
        <v>37.019230769230766</v>
      </c>
      <c r="E284" s="99">
        <f>VLOOKUP(C284,'Reference Sheet'!$A$2:$B$5,2)</f>
        <v>0.23630000000000001</v>
      </c>
      <c r="F284" s="98">
        <f t="shared" si="372"/>
        <v>45.766874999999992</v>
      </c>
      <c r="G284" s="98"/>
      <c r="H284" s="98"/>
      <c r="I284" s="32"/>
      <c r="J284" s="32"/>
      <c r="K284" s="32"/>
      <c r="L284" s="32"/>
      <c r="M284" s="32">
        <v>1.5</v>
      </c>
      <c r="N284" s="32"/>
      <c r="O284" s="32"/>
      <c r="P284" s="32"/>
      <c r="Q284" s="32"/>
      <c r="R284" s="32"/>
      <c r="S284" s="32">
        <v>3.5</v>
      </c>
      <c r="T284" s="32"/>
      <c r="U284" s="32"/>
      <c r="V284" s="32"/>
      <c r="W284" s="32"/>
      <c r="X284" s="32"/>
      <c r="Y284" s="32"/>
      <c r="Z284" s="32"/>
      <c r="AA284" s="98">
        <f t="shared" si="408"/>
        <v>5</v>
      </c>
      <c r="AB284" s="98">
        <f t="shared" si="373"/>
        <v>5</v>
      </c>
      <c r="AC284" s="98">
        <f t="shared" si="374"/>
        <v>0</v>
      </c>
      <c r="AD284" s="100">
        <f t="shared" si="420"/>
        <v>0</v>
      </c>
      <c r="AE284" s="100">
        <f t="shared" si="421"/>
        <v>0</v>
      </c>
      <c r="AF284" s="100">
        <f t="shared" si="422"/>
        <v>0</v>
      </c>
      <c r="AG284" s="100">
        <f t="shared" si="423"/>
        <v>0</v>
      </c>
      <c r="AH284" s="100">
        <f t="shared" si="424"/>
        <v>0</v>
      </c>
      <c r="AI284" s="100">
        <f t="shared" si="425"/>
        <v>0</v>
      </c>
      <c r="AJ284" s="100">
        <f t="shared" si="426"/>
        <v>1.5</v>
      </c>
      <c r="AK284" s="100">
        <f t="shared" si="427"/>
        <v>0</v>
      </c>
      <c r="AL284" s="100">
        <f t="shared" si="409"/>
        <v>0</v>
      </c>
      <c r="AM284" s="100">
        <f t="shared" si="428"/>
        <v>0</v>
      </c>
      <c r="AN284" s="100">
        <f t="shared" si="429"/>
        <v>0</v>
      </c>
      <c r="AO284" s="100">
        <f t="shared" si="430"/>
        <v>0</v>
      </c>
      <c r="AP284" s="100">
        <f t="shared" si="431"/>
        <v>3.5</v>
      </c>
      <c r="AQ284" s="100">
        <f t="shared" si="432"/>
        <v>0</v>
      </c>
      <c r="AR284" s="100">
        <f t="shared" si="433"/>
        <v>0</v>
      </c>
      <c r="AS284" s="100">
        <f t="shared" si="434"/>
        <v>0</v>
      </c>
      <c r="AT284" s="100">
        <f t="shared" si="410"/>
        <v>0</v>
      </c>
      <c r="AU284" s="100">
        <f t="shared" si="375"/>
        <v>0</v>
      </c>
      <c r="AV284" s="100">
        <f t="shared" si="411"/>
        <v>0</v>
      </c>
      <c r="AW284" s="100">
        <f t="shared" si="376"/>
        <v>0</v>
      </c>
      <c r="AX284">
        <f t="shared" si="377"/>
        <v>5</v>
      </c>
      <c r="AY284" s="98">
        <f t="shared" si="412"/>
        <v>0</v>
      </c>
      <c r="AZ284" s="98">
        <f t="shared" si="413"/>
        <v>0</v>
      </c>
      <c r="BA284" s="98">
        <f t="shared" si="378"/>
        <v>0</v>
      </c>
      <c r="BB284" s="98">
        <f t="shared" si="414"/>
        <v>0</v>
      </c>
      <c r="BC284" s="98">
        <f t="shared" si="379"/>
        <v>0</v>
      </c>
      <c r="BD284" s="98">
        <f t="shared" si="380"/>
        <v>0</v>
      </c>
      <c r="BE284" s="98">
        <f t="shared" si="381"/>
        <v>68.650312499999984</v>
      </c>
      <c r="BF284" s="98">
        <f t="shared" si="415"/>
        <v>0</v>
      </c>
      <c r="BG284" s="98">
        <f t="shared" si="416"/>
        <v>0</v>
      </c>
      <c r="BH284" s="98">
        <f t="shared" si="382"/>
        <v>0</v>
      </c>
      <c r="BI284" s="98">
        <f t="shared" si="383"/>
        <v>0</v>
      </c>
      <c r="BJ284" s="98">
        <f t="shared" si="384"/>
        <v>0</v>
      </c>
      <c r="BK284" s="98">
        <f t="shared" si="385"/>
        <v>160.18406249999998</v>
      </c>
      <c r="BL284" s="98">
        <f t="shared" si="417"/>
        <v>0</v>
      </c>
      <c r="BM284" s="98">
        <f t="shared" si="386"/>
        <v>0</v>
      </c>
      <c r="BN284" s="98">
        <f t="shared" si="387"/>
        <v>0</v>
      </c>
      <c r="BO284" s="98">
        <f t="shared" si="418"/>
        <v>0</v>
      </c>
      <c r="BP284" s="98">
        <f t="shared" si="388"/>
        <v>0</v>
      </c>
      <c r="BQ284" s="98">
        <f t="shared" si="419"/>
        <v>0</v>
      </c>
      <c r="BR284" s="98">
        <f t="shared" si="389"/>
        <v>0</v>
      </c>
    </row>
    <row r="285" spans="1:156" x14ac:dyDescent="0.25">
      <c r="A285" t="s">
        <v>58</v>
      </c>
      <c r="B285" t="s">
        <v>8</v>
      </c>
      <c r="C285">
        <v>2026</v>
      </c>
      <c r="D285" s="98">
        <f>INDEX('Reference Sheet'!$G$9:$J$100, MATCH(A285,'Reference Sheet'!$F$9:$F$100,0), MATCH(C285,'Reference Sheet'!$G$8:$J$8,0))/2080</f>
        <v>37.019230769230766</v>
      </c>
      <c r="E285" s="99">
        <f>VLOOKUP(C285,'Reference Sheet'!$A$2:$B$5,2)</f>
        <v>0.23630000000000001</v>
      </c>
      <c r="F285" s="98">
        <f t="shared" si="372"/>
        <v>45.766874999999992</v>
      </c>
      <c r="G285" s="98"/>
      <c r="H285" s="98"/>
      <c r="I285" s="32"/>
      <c r="J285" s="32"/>
      <c r="K285" s="32"/>
      <c r="L285" s="32"/>
      <c r="M285" s="32">
        <v>3.5</v>
      </c>
      <c r="N285" s="32"/>
      <c r="O285" s="32"/>
      <c r="P285" s="32"/>
      <c r="Q285" s="32"/>
      <c r="R285" s="32"/>
      <c r="S285" s="32">
        <v>4.5</v>
      </c>
      <c r="T285" s="32"/>
      <c r="U285" s="32"/>
      <c r="V285" s="32"/>
      <c r="W285" s="32"/>
      <c r="X285" s="32"/>
      <c r="Y285" s="32"/>
      <c r="Z285" s="32"/>
      <c r="AA285" s="98">
        <f t="shared" si="408"/>
        <v>8</v>
      </c>
      <c r="AB285" s="98">
        <f t="shared" si="373"/>
        <v>8</v>
      </c>
      <c r="AC285" s="98">
        <f t="shared" si="374"/>
        <v>0</v>
      </c>
      <c r="AD285" s="100">
        <f t="shared" si="420"/>
        <v>0</v>
      </c>
      <c r="AE285" s="100">
        <f t="shared" si="421"/>
        <v>0</v>
      </c>
      <c r="AF285" s="100">
        <f t="shared" si="422"/>
        <v>0</v>
      </c>
      <c r="AG285" s="100">
        <f t="shared" si="423"/>
        <v>0</v>
      </c>
      <c r="AH285" s="100">
        <f t="shared" si="424"/>
        <v>0</v>
      </c>
      <c r="AI285" s="100">
        <f t="shared" si="425"/>
        <v>0</v>
      </c>
      <c r="AJ285" s="100">
        <f t="shared" si="426"/>
        <v>3.5</v>
      </c>
      <c r="AK285" s="100">
        <f t="shared" si="427"/>
        <v>0</v>
      </c>
      <c r="AL285" s="100">
        <f t="shared" si="409"/>
        <v>0</v>
      </c>
      <c r="AM285" s="100">
        <f t="shared" si="428"/>
        <v>0</v>
      </c>
      <c r="AN285" s="100">
        <f t="shared" si="429"/>
        <v>0</v>
      </c>
      <c r="AO285" s="100">
        <f t="shared" si="430"/>
        <v>0</v>
      </c>
      <c r="AP285" s="100">
        <f t="shared" si="431"/>
        <v>4.5</v>
      </c>
      <c r="AQ285" s="100">
        <f t="shared" si="432"/>
        <v>0</v>
      </c>
      <c r="AR285" s="100">
        <f t="shared" si="433"/>
        <v>0</v>
      </c>
      <c r="AS285" s="100">
        <f t="shared" si="434"/>
        <v>0</v>
      </c>
      <c r="AT285" s="100">
        <f t="shared" si="410"/>
        <v>0</v>
      </c>
      <c r="AU285" s="100">
        <f t="shared" si="375"/>
        <v>0</v>
      </c>
      <c r="AV285" s="100">
        <f t="shared" si="411"/>
        <v>0</v>
      </c>
      <c r="AW285" s="100">
        <f t="shared" si="376"/>
        <v>0</v>
      </c>
      <c r="AX285">
        <f t="shared" si="377"/>
        <v>8</v>
      </c>
      <c r="AY285" s="98">
        <f t="shared" si="412"/>
        <v>0</v>
      </c>
      <c r="AZ285" s="98">
        <f t="shared" si="413"/>
        <v>0</v>
      </c>
      <c r="BA285" s="98">
        <f t="shared" si="378"/>
        <v>0</v>
      </c>
      <c r="BB285" s="98">
        <f t="shared" si="414"/>
        <v>0</v>
      </c>
      <c r="BC285" s="98">
        <f t="shared" si="379"/>
        <v>0</v>
      </c>
      <c r="BD285" s="98">
        <f t="shared" si="380"/>
        <v>0</v>
      </c>
      <c r="BE285" s="98">
        <f t="shared" si="381"/>
        <v>160.18406249999998</v>
      </c>
      <c r="BF285" s="98">
        <f t="shared" si="415"/>
        <v>0</v>
      </c>
      <c r="BG285" s="98">
        <f t="shared" si="416"/>
        <v>0</v>
      </c>
      <c r="BH285" s="98">
        <f t="shared" si="382"/>
        <v>0</v>
      </c>
      <c r="BI285" s="98">
        <f t="shared" si="383"/>
        <v>0</v>
      </c>
      <c r="BJ285" s="98">
        <f t="shared" si="384"/>
        <v>0</v>
      </c>
      <c r="BK285" s="98">
        <f t="shared" si="385"/>
        <v>205.95093749999995</v>
      </c>
      <c r="BL285" s="98">
        <f t="shared" si="417"/>
        <v>0</v>
      </c>
      <c r="BM285" s="98">
        <f t="shared" si="386"/>
        <v>0</v>
      </c>
      <c r="BN285" s="98">
        <f t="shared" si="387"/>
        <v>0</v>
      </c>
      <c r="BO285" s="98">
        <f t="shared" si="418"/>
        <v>0</v>
      </c>
      <c r="BP285" s="98">
        <f t="shared" si="388"/>
        <v>0</v>
      </c>
      <c r="BQ285" s="98">
        <f t="shared" si="419"/>
        <v>0</v>
      </c>
      <c r="BR285" s="98">
        <f t="shared" si="389"/>
        <v>0</v>
      </c>
    </row>
    <row r="286" spans="1:156" x14ac:dyDescent="0.25">
      <c r="A286" t="s">
        <v>58</v>
      </c>
      <c r="B286" t="s">
        <v>10</v>
      </c>
      <c r="C286">
        <v>2026</v>
      </c>
      <c r="D286" s="98">
        <f>INDEX('Reference Sheet'!$G$9:$J$100, MATCH(A286,'Reference Sheet'!$F$9:$F$100,0), MATCH(C286,'Reference Sheet'!$G$8:$J$8,0))/2080</f>
        <v>37.019230769230766</v>
      </c>
      <c r="E286" s="99">
        <f>VLOOKUP(C286,'Reference Sheet'!$A$2:$B$5,2)</f>
        <v>0.23630000000000001</v>
      </c>
      <c r="F286" s="98">
        <f t="shared" si="372"/>
        <v>45.766874999999992</v>
      </c>
      <c r="G286" s="98"/>
      <c r="H286" s="98"/>
      <c r="I286" s="32"/>
      <c r="J286" s="32"/>
      <c r="K286" s="32"/>
      <c r="L286" s="32"/>
      <c r="M286" s="32">
        <v>1.5</v>
      </c>
      <c r="N286" s="32"/>
      <c r="O286" s="32"/>
      <c r="P286" s="32"/>
      <c r="Q286" s="32"/>
      <c r="R286" s="32"/>
      <c r="S286" s="32">
        <v>4.5</v>
      </c>
      <c r="T286" s="32"/>
      <c r="U286" s="32"/>
      <c r="V286" s="32">
        <v>70.73</v>
      </c>
      <c r="W286" s="32"/>
      <c r="X286" s="32"/>
      <c r="Y286" s="32"/>
      <c r="Z286" s="32"/>
      <c r="AA286" s="98">
        <f t="shared" si="408"/>
        <v>76.73</v>
      </c>
      <c r="AB286" s="98">
        <f t="shared" si="373"/>
        <v>76.73</v>
      </c>
      <c r="AC286" s="98">
        <f t="shared" si="374"/>
        <v>0</v>
      </c>
      <c r="AD286" s="100">
        <f t="shared" si="420"/>
        <v>0</v>
      </c>
      <c r="AE286" s="100">
        <f t="shared" si="421"/>
        <v>0</v>
      </c>
      <c r="AF286" s="100">
        <f t="shared" si="422"/>
        <v>0</v>
      </c>
      <c r="AG286" s="100">
        <f t="shared" si="423"/>
        <v>0</v>
      </c>
      <c r="AH286" s="100">
        <f t="shared" si="424"/>
        <v>0</v>
      </c>
      <c r="AI286" s="100">
        <f t="shared" si="425"/>
        <v>0</v>
      </c>
      <c r="AJ286" s="100">
        <f t="shared" si="426"/>
        <v>1.5000000000000002</v>
      </c>
      <c r="AK286" s="100">
        <f t="shared" si="427"/>
        <v>0</v>
      </c>
      <c r="AL286" s="100">
        <f t="shared" si="409"/>
        <v>0</v>
      </c>
      <c r="AM286" s="100">
        <f t="shared" si="428"/>
        <v>0</v>
      </c>
      <c r="AN286" s="100">
        <f t="shared" si="429"/>
        <v>0</v>
      </c>
      <c r="AO286" s="100">
        <f t="shared" si="430"/>
        <v>0</v>
      </c>
      <c r="AP286" s="100">
        <f t="shared" si="431"/>
        <v>4.5</v>
      </c>
      <c r="AQ286" s="100">
        <f t="shared" si="432"/>
        <v>0</v>
      </c>
      <c r="AR286" s="100">
        <f t="shared" si="433"/>
        <v>0</v>
      </c>
      <c r="AS286" s="100">
        <f t="shared" si="434"/>
        <v>70.73</v>
      </c>
      <c r="AT286" s="100">
        <f t="shared" si="410"/>
        <v>0</v>
      </c>
      <c r="AU286" s="100">
        <f t="shared" si="375"/>
        <v>0</v>
      </c>
      <c r="AV286" s="100">
        <f t="shared" si="411"/>
        <v>0</v>
      </c>
      <c r="AW286" s="100">
        <f t="shared" si="376"/>
        <v>0</v>
      </c>
      <c r="AX286">
        <f t="shared" si="377"/>
        <v>76.73</v>
      </c>
      <c r="AY286" s="98">
        <f t="shared" si="412"/>
        <v>0</v>
      </c>
      <c r="AZ286" s="98">
        <f t="shared" si="413"/>
        <v>0</v>
      </c>
      <c r="BA286" s="98">
        <f t="shared" si="378"/>
        <v>0</v>
      </c>
      <c r="BB286" s="98">
        <f t="shared" si="414"/>
        <v>0</v>
      </c>
      <c r="BC286" s="98">
        <f t="shared" si="379"/>
        <v>0</v>
      </c>
      <c r="BD286" s="98">
        <f t="shared" si="380"/>
        <v>0</v>
      </c>
      <c r="BE286" s="98">
        <f t="shared" si="381"/>
        <v>68.650312499999998</v>
      </c>
      <c r="BF286" s="98">
        <f t="shared" si="415"/>
        <v>0</v>
      </c>
      <c r="BG286" s="98">
        <f t="shared" si="416"/>
        <v>0</v>
      </c>
      <c r="BH286" s="98">
        <f t="shared" si="382"/>
        <v>0</v>
      </c>
      <c r="BI286" s="98">
        <f t="shared" si="383"/>
        <v>0</v>
      </c>
      <c r="BJ286" s="98">
        <f t="shared" si="384"/>
        <v>0</v>
      </c>
      <c r="BK286" s="98">
        <f t="shared" si="385"/>
        <v>205.95093749999995</v>
      </c>
      <c r="BL286" s="98">
        <f t="shared" si="417"/>
        <v>0</v>
      </c>
      <c r="BM286" s="98">
        <f t="shared" si="386"/>
        <v>0</v>
      </c>
      <c r="BN286" s="98">
        <f t="shared" si="387"/>
        <v>3237.0910687499995</v>
      </c>
      <c r="BO286" s="98">
        <f t="shared" si="418"/>
        <v>0</v>
      </c>
      <c r="BP286" s="98">
        <f t="shared" si="388"/>
        <v>0</v>
      </c>
      <c r="BQ286" s="98">
        <f t="shared" si="419"/>
        <v>0</v>
      </c>
      <c r="BR286" s="98">
        <f t="shared" si="389"/>
        <v>0</v>
      </c>
    </row>
    <row r="287" spans="1:156" x14ac:dyDescent="0.25">
      <c r="A287" t="s">
        <v>58</v>
      </c>
      <c r="B287" t="s">
        <v>13</v>
      </c>
      <c r="C287">
        <v>2026</v>
      </c>
      <c r="D287" s="98">
        <f>INDEX('Reference Sheet'!$G$9:$J$100, MATCH(A287,'Reference Sheet'!$F$9:$F$100,0), MATCH(C287,'Reference Sheet'!$G$8:$J$8,0))/2080</f>
        <v>37.019230769230766</v>
      </c>
      <c r="E287" s="99">
        <f>VLOOKUP(C287,'Reference Sheet'!$A$2:$B$5,2)</f>
        <v>0.23630000000000001</v>
      </c>
      <c r="F287" s="98">
        <f t="shared" si="372"/>
        <v>45.766874999999992</v>
      </c>
      <c r="G287" s="98"/>
      <c r="H287" s="98"/>
      <c r="I287" s="32"/>
      <c r="J287" s="32"/>
      <c r="K287" s="32"/>
      <c r="L287" s="32"/>
      <c r="M287" s="32">
        <v>0.5</v>
      </c>
      <c r="N287" s="32"/>
      <c r="O287" s="32"/>
      <c r="P287" s="32"/>
      <c r="Q287" s="32"/>
      <c r="R287" s="32"/>
      <c r="S287" s="32">
        <v>11.75</v>
      </c>
      <c r="T287" s="32"/>
      <c r="U287" s="32"/>
      <c r="V287" s="32"/>
      <c r="W287" s="32"/>
      <c r="X287" s="32"/>
      <c r="Y287" s="32"/>
      <c r="Z287" s="32"/>
      <c r="AA287" s="98">
        <f t="shared" si="408"/>
        <v>12.25</v>
      </c>
      <c r="AB287" s="98">
        <f t="shared" si="373"/>
        <v>12.25</v>
      </c>
      <c r="AC287" s="98">
        <f t="shared" si="374"/>
        <v>0</v>
      </c>
      <c r="AD287" s="100">
        <f t="shared" si="420"/>
        <v>0</v>
      </c>
      <c r="AE287" s="100">
        <f t="shared" si="421"/>
        <v>0</v>
      </c>
      <c r="AF287" s="100">
        <f t="shared" si="422"/>
        <v>0</v>
      </c>
      <c r="AG287" s="100">
        <f t="shared" si="423"/>
        <v>0</v>
      </c>
      <c r="AH287" s="100">
        <f t="shared" si="424"/>
        <v>0</v>
      </c>
      <c r="AI287" s="100">
        <f t="shared" si="425"/>
        <v>0</v>
      </c>
      <c r="AJ287" s="100">
        <f t="shared" si="426"/>
        <v>0.49999999999999994</v>
      </c>
      <c r="AK287" s="100">
        <f t="shared" si="427"/>
        <v>0</v>
      </c>
      <c r="AL287" s="100">
        <f t="shared" si="409"/>
        <v>0</v>
      </c>
      <c r="AM287" s="100">
        <f t="shared" si="428"/>
        <v>0</v>
      </c>
      <c r="AN287" s="100">
        <f t="shared" si="429"/>
        <v>0</v>
      </c>
      <c r="AO287" s="100">
        <f t="shared" si="430"/>
        <v>0</v>
      </c>
      <c r="AP287" s="100">
        <f t="shared" si="431"/>
        <v>11.75</v>
      </c>
      <c r="AQ287" s="100">
        <f t="shared" si="432"/>
        <v>0</v>
      </c>
      <c r="AR287" s="100">
        <f t="shared" si="433"/>
        <v>0</v>
      </c>
      <c r="AS287" s="100">
        <f t="shared" si="434"/>
        <v>0</v>
      </c>
      <c r="AT287" s="100">
        <f t="shared" si="410"/>
        <v>0</v>
      </c>
      <c r="AU287" s="100">
        <f t="shared" si="375"/>
        <v>0</v>
      </c>
      <c r="AV287" s="100">
        <f t="shared" si="411"/>
        <v>0</v>
      </c>
      <c r="AW287" s="100">
        <f t="shared" si="376"/>
        <v>0</v>
      </c>
      <c r="AX287">
        <f t="shared" si="377"/>
        <v>12.25</v>
      </c>
      <c r="AY287" s="98">
        <f t="shared" si="412"/>
        <v>0</v>
      </c>
      <c r="AZ287" s="98">
        <f t="shared" si="413"/>
        <v>0</v>
      </c>
      <c r="BA287" s="98">
        <f t="shared" si="378"/>
        <v>0</v>
      </c>
      <c r="BB287" s="98">
        <f t="shared" si="414"/>
        <v>0</v>
      </c>
      <c r="BC287" s="98">
        <f t="shared" si="379"/>
        <v>0</v>
      </c>
      <c r="BD287" s="98">
        <f t="shared" si="380"/>
        <v>0</v>
      </c>
      <c r="BE287" s="98">
        <f t="shared" si="381"/>
        <v>22.883437499999992</v>
      </c>
      <c r="BF287" s="98">
        <f t="shared" si="415"/>
        <v>0</v>
      </c>
      <c r="BG287" s="98">
        <f t="shared" si="416"/>
        <v>0</v>
      </c>
      <c r="BH287" s="98">
        <f t="shared" si="382"/>
        <v>0</v>
      </c>
      <c r="BI287" s="98">
        <f t="shared" si="383"/>
        <v>0</v>
      </c>
      <c r="BJ287" s="98">
        <f t="shared" si="384"/>
        <v>0</v>
      </c>
      <c r="BK287" s="98">
        <f t="shared" si="385"/>
        <v>537.76078124999992</v>
      </c>
      <c r="BL287" s="98">
        <f t="shared" si="417"/>
        <v>0</v>
      </c>
      <c r="BM287" s="98">
        <f t="shared" si="386"/>
        <v>0</v>
      </c>
      <c r="BN287" s="98">
        <f t="shared" si="387"/>
        <v>0</v>
      </c>
      <c r="BO287" s="98">
        <f t="shared" si="418"/>
        <v>0</v>
      </c>
      <c r="BP287" s="98">
        <f t="shared" si="388"/>
        <v>0</v>
      </c>
      <c r="BQ287" s="98">
        <f t="shared" si="419"/>
        <v>0</v>
      </c>
      <c r="BR287" s="98">
        <f t="shared" si="389"/>
        <v>0</v>
      </c>
    </row>
    <row r="288" spans="1:156" x14ac:dyDescent="0.25">
      <c r="A288" t="s">
        <v>152</v>
      </c>
      <c r="B288" t="s">
        <v>17</v>
      </c>
      <c r="C288">
        <v>2025</v>
      </c>
      <c r="D288" s="98">
        <f>INDEX('Reference Sheet'!$G$9:$J$100, MATCH(A288,'Reference Sheet'!$F$9:$F$100,0), MATCH(C288,'Reference Sheet'!$G$8:$J$8,0))/2080</f>
        <v>29.438461538461539</v>
      </c>
      <c r="E288" s="99">
        <f>VLOOKUP(C288,'Reference Sheet'!$A$2:$B$5,2)</f>
        <v>0.22450000000000001</v>
      </c>
      <c r="F288" s="98">
        <f t="shared" ref="F288:F323" si="435">D288*(1+E288)</f>
        <v>36.047396153846151</v>
      </c>
      <c r="G288" s="124"/>
      <c r="H288" s="124"/>
      <c r="I288" s="124"/>
      <c r="J288" s="124"/>
      <c r="K288" s="124"/>
      <c r="L288" s="124"/>
      <c r="M288" s="124"/>
      <c r="N288" s="124"/>
      <c r="O288" s="124"/>
      <c r="P288" s="124"/>
      <c r="Q288" s="124"/>
      <c r="R288" s="124"/>
      <c r="S288" s="124"/>
      <c r="T288" s="124">
        <v>100</v>
      </c>
      <c r="U288" s="124"/>
      <c r="V288" s="124"/>
      <c r="W288" s="124"/>
      <c r="X288" s="124"/>
      <c r="Y288" s="124"/>
      <c r="Z288" s="124"/>
      <c r="AA288" s="98">
        <f t="shared" si="408"/>
        <v>100</v>
      </c>
      <c r="AB288" s="124">
        <v>100</v>
      </c>
      <c r="AC288" s="98">
        <f t="shared" ref="AC288:AC323" si="436">AB288-AA288</f>
        <v>0</v>
      </c>
      <c r="AD288" s="100">
        <f t="shared" ref="AD288:AD323" si="437">(G288/$AA288)*$AB288</f>
        <v>0</v>
      </c>
      <c r="AE288" s="100">
        <f t="shared" ref="AE288:AE323" si="438">(H288/$AA288)*$AB288</f>
        <v>0</v>
      </c>
      <c r="AF288" s="100">
        <f t="shared" ref="AF288:AF323" si="439">(I288/$AA288)*$AB288</f>
        <v>0</v>
      </c>
      <c r="AG288" s="100">
        <f t="shared" ref="AG288:AG323" si="440">(J288/$AA288)*$AB288</f>
        <v>0</v>
      </c>
      <c r="AH288" s="100">
        <f t="shared" ref="AH288:AH323" si="441">(K288/$AA288)*$AB288</f>
        <v>0</v>
      </c>
      <c r="AI288" s="100">
        <f t="shared" ref="AI288:AI323" si="442">(L288/$AA288)*$AB288</f>
        <v>0</v>
      </c>
      <c r="AJ288" s="100">
        <f t="shared" ref="AJ288:AJ323" si="443">(M288/$AA288)*$AB288</f>
        <v>0</v>
      </c>
      <c r="AK288" s="100">
        <f t="shared" ref="AK288:AK323" si="444">(N288/$AA288)*$AB288</f>
        <v>0</v>
      </c>
      <c r="AL288" s="100">
        <f t="shared" ref="AL288:AL323" si="445">(O288/$AA288)*$AB288</f>
        <v>0</v>
      </c>
      <c r="AM288" s="100">
        <f t="shared" ref="AM288:AM323" si="446">(P288/$AA288)*$AB288</f>
        <v>0</v>
      </c>
      <c r="AN288" s="100">
        <f t="shared" ref="AN288:AN323" si="447">(Q288/$AA288)*$AB288</f>
        <v>0</v>
      </c>
      <c r="AO288" s="100">
        <f t="shared" ref="AO288:AO323" si="448">(R288/$AA288)*$AB288</f>
        <v>0</v>
      </c>
      <c r="AP288" s="100">
        <f t="shared" ref="AP288:AP323" si="449">(S288/$AA288)*$AB288</f>
        <v>0</v>
      </c>
      <c r="AQ288" s="100">
        <f t="shared" ref="AQ288:AQ323" si="450">(T288/$AA288)*$AB288</f>
        <v>100</v>
      </c>
      <c r="AR288" s="100">
        <f t="shared" ref="AR288:AR323" si="451">(U288/$AA288)*$AB288</f>
        <v>0</v>
      </c>
      <c r="AS288" s="100">
        <f t="shared" ref="AS288:AS323" si="452">(V288/$AA288)*$AB288</f>
        <v>0</v>
      </c>
      <c r="AT288" s="100">
        <f t="shared" ref="AT288:AT323" si="453">(W288/$AA288)*$AB288</f>
        <v>0</v>
      </c>
      <c r="AU288" s="100">
        <f t="shared" ref="AU288:AU323" si="454">(X288/$AA288)*$AB288</f>
        <v>0</v>
      </c>
      <c r="AV288" s="100">
        <f t="shared" ref="AV288:AV323" si="455">(Y288/$AA288)*$AB288</f>
        <v>0</v>
      </c>
      <c r="AW288" s="100">
        <f t="shared" ref="AW288:AW323" si="456">(Z288/$AA288)*$AB288</f>
        <v>0</v>
      </c>
      <c r="AX288">
        <f t="shared" ref="AX288:AX323" si="457">SUM(AF288:AW288)</f>
        <v>100</v>
      </c>
      <c r="AY288" s="98">
        <f t="shared" ref="AY288:AY323" si="458">$F288*AD288</f>
        <v>0</v>
      </c>
      <c r="AZ288" s="98">
        <f t="shared" ref="AZ288:AZ323" si="459">$F288*AE288</f>
        <v>0</v>
      </c>
      <c r="BA288" s="98">
        <f t="shared" ref="BA288:BA323" si="460">$F288*AF288</f>
        <v>0</v>
      </c>
      <c r="BB288" s="98">
        <f t="shared" ref="BB288:BB323" si="461">$F288*AG288</f>
        <v>0</v>
      </c>
      <c r="BC288" s="98">
        <f t="shared" ref="BC288:BC323" si="462">$F288*AH288</f>
        <v>0</v>
      </c>
      <c r="BD288" s="98">
        <f t="shared" ref="BD288:BD323" si="463">$F288*AI288</f>
        <v>0</v>
      </c>
      <c r="BE288" s="98">
        <f t="shared" ref="BE288:BE323" si="464">$F288*AJ288</f>
        <v>0</v>
      </c>
      <c r="BF288" s="98">
        <f t="shared" ref="BF288:BF323" si="465">$F288*AK288</f>
        <v>0</v>
      </c>
      <c r="BG288" s="98">
        <f t="shared" ref="BG288:BG323" si="466">$F288*AL288</f>
        <v>0</v>
      </c>
      <c r="BH288" s="98">
        <f t="shared" ref="BH288:BH323" si="467">$F288*AM288</f>
        <v>0</v>
      </c>
      <c r="BI288" s="98">
        <f t="shared" ref="BI288:BI323" si="468">$F288*AN288</f>
        <v>0</v>
      </c>
      <c r="BJ288" s="98">
        <f t="shared" ref="BJ288:BJ323" si="469">$F288*AO288</f>
        <v>0</v>
      </c>
      <c r="BK288" s="98">
        <f t="shared" ref="BK288:BK323" si="470">$F288*AP288</f>
        <v>0</v>
      </c>
      <c r="BL288" s="98">
        <f t="shared" ref="BL288:BL323" si="471">$F288*AQ288</f>
        <v>3604.7396153846153</v>
      </c>
      <c r="BM288" s="98">
        <f t="shared" ref="BM288:BM323" si="472">$F288*AR288</f>
        <v>0</v>
      </c>
      <c r="BN288" s="98">
        <f t="shared" ref="BN288:BN323" si="473">$F288*AS288</f>
        <v>0</v>
      </c>
      <c r="BO288" s="98">
        <f t="shared" ref="BO288:BO323" si="474">$F288*AT288</f>
        <v>0</v>
      </c>
      <c r="BP288" s="98">
        <f t="shared" ref="BP288:BP323" si="475">$F288*AU288</f>
        <v>0</v>
      </c>
      <c r="BQ288" s="98">
        <f t="shared" ref="BQ288:BQ323" si="476">$F288*AV288</f>
        <v>0</v>
      </c>
      <c r="BR288" s="98">
        <f t="shared" ref="BR288:BR323" si="477">$F288*AW288</f>
        <v>0</v>
      </c>
      <c r="BS288" s="124"/>
      <c r="BT288" s="124"/>
      <c r="BU288" s="124"/>
      <c r="BV288" s="124"/>
      <c r="BW288" s="124"/>
      <c r="BX288" s="124"/>
      <c r="BY288" s="124"/>
      <c r="BZ288" s="124"/>
      <c r="CA288" s="124"/>
      <c r="CB288" s="124"/>
      <c r="CC288" s="124"/>
      <c r="CD288" s="124"/>
      <c r="CE288" s="124"/>
      <c r="CF288" s="124"/>
      <c r="CG288" s="124"/>
      <c r="CH288" s="124"/>
      <c r="CI288" s="124"/>
      <c r="CJ288" s="124"/>
      <c r="CK288" s="124"/>
      <c r="CL288" s="124"/>
      <c r="CM288" s="124"/>
      <c r="CN288" s="124"/>
      <c r="CO288" s="124"/>
      <c r="CP288" s="124"/>
      <c r="CQ288" s="124"/>
      <c r="CR288" s="124"/>
      <c r="CS288" s="124"/>
      <c r="CT288" s="124"/>
      <c r="CU288" s="124"/>
      <c r="CV288" s="124"/>
      <c r="CW288" s="124"/>
      <c r="CX288" s="124"/>
      <c r="CY288" s="124"/>
      <c r="CZ288" s="124"/>
      <c r="DA288" s="124"/>
      <c r="DB288" s="124"/>
      <c r="DC288" s="124"/>
      <c r="DD288" s="124"/>
      <c r="DE288" s="124"/>
      <c r="DF288" s="124"/>
      <c r="DG288" s="124"/>
      <c r="DH288" s="124"/>
      <c r="DI288" s="124"/>
      <c r="DJ288" s="124"/>
      <c r="DK288" s="124"/>
      <c r="DL288" s="124"/>
      <c r="DM288" s="124"/>
      <c r="DN288" s="124"/>
      <c r="DO288" s="124"/>
      <c r="DP288" s="124"/>
      <c r="DQ288" s="124"/>
      <c r="DR288" s="124"/>
      <c r="DS288" s="124"/>
      <c r="DT288" s="124"/>
      <c r="DU288" s="124"/>
      <c r="DV288" s="124"/>
      <c r="DW288" s="124"/>
      <c r="DX288" s="124"/>
      <c r="DY288" s="124"/>
      <c r="DZ288" s="124"/>
      <c r="EA288" s="124"/>
      <c r="EB288" s="124"/>
      <c r="EC288" s="124"/>
      <c r="ED288" s="124"/>
      <c r="EE288" s="124"/>
      <c r="EF288" s="124"/>
      <c r="EG288" s="124"/>
      <c r="EH288" s="124"/>
      <c r="EI288" s="124"/>
      <c r="EJ288" s="124"/>
      <c r="EK288" s="124"/>
      <c r="EL288" s="124"/>
      <c r="EM288" s="124"/>
      <c r="EN288" s="124"/>
      <c r="EO288" s="124"/>
      <c r="EP288" s="124"/>
      <c r="EQ288" s="124"/>
      <c r="ER288" s="124"/>
      <c r="ES288" s="124"/>
      <c r="ET288" s="124"/>
      <c r="EU288" s="124"/>
      <c r="EV288" s="124"/>
      <c r="EW288" s="124"/>
      <c r="EX288" s="124"/>
      <c r="EY288" s="124"/>
      <c r="EZ288" s="124"/>
    </row>
    <row r="289" spans="1:156" x14ac:dyDescent="0.25">
      <c r="A289" t="s">
        <v>153</v>
      </c>
      <c r="B289" t="s">
        <v>17</v>
      </c>
      <c r="C289">
        <v>2025</v>
      </c>
      <c r="D289" s="98">
        <f>INDEX('Reference Sheet'!$G$9:$J$100, MATCH(A289,'Reference Sheet'!$F$9:$F$100,0), MATCH(C289,'Reference Sheet'!$G$8:$J$8,0))/2080</f>
        <v>5.1948846153846153</v>
      </c>
      <c r="E289" s="99">
        <f>VLOOKUP(C289,'Reference Sheet'!$A$2:$B$5,2)</f>
        <v>0.22450000000000001</v>
      </c>
      <c r="F289" s="98">
        <f t="shared" si="435"/>
        <v>6.3611362115384606</v>
      </c>
      <c r="G289" s="124"/>
      <c r="H289" s="124"/>
      <c r="I289" s="124"/>
      <c r="J289" s="124"/>
      <c r="K289" s="124"/>
      <c r="L289" s="124"/>
      <c r="M289" s="124"/>
      <c r="N289" s="124">
        <v>100</v>
      </c>
      <c r="O289" s="124"/>
      <c r="P289" s="124"/>
      <c r="Q289" s="124"/>
      <c r="R289" s="124"/>
      <c r="S289" s="124"/>
      <c r="T289" s="124"/>
      <c r="U289" s="124"/>
      <c r="V289" s="124"/>
      <c r="W289" s="124"/>
      <c r="X289" s="124"/>
      <c r="Y289" s="124"/>
      <c r="Z289" s="124"/>
      <c r="AA289" s="98">
        <f t="shared" si="408"/>
        <v>100</v>
      </c>
      <c r="AB289" s="124">
        <v>100</v>
      </c>
      <c r="AC289" s="98">
        <f t="shared" si="436"/>
        <v>0</v>
      </c>
      <c r="AD289" s="100">
        <f t="shared" si="437"/>
        <v>0</v>
      </c>
      <c r="AE289" s="100">
        <f t="shared" si="438"/>
        <v>0</v>
      </c>
      <c r="AF289" s="100">
        <f t="shared" si="439"/>
        <v>0</v>
      </c>
      <c r="AG289" s="100">
        <f t="shared" si="440"/>
        <v>0</v>
      </c>
      <c r="AH289" s="100">
        <f t="shared" si="441"/>
        <v>0</v>
      </c>
      <c r="AI289" s="100">
        <f t="shared" si="442"/>
        <v>0</v>
      </c>
      <c r="AJ289" s="100">
        <f t="shared" si="443"/>
        <v>0</v>
      </c>
      <c r="AK289" s="100">
        <f t="shared" si="444"/>
        <v>100</v>
      </c>
      <c r="AL289" s="100">
        <f t="shared" si="445"/>
        <v>0</v>
      </c>
      <c r="AM289" s="100">
        <f t="shared" si="446"/>
        <v>0</v>
      </c>
      <c r="AN289" s="100">
        <f t="shared" si="447"/>
        <v>0</v>
      </c>
      <c r="AO289" s="100">
        <f t="shared" si="448"/>
        <v>0</v>
      </c>
      <c r="AP289" s="100">
        <f t="shared" si="449"/>
        <v>0</v>
      </c>
      <c r="AQ289" s="100">
        <f t="shared" si="450"/>
        <v>0</v>
      </c>
      <c r="AR289" s="100">
        <f t="shared" si="451"/>
        <v>0</v>
      </c>
      <c r="AS289" s="100">
        <f t="shared" si="452"/>
        <v>0</v>
      </c>
      <c r="AT289" s="100">
        <f t="shared" si="453"/>
        <v>0</v>
      </c>
      <c r="AU289" s="100">
        <f t="shared" si="454"/>
        <v>0</v>
      </c>
      <c r="AV289" s="100">
        <f t="shared" si="455"/>
        <v>0</v>
      </c>
      <c r="AW289" s="100">
        <f t="shared" si="456"/>
        <v>0</v>
      </c>
      <c r="AX289">
        <f t="shared" si="457"/>
        <v>100</v>
      </c>
      <c r="AY289" s="98">
        <f t="shared" si="458"/>
        <v>0</v>
      </c>
      <c r="AZ289" s="98">
        <f t="shared" si="459"/>
        <v>0</v>
      </c>
      <c r="BA289" s="98">
        <f t="shared" si="460"/>
        <v>0</v>
      </c>
      <c r="BB289" s="98">
        <f t="shared" si="461"/>
        <v>0</v>
      </c>
      <c r="BC289" s="98">
        <f t="shared" si="462"/>
        <v>0</v>
      </c>
      <c r="BD289" s="98">
        <f t="shared" si="463"/>
        <v>0</v>
      </c>
      <c r="BE289" s="98">
        <f t="shared" si="464"/>
        <v>0</v>
      </c>
      <c r="BF289" s="98">
        <f t="shared" si="465"/>
        <v>636.11362115384611</v>
      </c>
      <c r="BG289" s="98">
        <f t="shared" si="466"/>
        <v>0</v>
      </c>
      <c r="BH289" s="98">
        <f t="shared" si="467"/>
        <v>0</v>
      </c>
      <c r="BI289" s="98">
        <f t="shared" si="468"/>
        <v>0</v>
      </c>
      <c r="BJ289" s="98">
        <f t="shared" si="469"/>
        <v>0</v>
      </c>
      <c r="BK289" s="98">
        <f t="shared" si="470"/>
        <v>0</v>
      </c>
      <c r="BL289" s="98">
        <f t="shared" si="471"/>
        <v>0</v>
      </c>
      <c r="BM289" s="98">
        <f t="shared" si="472"/>
        <v>0</v>
      </c>
      <c r="BN289" s="98">
        <f t="shared" si="473"/>
        <v>0</v>
      </c>
      <c r="BO289" s="98">
        <f t="shared" si="474"/>
        <v>0</v>
      </c>
      <c r="BP289" s="98">
        <f t="shared" si="475"/>
        <v>0</v>
      </c>
      <c r="BQ289" s="98">
        <f t="shared" si="476"/>
        <v>0</v>
      </c>
      <c r="BR289" s="98">
        <f t="shared" si="477"/>
        <v>0</v>
      </c>
      <c r="BS289" s="124"/>
      <c r="BT289" s="124"/>
      <c r="BU289" s="124"/>
      <c r="BV289" s="124"/>
      <c r="BW289" s="124"/>
      <c r="BX289" s="124"/>
      <c r="BY289" s="124"/>
      <c r="BZ289" s="124"/>
      <c r="CA289" s="124"/>
      <c r="CB289" s="124"/>
      <c r="CC289" s="124"/>
      <c r="CD289" s="124"/>
      <c r="CE289" s="124"/>
      <c r="CF289" s="124"/>
      <c r="CG289" s="124"/>
      <c r="CH289" s="124"/>
      <c r="CI289" s="124"/>
      <c r="CJ289" s="124"/>
      <c r="CK289" s="124"/>
      <c r="CL289" s="124"/>
      <c r="CM289" s="124"/>
      <c r="CN289" s="124"/>
      <c r="CO289" s="124"/>
      <c r="CP289" s="124"/>
      <c r="CQ289" s="124"/>
      <c r="CR289" s="124"/>
      <c r="CS289" s="124"/>
      <c r="CT289" s="124"/>
      <c r="CU289" s="124"/>
      <c r="CV289" s="124"/>
      <c r="CW289" s="124"/>
      <c r="CX289" s="124"/>
      <c r="CY289" s="124"/>
      <c r="CZ289" s="124"/>
      <c r="DA289" s="124"/>
      <c r="DB289" s="124"/>
      <c r="DC289" s="124"/>
      <c r="DD289" s="124"/>
      <c r="DE289" s="124"/>
      <c r="DF289" s="124"/>
      <c r="DG289" s="124"/>
      <c r="DH289" s="124"/>
      <c r="DI289" s="124"/>
      <c r="DJ289" s="124"/>
      <c r="DK289" s="124"/>
      <c r="DL289" s="124"/>
      <c r="DM289" s="124"/>
      <c r="DN289" s="124"/>
      <c r="DO289" s="124"/>
      <c r="DP289" s="124"/>
      <c r="DQ289" s="124"/>
      <c r="DR289" s="124"/>
      <c r="DS289" s="124"/>
      <c r="DT289" s="124"/>
      <c r="DU289" s="124"/>
      <c r="DV289" s="124"/>
      <c r="DW289" s="124"/>
      <c r="DX289" s="124"/>
      <c r="DY289" s="124"/>
      <c r="DZ289" s="124"/>
      <c r="EA289" s="124"/>
      <c r="EB289" s="124"/>
      <c r="EC289" s="124"/>
      <c r="ED289" s="124"/>
      <c r="EE289" s="124"/>
      <c r="EF289" s="124"/>
      <c r="EG289" s="124"/>
      <c r="EH289" s="124"/>
      <c r="EI289" s="124"/>
      <c r="EJ289" s="124"/>
      <c r="EK289" s="124"/>
      <c r="EL289" s="124"/>
      <c r="EM289" s="124"/>
      <c r="EN289" s="124"/>
      <c r="EO289" s="124"/>
      <c r="EP289" s="124"/>
      <c r="EQ289" s="124"/>
      <c r="ER289" s="124"/>
      <c r="ES289" s="124"/>
      <c r="ET289" s="124"/>
      <c r="EU289" s="124"/>
      <c r="EV289" s="124"/>
      <c r="EW289" s="124"/>
      <c r="EX289" s="124"/>
      <c r="EY289" s="124"/>
      <c r="EZ289" s="124"/>
    </row>
    <row r="290" spans="1:156" x14ac:dyDescent="0.25">
      <c r="A290" t="s">
        <v>154</v>
      </c>
      <c r="B290" t="s">
        <v>17</v>
      </c>
      <c r="C290">
        <v>2025</v>
      </c>
      <c r="D290" s="98">
        <f>INDEX('Reference Sheet'!$G$9:$J$100, MATCH(A290,'Reference Sheet'!$F$9:$F$100,0), MATCH(C290,'Reference Sheet'!$G$8:$J$8,0))/2080</f>
        <v>1.1597596153846155</v>
      </c>
      <c r="E290" s="99">
        <f>VLOOKUP(C290,'Reference Sheet'!$A$2:$B$5,2)</f>
        <v>0.22450000000000001</v>
      </c>
      <c r="F290" s="98">
        <f t="shared" si="435"/>
        <v>1.4201256490384615</v>
      </c>
      <c r="G290" s="124"/>
      <c r="H290" s="124"/>
      <c r="I290" s="124"/>
      <c r="J290" s="124"/>
      <c r="K290" s="124"/>
      <c r="L290" s="124"/>
      <c r="M290" s="124"/>
      <c r="N290" s="124">
        <v>100</v>
      </c>
      <c r="O290" s="124"/>
      <c r="P290" s="124"/>
      <c r="Q290" s="124"/>
      <c r="R290" s="124"/>
      <c r="S290" s="124"/>
      <c r="T290" s="124"/>
      <c r="U290" s="124"/>
      <c r="V290" s="124"/>
      <c r="W290" s="124"/>
      <c r="X290" s="124"/>
      <c r="Y290" s="124"/>
      <c r="Z290" s="124"/>
      <c r="AA290" s="98">
        <f t="shared" si="408"/>
        <v>100</v>
      </c>
      <c r="AB290" s="124">
        <v>100</v>
      </c>
      <c r="AC290" s="98">
        <f t="shared" si="436"/>
        <v>0</v>
      </c>
      <c r="AD290" s="100">
        <f t="shared" si="437"/>
        <v>0</v>
      </c>
      <c r="AE290" s="100">
        <f t="shared" si="438"/>
        <v>0</v>
      </c>
      <c r="AF290" s="100">
        <f t="shared" si="439"/>
        <v>0</v>
      </c>
      <c r="AG290" s="100">
        <f t="shared" si="440"/>
        <v>0</v>
      </c>
      <c r="AH290" s="100">
        <f t="shared" si="441"/>
        <v>0</v>
      </c>
      <c r="AI290" s="100">
        <f t="shared" si="442"/>
        <v>0</v>
      </c>
      <c r="AJ290" s="100">
        <f t="shared" si="443"/>
        <v>0</v>
      </c>
      <c r="AK290" s="100">
        <f t="shared" si="444"/>
        <v>100</v>
      </c>
      <c r="AL290" s="100">
        <f t="shared" si="445"/>
        <v>0</v>
      </c>
      <c r="AM290" s="100">
        <f t="shared" si="446"/>
        <v>0</v>
      </c>
      <c r="AN290" s="100">
        <f t="shared" si="447"/>
        <v>0</v>
      </c>
      <c r="AO290" s="100">
        <f t="shared" si="448"/>
        <v>0</v>
      </c>
      <c r="AP290" s="100">
        <f t="shared" si="449"/>
        <v>0</v>
      </c>
      <c r="AQ290" s="100">
        <f t="shared" si="450"/>
        <v>0</v>
      </c>
      <c r="AR290" s="100">
        <f t="shared" si="451"/>
        <v>0</v>
      </c>
      <c r="AS290" s="100">
        <f t="shared" si="452"/>
        <v>0</v>
      </c>
      <c r="AT290" s="100">
        <f t="shared" si="453"/>
        <v>0</v>
      </c>
      <c r="AU290" s="100">
        <f t="shared" si="454"/>
        <v>0</v>
      </c>
      <c r="AV290" s="100">
        <f t="shared" si="455"/>
        <v>0</v>
      </c>
      <c r="AW290" s="100">
        <f t="shared" si="456"/>
        <v>0</v>
      </c>
      <c r="AX290">
        <f t="shared" si="457"/>
        <v>100</v>
      </c>
      <c r="AY290" s="98">
        <f t="shared" si="458"/>
        <v>0</v>
      </c>
      <c r="AZ290" s="98">
        <f t="shared" si="459"/>
        <v>0</v>
      </c>
      <c r="BA290" s="98">
        <f t="shared" si="460"/>
        <v>0</v>
      </c>
      <c r="BB290" s="98">
        <f t="shared" si="461"/>
        <v>0</v>
      </c>
      <c r="BC290" s="98">
        <f t="shared" si="462"/>
        <v>0</v>
      </c>
      <c r="BD290" s="98">
        <f t="shared" si="463"/>
        <v>0</v>
      </c>
      <c r="BE290" s="98">
        <f t="shared" si="464"/>
        <v>0</v>
      </c>
      <c r="BF290" s="98">
        <f t="shared" si="465"/>
        <v>142.01256490384614</v>
      </c>
      <c r="BG290" s="98">
        <f t="shared" si="466"/>
        <v>0</v>
      </c>
      <c r="BH290" s="98">
        <f t="shared" si="467"/>
        <v>0</v>
      </c>
      <c r="BI290" s="98">
        <f t="shared" si="468"/>
        <v>0</v>
      </c>
      <c r="BJ290" s="98">
        <f t="shared" si="469"/>
        <v>0</v>
      </c>
      <c r="BK290" s="98">
        <f t="shared" si="470"/>
        <v>0</v>
      </c>
      <c r="BL290" s="98">
        <f t="shared" si="471"/>
        <v>0</v>
      </c>
      <c r="BM290" s="98">
        <f t="shared" si="472"/>
        <v>0</v>
      </c>
      <c r="BN290" s="98">
        <f t="shared" si="473"/>
        <v>0</v>
      </c>
      <c r="BO290" s="98">
        <f t="shared" si="474"/>
        <v>0</v>
      </c>
      <c r="BP290" s="98">
        <f t="shared" si="475"/>
        <v>0</v>
      </c>
      <c r="BQ290" s="98">
        <f t="shared" si="476"/>
        <v>0</v>
      </c>
      <c r="BR290" s="98">
        <f t="shared" si="477"/>
        <v>0</v>
      </c>
      <c r="BS290" s="124"/>
      <c r="BT290" s="124"/>
      <c r="BU290" s="124"/>
      <c r="BV290" s="124"/>
      <c r="BW290" s="124"/>
      <c r="BX290" s="124"/>
      <c r="BY290" s="124"/>
      <c r="BZ290" s="124"/>
      <c r="CA290" s="124"/>
      <c r="CB290" s="124"/>
      <c r="CC290" s="124"/>
      <c r="CD290" s="124"/>
      <c r="CE290" s="124"/>
      <c r="CF290" s="124"/>
      <c r="CG290" s="124"/>
      <c r="CH290" s="124"/>
      <c r="CI290" s="124"/>
      <c r="CJ290" s="124"/>
      <c r="CK290" s="124"/>
      <c r="CL290" s="124"/>
      <c r="CM290" s="124"/>
      <c r="CN290" s="124"/>
      <c r="CO290" s="124"/>
      <c r="CP290" s="124"/>
      <c r="CQ290" s="124"/>
      <c r="CR290" s="124"/>
      <c r="CS290" s="124"/>
      <c r="CT290" s="124"/>
      <c r="CU290" s="124"/>
      <c r="CV290" s="124"/>
      <c r="CW290" s="124"/>
      <c r="CX290" s="124"/>
      <c r="CY290" s="124"/>
      <c r="CZ290" s="124"/>
      <c r="DA290" s="124"/>
      <c r="DB290" s="124"/>
      <c r="DC290" s="124"/>
      <c r="DD290" s="124"/>
      <c r="DE290" s="124"/>
      <c r="DF290" s="124"/>
      <c r="DG290" s="124"/>
      <c r="DH290" s="124"/>
      <c r="DI290" s="124"/>
      <c r="DJ290" s="124"/>
      <c r="DK290" s="124"/>
      <c r="DL290" s="124"/>
      <c r="DM290" s="124"/>
      <c r="DN290" s="124"/>
      <c r="DO290" s="124"/>
      <c r="DP290" s="124"/>
      <c r="DQ290" s="124"/>
      <c r="DR290" s="124"/>
      <c r="DS290" s="124"/>
      <c r="DT290" s="124"/>
      <c r="DU290" s="124"/>
      <c r="DV290" s="124"/>
      <c r="DW290" s="124"/>
      <c r="DX290" s="124"/>
      <c r="DY290" s="124"/>
      <c r="DZ290" s="124"/>
      <c r="EA290" s="124"/>
      <c r="EB290" s="124"/>
      <c r="EC290" s="124"/>
      <c r="ED290" s="124"/>
      <c r="EE290" s="124"/>
      <c r="EF290" s="124"/>
      <c r="EG290" s="124"/>
      <c r="EH290" s="124"/>
      <c r="EI290" s="124"/>
      <c r="EJ290" s="124"/>
      <c r="EK290" s="124"/>
      <c r="EL290" s="124"/>
      <c r="EM290" s="124"/>
      <c r="EN290" s="124"/>
      <c r="EO290" s="124"/>
      <c r="EP290" s="124"/>
      <c r="EQ290" s="124"/>
      <c r="ER290" s="124"/>
      <c r="ES290" s="124"/>
      <c r="ET290" s="124"/>
      <c r="EU290" s="124"/>
      <c r="EV290" s="124"/>
      <c r="EW290" s="124"/>
      <c r="EX290" s="124"/>
      <c r="EY290" s="124"/>
      <c r="EZ290" s="124"/>
    </row>
    <row r="291" spans="1:156" x14ac:dyDescent="0.25">
      <c r="A291" t="s">
        <v>155</v>
      </c>
      <c r="B291" t="s">
        <v>17</v>
      </c>
      <c r="C291">
        <v>2025</v>
      </c>
      <c r="D291" s="98">
        <f>INDEX('Reference Sheet'!$G$9:$J$100, MATCH(A291,'Reference Sheet'!$F$9:$F$100,0), MATCH(C291,'Reference Sheet'!$G$8:$J$8,0))/2080</f>
        <v>9.7502163461538469</v>
      </c>
      <c r="E291" s="99">
        <f>VLOOKUP(C291,'Reference Sheet'!$A$2:$B$5,2)</f>
        <v>0.22450000000000001</v>
      </c>
      <c r="F291" s="98">
        <f t="shared" si="435"/>
        <v>11.939139915865384</v>
      </c>
      <c r="G291" s="124"/>
      <c r="H291" s="124"/>
      <c r="I291" s="124"/>
      <c r="J291" s="124"/>
      <c r="K291" s="124"/>
      <c r="L291" s="124"/>
      <c r="M291" s="124"/>
      <c r="N291" s="124"/>
      <c r="O291" s="124"/>
      <c r="P291" s="124"/>
      <c r="Q291" s="124"/>
      <c r="R291" s="124"/>
      <c r="S291" s="124"/>
      <c r="T291" s="124"/>
      <c r="U291" s="124"/>
      <c r="V291" s="124"/>
      <c r="W291" s="124"/>
      <c r="X291" s="124"/>
      <c r="Y291" s="124">
        <v>100</v>
      </c>
      <c r="Z291" s="124"/>
      <c r="AA291" s="98">
        <f t="shared" si="408"/>
        <v>100</v>
      </c>
      <c r="AB291" s="124">
        <v>100</v>
      </c>
      <c r="AC291" s="98">
        <f t="shared" si="436"/>
        <v>0</v>
      </c>
      <c r="AD291" s="100">
        <f t="shared" si="437"/>
        <v>0</v>
      </c>
      <c r="AE291" s="100">
        <f t="shared" si="438"/>
        <v>0</v>
      </c>
      <c r="AF291" s="100">
        <f t="shared" si="439"/>
        <v>0</v>
      </c>
      <c r="AG291" s="100">
        <f t="shared" si="440"/>
        <v>0</v>
      </c>
      <c r="AH291" s="100">
        <f t="shared" si="441"/>
        <v>0</v>
      </c>
      <c r="AI291" s="100">
        <f t="shared" si="442"/>
        <v>0</v>
      </c>
      <c r="AJ291" s="100">
        <f t="shared" si="443"/>
        <v>0</v>
      </c>
      <c r="AK291" s="100">
        <f t="shared" si="444"/>
        <v>0</v>
      </c>
      <c r="AL291" s="100">
        <f t="shared" si="445"/>
        <v>0</v>
      </c>
      <c r="AM291" s="100">
        <f t="shared" si="446"/>
        <v>0</v>
      </c>
      <c r="AN291" s="100">
        <f t="shared" si="447"/>
        <v>0</v>
      </c>
      <c r="AO291" s="100">
        <f t="shared" si="448"/>
        <v>0</v>
      </c>
      <c r="AP291" s="100">
        <f t="shared" si="449"/>
        <v>0</v>
      </c>
      <c r="AQ291" s="100">
        <f t="shared" si="450"/>
        <v>0</v>
      </c>
      <c r="AR291" s="100">
        <f t="shared" si="451"/>
        <v>0</v>
      </c>
      <c r="AS291" s="100">
        <f t="shared" si="452"/>
        <v>0</v>
      </c>
      <c r="AT291" s="100">
        <f t="shared" si="453"/>
        <v>0</v>
      </c>
      <c r="AU291" s="100">
        <f t="shared" si="454"/>
        <v>0</v>
      </c>
      <c r="AV291" s="100">
        <f t="shared" si="455"/>
        <v>100</v>
      </c>
      <c r="AW291" s="100">
        <f t="shared" si="456"/>
        <v>0</v>
      </c>
      <c r="AX291">
        <f t="shared" si="457"/>
        <v>100</v>
      </c>
      <c r="AY291" s="98">
        <f t="shared" si="458"/>
        <v>0</v>
      </c>
      <c r="AZ291" s="98">
        <f t="shared" si="459"/>
        <v>0</v>
      </c>
      <c r="BA291" s="98">
        <f t="shared" si="460"/>
        <v>0</v>
      </c>
      <c r="BB291" s="98">
        <f t="shared" si="461"/>
        <v>0</v>
      </c>
      <c r="BC291" s="98">
        <f t="shared" si="462"/>
        <v>0</v>
      </c>
      <c r="BD291" s="98">
        <f t="shared" si="463"/>
        <v>0</v>
      </c>
      <c r="BE291" s="98">
        <f t="shared" si="464"/>
        <v>0</v>
      </c>
      <c r="BF291" s="98">
        <f t="shared" si="465"/>
        <v>0</v>
      </c>
      <c r="BG291" s="98">
        <f t="shared" si="466"/>
        <v>0</v>
      </c>
      <c r="BH291" s="98">
        <f t="shared" si="467"/>
        <v>0</v>
      </c>
      <c r="BI291" s="98">
        <f t="shared" si="468"/>
        <v>0</v>
      </c>
      <c r="BJ291" s="98">
        <f t="shared" si="469"/>
        <v>0</v>
      </c>
      <c r="BK291" s="98">
        <f t="shared" si="470"/>
        <v>0</v>
      </c>
      <c r="BL291" s="98">
        <f t="shared" si="471"/>
        <v>0</v>
      </c>
      <c r="BM291" s="98">
        <f t="shared" si="472"/>
        <v>0</v>
      </c>
      <c r="BN291" s="98">
        <f t="shared" si="473"/>
        <v>0</v>
      </c>
      <c r="BO291" s="98">
        <f t="shared" si="474"/>
        <v>0</v>
      </c>
      <c r="BP291" s="98">
        <f t="shared" si="475"/>
        <v>0</v>
      </c>
      <c r="BQ291" s="98">
        <f t="shared" si="476"/>
        <v>1193.9139915865385</v>
      </c>
      <c r="BR291" s="98">
        <f t="shared" si="477"/>
        <v>0</v>
      </c>
      <c r="BS291" s="124"/>
      <c r="BT291" s="124"/>
      <c r="BU291" s="124"/>
      <c r="BV291" s="124"/>
      <c r="BW291" s="124"/>
      <c r="BX291" s="124"/>
      <c r="BY291" s="124"/>
      <c r="BZ291" s="124"/>
      <c r="CA291" s="124"/>
      <c r="CB291" s="124"/>
      <c r="CC291" s="124"/>
      <c r="CD291" s="124"/>
      <c r="CE291" s="124"/>
      <c r="CF291" s="124"/>
      <c r="CG291" s="124"/>
      <c r="CH291" s="124"/>
      <c r="CI291" s="124"/>
      <c r="CJ291" s="124"/>
      <c r="CK291" s="124"/>
      <c r="CL291" s="124"/>
      <c r="CM291" s="124"/>
      <c r="CN291" s="124"/>
      <c r="CO291" s="124"/>
      <c r="CP291" s="124"/>
      <c r="CQ291" s="124"/>
      <c r="CR291" s="124"/>
      <c r="CS291" s="124"/>
      <c r="CT291" s="124"/>
      <c r="CU291" s="124"/>
      <c r="CV291" s="124"/>
      <c r="CW291" s="124"/>
      <c r="CX291" s="124"/>
      <c r="CY291" s="124"/>
      <c r="CZ291" s="124"/>
      <c r="DA291" s="124"/>
      <c r="DB291" s="124"/>
      <c r="DC291" s="124"/>
      <c r="DD291" s="124"/>
      <c r="DE291" s="124"/>
      <c r="DF291" s="124"/>
      <c r="DG291" s="124"/>
      <c r="DH291" s="124"/>
      <c r="DI291" s="124"/>
      <c r="DJ291" s="124"/>
      <c r="DK291" s="124"/>
      <c r="DL291" s="124"/>
      <c r="DM291" s="124"/>
      <c r="DN291" s="124"/>
      <c r="DO291" s="124"/>
      <c r="DP291" s="124"/>
      <c r="DQ291" s="124"/>
      <c r="DR291" s="124"/>
      <c r="DS291" s="124"/>
      <c r="DT291" s="124"/>
      <c r="DU291" s="124"/>
      <c r="DV291" s="124"/>
      <c r="DW291" s="124"/>
      <c r="DX291" s="124"/>
      <c r="DY291" s="124"/>
      <c r="DZ291" s="124"/>
      <c r="EA291" s="124"/>
      <c r="EB291" s="124"/>
      <c r="EC291" s="124"/>
      <c r="ED291" s="124"/>
      <c r="EE291" s="124"/>
      <c r="EF291" s="124"/>
      <c r="EG291" s="124"/>
      <c r="EH291" s="124"/>
      <c r="EI291" s="124"/>
      <c r="EJ291" s="124"/>
      <c r="EK291" s="124"/>
      <c r="EL291" s="124"/>
      <c r="EM291" s="124"/>
      <c r="EN291" s="124"/>
      <c r="EO291" s="124"/>
      <c r="EP291" s="124"/>
      <c r="EQ291" s="124"/>
      <c r="ER291" s="124"/>
      <c r="ES291" s="124"/>
      <c r="ET291" s="124"/>
      <c r="EU291" s="124"/>
      <c r="EV291" s="124"/>
      <c r="EW291" s="124"/>
      <c r="EX291" s="124"/>
      <c r="EY291" s="124"/>
      <c r="EZ291" s="124"/>
    </row>
    <row r="292" spans="1:156" x14ac:dyDescent="0.25">
      <c r="A292" t="s">
        <v>156</v>
      </c>
      <c r="B292" t="s">
        <v>17</v>
      </c>
      <c r="C292">
        <v>2025</v>
      </c>
      <c r="D292" s="98">
        <f>INDEX('Reference Sheet'!$G$9:$J$100, MATCH(A292,'Reference Sheet'!$F$9:$F$100,0), MATCH(C292,'Reference Sheet'!$G$8:$J$8,0))/2080</f>
        <v>4.6194423076923083</v>
      </c>
      <c r="E292" s="99">
        <f>VLOOKUP(C292,'Reference Sheet'!$A$2:$B$5,2)</f>
        <v>0.22450000000000001</v>
      </c>
      <c r="F292" s="98">
        <f t="shared" si="435"/>
        <v>5.6565071057692311</v>
      </c>
      <c r="G292" s="124"/>
      <c r="H292" s="124"/>
      <c r="I292" s="124"/>
      <c r="J292" s="124"/>
      <c r="K292" s="124"/>
      <c r="L292" s="124"/>
      <c r="M292" s="124"/>
      <c r="N292" s="124">
        <v>100</v>
      </c>
      <c r="O292" s="124"/>
      <c r="P292" s="124"/>
      <c r="Q292" s="124"/>
      <c r="R292" s="124"/>
      <c r="S292" s="124"/>
      <c r="T292" s="124"/>
      <c r="U292" s="124"/>
      <c r="V292" s="124"/>
      <c r="W292" s="124"/>
      <c r="X292" s="124"/>
      <c r="Y292" s="124"/>
      <c r="Z292" s="124"/>
      <c r="AA292" s="98">
        <f t="shared" si="408"/>
        <v>100</v>
      </c>
      <c r="AB292" s="124">
        <v>100</v>
      </c>
      <c r="AC292" s="98">
        <f t="shared" si="436"/>
        <v>0</v>
      </c>
      <c r="AD292" s="100">
        <f t="shared" si="437"/>
        <v>0</v>
      </c>
      <c r="AE292" s="100">
        <f t="shared" si="438"/>
        <v>0</v>
      </c>
      <c r="AF292" s="100">
        <f t="shared" si="439"/>
        <v>0</v>
      </c>
      <c r="AG292" s="100">
        <f t="shared" si="440"/>
        <v>0</v>
      </c>
      <c r="AH292" s="100">
        <f t="shared" si="441"/>
        <v>0</v>
      </c>
      <c r="AI292" s="100">
        <f t="shared" si="442"/>
        <v>0</v>
      </c>
      <c r="AJ292" s="100">
        <f t="shared" si="443"/>
        <v>0</v>
      </c>
      <c r="AK292" s="100">
        <f t="shared" si="444"/>
        <v>100</v>
      </c>
      <c r="AL292" s="100">
        <f t="shared" si="445"/>
        <v>0</v>
      </c>
      <c r="AM292" s="100">
        <f t="shared" si="446"/>
        <v>0</v>
      </c>
      <c r="AN292" s="100">
        <f t="shared" si="447"/>
        <v>0</v>
      </c>
      <c r="AO292" s="100">
        <f t="shared" si="448"/>
        <v>0</v>
      </c>
      <c r="AP292" s="100">
        <f t="shared" si="449"/>
        <v>0</v>
      </c>
      <c r="AQ292" s="100">
        <f t="shared" si="450"/>
        <v>0</v>
      </c>
      <c r="AR292" s="100">
        <f t="shared" si="451"/>
        <v>0</v>
      </c>
      <c r="AS292" s="100">
        <f t="shared" si="452"/>
        <v>0</v>
      </c>
      <c r="AT292" s="100">
        <f t="shared" si="453"/>
        <v>0</v>
      </c>
      <c r="AU292" s="100">
        <f t="shared" si="454"/>
        <v>0</v>
      </c>
      <c r="AV292" s="100">
        <f t="shared" si="455"/>
        <v>0</v>
      </c>
      <c r="AW292" s="100">
        <f t="shared" si="456"/>
        <v>0</v>
      </c>
      <c r="AX292">
        <f t="shared" si="457"/>
        <v>100</v>
      </c>
      <c r="AY292" s="98">
        <f t="shared" si="458"/>
        <v>0</v>
      </c>
      <c r="AZ292" s="98">
        <f t="shared" si="459"/>
        <v>0</v>
      </c>
      <c r="BA292" s="98">
        <f t="shared" si="460"/>
        <v>0</v>
      </c>
      <c r="BB292" s="98">
        <f t="shared" si="461"/>
        <v>0</v>
      </c>
      <c r="BC292" s="98">
        <f t="shared" si="462"/>
        <v>0</v>
      </c>
      <c r="BD292" s="98">
        <f t="shared" si="463"/>
        <v>0</v>
      </c>
      <c r="BE292" s="98">
        <f t="shared" si="464"/>
        <v>0</v>
      </c>
      <c r="BF292" s="98">
        <f t="shared" si="465"/>
        <v>565.65071057692307</v>
      </c>
      <c r="BG292" s="98">
        <f t="shared" si="466"/>
        <v>0</v>
      </c>
      <c r="BH292" s="98">
        <f t="shared" si="467"/>
        <v>0</v>
      </c>
      <c r="BI292" s="98">
        <f t="shared" si="468"/>
        <v>0</v>
      </c>
      <c r="BJ292" s="98">
        <f t="shared" si="469"/>
        <v>0</v>
      </c>
      <c r="BK292" s="98">
        <f t="shared" si="470"/>
        <v>0</v>
      </c>
      <c r="BL292" s="98">
        <f t="shared" si="471"/>
        <v>0</v>
      </c>
      <c r="BM292" s="98">
        <f t="shared" si="472"/>
        <v>0</v>
      </c>
      <c r="BN292" s="98">
        <f t="shared" si="473"/>
        <v>0</v>
      </c>
      <c r="BO292" s="98">
        <f t="shared" si="474"/>
        <v>0</v>
      </c>
      <c r="BP292" s="98">
        <f t="shared" si="475"/>
        <v>0</v>
      </c>
      <c r="BQ292" s="98">
        <f t="shared" si="476"/>
        <v>0</v>
      </c>
      <c r="BR292" s="98">
        <f t="shared" si="477"/>
        <v>0</v>
      </c>
      <c r="BS292" s="124"/>
      <c r="BT292" s="124"/>
      <c r="BU292" s="124"/>
      <c r="BV292" s="124"/>
      <c r="BW292" s="124"/>
      <c r="BX292" s="124"/>
      <c r="BY292" s="124"/>
      <c r="BZ292" s="124"/>
      <c r="CA292" s="124"/>
      <c r="CB292" s="124"/>
      <c r="CC292" s="124"/>
      <c r="CD292" s="124"/>
      <c r="CE292" s="124"/>
      <c r="CF292" s="124"/>
      <c r="CG292" s="124"/>
      <c r="CH292" s="124"/>
      <c r="CI292" s="124"/>
      <c r="CJ292" s="124"/>
      <c r="CK292" s="124"/>
      <c r="CL292" s="124"/>
      <c r="CM292" s="124"/>
      <c r="CN292" s="124"/>
      <c r="CO292" s="124"/>
      <c r="CP292" s="124"/>
      <c r="CQ292" s="124"/>
      <c r="CR292" s="124"/>
      <c r="CS292" s="124"/>
      <c r="CT292" s="124"/>
      <c r="CU292" s="124"/>
      <c r="CV292" s="124"/>
      <c r="CW292" s="124"/>
      <c r="CX292" s="124"/>
      <c r="CY292" s="124"/>
      <c r="CZ292" s="124"/>
      <c r="DA292" s="124"/>
      <c r="DB292" s="124"/>
      <c r="DC292" s="124"/>
      <c r="DD292" s="124"/>
      <c r="DE292" s="124"/>
      <c r="DF292" s="124"/>
      <c r="DG292" s="124"/>
      <c r="DH292" s="124"/>
      <c r="DI292" s="124"/>
      <c r="DJ292" s="124"/>
      <c r="DK292" s="124"/>
      <c r="DL292" s="124"/>
      <c r="DM292" s="124"/>
      <c r="DN292" s="124"/>
      <c r="DO292" s="124"/>
      <c r="DP292" s="124"/>
      <c r="DQ292" s="124"/>
      <c r="DR292" s="124"/>
      <c r="DS292" s="124"/>
      <c r="DT292" s="124"/>
      <c r="DU292" s="124"/>
      <c r="DV292" s="124"/>
      <c r="DW292" s="124"/>
      <c r="DX292" s="124"/>
      <c r="DY292" s="124"/>
      <c r="DZ292" s="124"/>
      <c r="EA292" s="124"/>
      <c r="EB292" s="124"/>
      <c r="EC292" s="124"/>
      <c r="ED292" s="124"/>
      <c r="EE292" s="124"/>
      <c r="EF292" s="124"/>
      <c r="EG292" s="124"/>
      <c r="EH292" s="124"/>
      <c r="EI292" s="124"/>
      <c r="EJ292" s="124"/>
      <c r="EK292" s="124"/>
      <c r="EL292" s="124"/>
      <c r="EM292" s="124"/>
      <c r="EN292" s="124"/>
      <c r="EO292" s="124"/>
      <c r="EP292" s="124"/>
      <c r="EQ292" s="124"/>
      <c r="ER292" s="124"/>
      <c r="ES292" s="124"/>
      <c r="ET292" s="124"/>
      <c r="EU292" s="124"/>
      <c r="EV292" s="124"/>
      <c r="EW292" s="124"/>
      <c r="EX292" s="124"/>
      <c r="EY292" s="124"/>
      <c r="EZ292" s="124"/>
    </row>
    <row r="293" spans="1:156" x14ac:dyDescent="0.25">
      <c r="A293" t="s">
        <v>157</v>
      </c>
      <c r="B293" t="s">
        <v>17</v>
      </c>
      <c r="C293">
        <v>2025</v>
      </c>
      <c r="D293" s="98">
        <f>INDEX('Reference Sheet'!$G$9:$J$100, MATCH(A293,'Reference Sheet'!$F$9:$F$100,0), MATCH(C293,'Reference Sheet'!$G$8:$J$8,0))/2080</f>
        <v>0.68781250000000005</v>
      </c>
      <c r="E293" s="99">
        <f>VLOOKUP(C293,'Reference Sheet'!$A$2:$B$5,2)</f>
        <v>0.22450000000000001</v>
      </c>
      <c r="F293" s="98">
        <f t="shared" si="435"/>
        <v>0.84222640625</v>
      </c>
      <c r="G293" s="124"/>
      <c r="H293" s="124"/>
      <c r="I293" s="124"/>
      <c r="J293" s="124"/>
      <c r="K293" s="124"/>
      <c r="L293" s="124"/>
      <c r="M293" s="124"/>
      <c r="N293" s="124">
        <v>100</v>
      </c>
      <c r="O293" s="124"/>
      <c r="P293" s="124"/>
      <c r="Q293" s="124"/>
      <c r="R293" s="124"/>
      <c r="S293" s="124"/>
      <c r="T293" s="124"/>
      <c r="U293" s="124"/>
      <c r="V293" s="124"/>
      <c r="W293" s="124"/>
      <c r="X293" s="124"/>
      <c r="Y293" s="124"/>
      <c r="Z293" s="124"/>
      <c r="AA293" s="98">
        <f t="shared" si="408"/>
        <v>100</v>
      </c>
      <c r="AB293" s="124">
        <v>100</v>
      </c>
      <c r="AC293" s="98">
        <f t="shared" si="436"/>
        <v>0</v>
      </c>
      <c r="AD293" s="100">
        <f t="shared" si="437"/>
        <v>0</v>
      </c>
      <c r="AE293" s="100">
        <f t="shared" si="438"/>
        <v>0</v>
      </c>
      <c r="AF293" s="100">
        <f t="shared" si="439"/>
        <v>0</v>
      </c>
      <c r="AG293" s="100">
        <f t="shared" si="440"/>
        <v>0</v>
      </c>
      <c r="AH293" s="100">
        <f t="shared" si="441"/>
        <v>0</v>
      </c>
      <c r="AI293" s="100">
        <f t="shared" si="442"/>
        <v>0</v>
      </c>
      <c r="AJ293" s="100">
        <f t="shared" si="443"/>
        <v>0</v>
      </c>
      <c r="AK293" s="100">
        <f t="shared" si="444"/>
        <v>100</v>
      </c>
      <c r="AL293" s="100">
        <f t="shared" si="445"/>
        <v>0</v>
      </c>
      <c r="AM293" s="100">
        <f t="shared" si="446"/>
        <v>0</v>
      </c>
      <c r="AN293" s="100">
        <f t="shared" si="447"/>
        <v>0</v>
      </c>
      <c r="AO293" s="100">
        <f t="shared" si="448"/>
        <v>0</v>
      </c>
      <c r="AP293" s="100">
        <f t="shared" si="449"/>
        <v>0</v>
      </c>
      <c r="AQ293" s="100">
        <f t="shared" si="450"/>
        <v>0</v>
      </c>
      <c r="AR293" s="100">
        <f t="shared" si="451"/>
        <v>0</v>
      </c>
      <c r="AS293" s="100">
        <f t="shared" si="452"/>
        <v>0</v>
      </c>
      <c r="AT293" s="100">
        <f t="shared" si="453"/>
        <v>0</v>
      </c>
      <c r="AU293" s="100">
        <f t="shared" si="454"/>
        <v>0</v>
      </c>
      <c r="AV293" s="100">
        <f t="shared" si="455"/>
        <v>0</v>
      </c>
      <c r="AW293" s="100">
        <f t="shared" si="456"/>
        <v>0</v>
      </c>
      <c r="AX293">
        <f t="shared" si="457"/>
        <v>100</v>
      </c>
      <c r="AY293" s="98">
        <f t="shared" si="458"/>
        <v>0</v>
      </c>
      <c r="AZ293" s="98">
        <f t="shared" si="459"/>
        <v>0</v>
      </c>
      <c r="BA293" s="98">
        <f t="shared" si="460"/>
        <v>0</v>
      </c>
      <c r="BB293" s="98">
        <f t="shared" si="461"/>
        <v>0</v>
      </c>
      <c r="BC293" s="98">
        <f t="shared" si="462"/>
        <v>0</v>
      </c>
      <c r="BD293" s="98">
        <f t="shared" si="463"/>
        <v>0</v>
      </c>
      <c r="BE293" s="98">
        <f t="shared" si="464"/>
        <v>0</v>
      </c>
      <c r="BF293" s="98">
        <f t="shared" si="465"/>
        <v>84.222640624999997</v>
      </c>
      <c r="BG293" s="98">
        <f t="shared" si="466"/>
        <v>0</v>
      </c>
      <c r="BH293" s="98">
        <f t="shared" si="467"/>
        <v>0</v>
      </c>
      <c r="BI293" s="98">
        <f t="shared" si="468"/>
        <v>0</v>
      </c>
      <c r="BJ293" s="98">
        <f t="shared" si="469"/>
        <v>0</v>
      </c>
      <c r="BK293" s="98">
        <f t="shared" si="470"/>
        <v>0</v>
      </c>
      <c r="BL293" s="98">
        <f t="shared" si="471"/>
        <v>0</v>
      </c>
      <c r="BM293" s="98">
        <f t="shared" si="472"/>
        <v>0</v>
      </c>
      <c r="BN293" s="98">
        <f t="shared" si="473"/>
        <v>0</v>
      </c>
      <c r="BO293" s="98">
        <f t="shared" si="474"/>
        <v>0</v>
      </c>
      <c r="BP293" s="98">
        <f t="shared" si="475"/>
        <v>0</v>
      </c>
      <c r="BQ293" s="98">
        <f t="shared" si="476"/>
        <v>0</v>
      </c>
      <c r="BR293" s="98">
        <f t="shared" si="477"/>
        <v>0</v>
      </c>
      <c r="BS293" s="124"/>
      <c r="BT293" s="124"/>
      <c r="BU293" s="124"/>
      <c r="BV293" s="124"/>
      <c r="BW293" s="124"/>
      <c r="BX293" s="124"/>
      <c r="BY293" s="124"/>
      <c r="BZ293" s="124"/>
      <c r="CA293" s="124"/>
      <c r="CB293" s="124"/>
      <c r="CC293" s="124"/>
      <c r="CD293" s="124"/>
      <c r="CE293" s="124"/>
      <c r="CF293" s="124"/>
      <c r="CG293" s="124"/>
      <c r="CH293" s="124"/>
      <c r="CI293" s="124"/>
      <c r="CJ293" s="124"/>
      <c r="CK293" s="124"/>
      <c r="CL293" s="124"/>
      <c r="CM293" s="124"/>
      <c r="CN293" s="124"/>
      <c r="CO293" s="124"/>
      <c r="CP293" s="124"/>
      <c r="CQ293" s="124"/>
      <c r="CR293" s="124"/>
      <c r="CS293" s="124"/>
      <c r="CT293" s="124"/>
      <c r="CU293" s="124"/>
      <c r="CV293" s="124"/>
      <c r="CW293" s="124"/>
      <c r="CX293" s="124"/>
      <c r="CY293" s="124"/>
      <c r="CZ293" s="124"/>
      <c r="DA293" s="124"/>
      <c r="DB293" s="124"/>
      <c r="DC293" s="124"/>
      <c r="DD293" s="124"/>
      <c r="DE293" s="124"/>
      <c r="DF293" s="124"/>
      <c r="DG293" s="124"/>
      <c r="DH293" s="124"/>
      <c r="DI293" s="124"/>
      <c r="DJ293" s="124"/>
      <c r="DK293" s="124"/>
      <c r="DL293" s="124"/>
      <c r="DM293" s="124"/>
      <c r="DN293" s="124"/>
      <c r="DO293" s="124"/>
      <c r="DP293" s="124"/>
      <c r="DQ293" s="124"/>
      <c r="DR293" s="124"/>
      <c r="DS293" s="124"/>
      <c r="DT293" s="124"/>
      <c r="DU293" s="124"/>
      <c r="DV293" s="124"/>
      <c r="DW293" s="124"/>
      <c r="DX293" s="124"/>
      <c r="DY293" s="124"/>
      <c r="DZ293" s="124"/>
      <c r="EA293" s="124"/>
      <c r="EB293" s="124"/>
      <c r="EC293" s="124"/>
      <c r="ED293" s="124"/>
      <c r="EE293" s="124"/>
      <c r="EF293" s="124"/>
      <c r="EG293" s="124"/>
      <c r="EH293" s="124"/>
      <c r="EI293" s="124"/>
      <c r="EJ293" s="124"/>
      <c r="EK293" s="124"/>
      <c r="EL293" s="124"/>
      <c r="EM293" s="124"/>
      <c r="EN293" s="124"/>
      <c r="EO293" s="124"/>
      <c r="EP293" s="124"/>
      <c r="EQ293" s="124"/>
      <c r="ER293" s="124"/>
      <c r="ES293" s="124"/>
      <c r="ET293" s="124"/>
      <c r="EU293" s="124"/>
      <c r="EV293" s="124"/>
      <c r="EW293" s="124"/>
      <c r="EX293" s="124"/>
      <c r="EY293" s="124"/>
      <c r="EZ293" s="124"/>
    </row>
    <row r="294" spans="1:156" x14ac:dyDescent="0.25">
      <c r="A294" t="s">
        <v>158</v>
      </c>
      <c r="B294" t="s">
        <v>17</v>
      </c>
      <c r="C294">
        <v>2025</v>
      </c>
      <c r="D294" s="98">
        <f>INDEX('Reference Sheet'!$G$9:$J$100, MATCH(A294,'Reference Sheet'!$F$9:$F$100,0), MATCH(C294,'Reference Sheet'!$G$8:$J$8,0))/2080</f>
        <v>27.025298076923079</v>
      </c>
      <c r="E294" s="99">
        <f>VLOOKUP(C294,'Reference Sheet'!$A$2:$B$5,2)</f>
        <v>0.22450000000000001</v>
      </c>
      <c r="F294" s="98">
        <f t="shared" si="435"/>
        <v>33.092477495192306</v>
      </c>
      <c r="G294" s="124"/>
      <c r="H294" s="124"/>
      <c r="I294" s="124"/>
      <c r="J294" s="124"/>
      <c r="K294" s="124"/>
      <c r="L294" s="124"/>
      <c r="M294" s="124"/>
      <c r="N294" s="124"/>
      <c r="O294" s="124"/>
      <c r="P294" s="124"/>
      <c r="Q294" s="124"/>
      <c r="R294" s="124"/>
      <c r="S294" s="124"/>
      <c r="T294" s="124">
        <v>100</v>
      </c>
      <c r="U294" s="124"/>
      <c r="V294" s="124"/>
      <c r="W294" s="124"/>
      <c r="X294" s="124"/>
      <c r="Y294" s="124"/>
      <c r="Z294" s="124"/>
      <c r="AA294" s="98">
        <f t="shared" si="408"/>
        <v>100</v>
      </c>
      <c r="AB294" s="124">
        <v>100</v>
      </c>
      <c r="AC294" s="98">
        <f t="shared" si="436"/>
        <v>0</v>
      </c>
      <c r="AD294" s="100">
        <f t="shared" si="437"/>
        <v>0</v>
      </c>
      <c r="AE294" s="100">
        <f t="shared" si="438"/>
        <v>0</v>
      </c>
      <c r="AF294" s="100">
        <f t="shared" si="439"/>
        <v>0</v>
      </c>
      <c r="AG294" s="100">
        <f t="shared" si="440"/>
        <v>0</v>
      </c>
      <c r="AH294" s="100">
        <f t="shared" si="441"/>
        <v>0</v>
      </c>
      <c r="AI294" s="100">
        <f t="shared" si="442"/>
        <v>0</v>
      </c>
      <c r="AJ294" s="100">
        <f t="shared" si="443"/>
        <v>0</v>
      </c>
      <c r="AK294" s="100">
        <f t="shared" si="444"/>
        <v>0</v>
      </c>
      <c r="AL294" s="100">
        <f t="shared" si="445"/>
        <v>0</v>
      </c>
      <c r="AM294" s="100">
        <f t="shared" si="446"/>
        <v>0</v>
      </c>
      <c r="AN294" s="100">
        <f t="shared" si="447"/>
        <v>0</v>
      </c>
      <c r="AO294" s="100">
        <f t="shared" si="448"/>
        <v>0</v>
      </c>
      <c r="AP294" s="100">
        <f t="shared" si="449"/>
        <v>0</v>
      </c>
      <c r="AQ294" s="100">
        <f t="shared" si="450"/>
        <v>100</v>
      </c>
      <c r="AR294" s="100">
        <f t="shared" si="451"/>
        <v>0</v>
      </c>
      <c r="AS294" s="100">
        <f t="shared" si="452"/>
        <v>0</v>
      </c>
      <c r="AT294" s="100">
        <f t="shared" si="453"/>
        <v>0</v>
      </c>
      <c r="AU294" s="100">
        <f t="shared" si="454"/>
        <v>0</v>
      </c>
      <c r="AV294" s="100">
        <f t="shared" si="455"/>
        <v>0</v>
      </c>
      <c r="AW294" s="100">
        <f t="shared" si="456"/>
        <v>0</v>
      </c>
      <c r="AX294">
        <f t="shared" si="457"/>
        <v>100</v>
      </c>
      <c r="AY294" s="98">
        <f t="shared" si="458"/>
        <v>0</v>
      </c>
      <c r="AZ294" s="98">
        <f t="shared" si="459"/>
        <v>0</v>
      </c>
      <c r="BA294" s="98">
        <f t="shared" si="460"/>
        <v>0</v>
      </c>
      <c r="BB294" s="98">
        <f t="shared" si="461"/>
        <v>0</v>
      </c>
      <c r="BC294" s="98">
        <f t="shared" si="462"/>
        <v>0</v>
      </c>
      <c r="BD294" s="98">
        <f t="shared" si="463"/>
        <v>0</v>
      </c>
      <c r="BE294" s="98">
        <f t="shared" si="464"/>
        <v>0</v>
      </c>
      <c r="BF294" s="98">
        <f t="shared" si="465"/>
        <v>0</v>
      </c>
      <c r="BG294" s="98">
        <f t="shared" si="466"/>
        <v>0</v>
      </c>
      <c r="BH294" s="98">
        <f t="shared" si="467"/>
        <v>0</v>
      </c>
      <c r="BI294" s="98">
        <f t="shared" si="468"/>
        <v>0</v>
      </c>
      <c r="BJ294" s="98">
        <f t="shared" si="469"/>
        <v>0</v>
      </c>
      <c r="BK294" s="98">
        <f t="shared" si="470"/>
        <v>0</v>
      </c>
      <c r="BL294" s="98">
        <f t="shared" si="471"/>
        <v>3309.2477495192306</v>
      </c>
      <c r="BM294" s="98">
        <f t="shared" si="472"/>
        <v>0</v>
      </c>
      <c r="BN294" s="98">
        <f t="shared" si="473"/>
        <v>0</v>
      </c>
      <c r="BO294" s="98">
        <f t="shared" si="474"/>
        <v>0</v>
      </c>
      <c r="BP294" s="98">
        <f t="shared" si="475"/>
        <v>0</v>
      </c>
      <c r="BQ294" s="98">
        <f t="shared" si="476"/>
        <v>0</v>
      </c>
      <c r="BR294" s="98">
        <f t="shared" si="477"/>
        <v>0</v>
      </c>
      <c r="BS294" s="124"/>
      <c r="BT294" s="124"/>
      <c r="BU294" s="124"/>
      <c r="BV294" s="124"/>
      <c r="BW294" s="124"/>
      <c r="BX294" s="124"/>
      <c r="BY294" s="124"/>
      <c r="BZ294" s="124"/>
      <c r="CA294" s="124"/>
      <c r="CB294" s="124"/>
      <c r="CC294" s="124"/>
      <c r="CD294" s="124"/>
      <c r="CE294" s="124"/>
      <c r="CF294" s="124"/>
      <c r="CG294" s="124"/>
      <c r="CH294" s="124"/>
      <c r="CI294" s="124"/>
      <c r="CJ294" s="124"/>
      <c r="CK294" s="124"/>
      <c r="CL294" s="124"/>
      <c r="CM294" s="124"/>
      <c r="CN294" s="124"/>
      <c r="CO294" s="124"/>
      <c r="CP294" s="124"/>
      <c r="CQ294" s="124"/>
      <c r="CR294" s="124"/>
      <c r="CS294" s="124"/>
      <c r="CT294" s="124"/>
      <c r="CU294" s="124"/>
      <c r="CV294" s="124"/>
      <c r="CW294" s="124"/>
      <c r="CX294" s="124"/>
      <c r="CY294" s="124"/>
      <c r="CZ294" s="124"/>
      <c r="DA294" s="124"/>
      <c r="DB294" s="124"/>
      <c r="DC294" s="124"/>
      <c r="DD294" s="124"/>
      <c r="DE294" s="124"/>
      <c r="DF294" s="124"/>
      <c r="DG294" s="124"/>
      <c r="DH294" s="124"/>
      <c r="DI294" s="124"/>
      <c r="DJ294" s="124"/>
      <c r="DK294" s="124"/>
      <c r="DL294" s="124"/>
      <c r="DM294" s="124"/>
      <c r="DN294" s="124"/>
      <c r="DO294" s="124"/>
      <c r="DP294" s="124"/>
      <c r="DQ294" s="124"/>
      <c r="DR294" s="124"/>
      <c r="DS294" s="124"/>
      <c r="DT294" s="124"/>
      <c r="DU294" s="124"/>
      <c r="DV294" s="124"/>
      <c r="DW294" s="124"/>
      <c r="DX294" s="124"/>
      <c r="DY294" s="124"/>
      <c r="DZ294" s="124"/>
      <c r="EA294" s="124"/>
      <c r="EB294" s="124"/>
      <c r="EC294" s="124"/>
      <c r="ED294" s="124"/>
      <c r="EE294" s="124"/>
      <c r="EF294" s="124"/>
      <c r="EG294" s="124"/>
      <c r="EH294" s="124"/>
      <c r="EI294" s="124"/>
      <c r="EJ294" s="124"/>
      <c r="EK294" s="124"/>
      <c r="EL294" s="124"/>
      <c r="EM294" s="124"/>
      <c r="EN294" s="124"/>
      <c r="EO294" s="124"/>
      <c r="EP294" s="124"/>
      <c r="EQ294" s="124"/>
      <c r="ER294" s="124"/>
      <c r="ES294" s="124"/>
      <c r="ET294" s="124"/>
      <c r="EU294" s="124"/>
      <c r="EV294" s="124"/>
      <c r="EW294" s="124"/>
      <c r="EX294" s="124"/>
      <c r="EY294" s="124"/>
      <c r="EZ294" s="124"/>
    </row>
    <row r="295" spans="1:156" x14ac:dyDescent="0.25">
      <c r="A295" t="s">
        <v>159</v>
      </c>
      <c r="B295" t="s">
        <v>17</v>
      </c>
      <c r="C295">
        <v>2025</v>
      </c>
      <c r="D295" s="98">
        <f>INDEX('Reference Sheet'!$G$9:$J$100, MATCH(A295,'Reference Sheet'!$F$9:$F$100,0), MATCH(C295,'Reference Sheet'!$G$8:$J$8,0))/2080</f>
        <v>6.1133413461538462</v>
      </c>
      <c r="E295" s="99">
        <f>VLOOKUP(C295,'Reference Sheet'!$A$2:$B$5,2)</f>
        <v>0.22450000000000001</v>
      </c>
      <c r="F295" s="98">
        <f t="shared" si="435"/>
        <v>7.4857864783653838</v>
      </c>
      <c r="G295" s="124"/>
      <c r="H295" s="124"/>
      <c r="I295" s="124"/>
      <c r="J295" s="124"/>
      <c r="K295" s="124"/>
      <c r="L295" s="124"/>
      <c r="M295" s="124"/>
      <c r="N295" s="124">
        <v>100</v>
      </c>
      <c r="O295" s="124"/>
      <c r="P295" s="124"/>
      <c r="Q295" s="124"/>
      <c r="R295" s="124"/>
      <c r="S295" s="124"/>
      <c r="T295" s="124"/>
      <c r="U295" s="124"/>
      <c r="V295" s="124"/>
      <c r="W295" s="124"/>
      <c r="X295" s="124"/>
      <c r="Y295" s="124"/>
      <c r="Z295" s="124"/>
      <c r="AA295" s="98">
        <f t="shared" si="408"/>
        <v>100</v>
      </c>
      <c r="AB295" s="124">
        <v>100</v>
      </c>
      <c r="AC295" s="98">
        <f t="shared" si="436"/>
        <v>0</v>
      </c>
      <c r="AD295" s="100">
        <f t="shared" si="437"/>
        <v>0</v>
      </c>
      <c r="AE295" s="100">
        <f t="shared" si="438"/>
        <v>0</v>
      </c>
      <c r="AF295" s="100">
        <f t="shared" si="439"/>
        <v>0</v>
      </c>
      <c r="AG295" s="100">
        <f t="shared" si="440"/>
        <v>0</v>
      </c>
      <c r="AH295" s="100">
        <f t="shared" si="441"/>
        <v>0</v>
      </c>
      <c r="AI295" s="100">
        <f t="shared" si="442"/>
        <v>0</v>
      </c>
      <c r="AJ295" s="100">
        <f t="shared" si="443"/>
        <v>0</v>
      </c>
      <c r="AK295" s="100">
        <f t="shared" si="444"/>
        <v>100</v>
      </c>
      <c r="AL295" s="100">
        <f t="shared" si="445"/>
        <v>0</v>
      </c>
      <c r="AM295" s="100">
        <f t="shared" si="446"/>
        <v>0</v>
      </c>
      <c r="AN295" s="100">
        <f t="shared" si="447"/>
        <v>0</v>
      </c>
      <c r="AO295" s="100">
        <f t="shared" si="448"/>
        <v>0</v>
      </c>
      <c r="AP295" s="100">
        <f t="shared" si="449"/>
        <v>0</v>
      </c>
      <c r="AQ295" s="100">
        <f t="shared" si="450"/>
        <v>0</v>
      </c>
      <c r="AR295" s="100">
        <f t="shared" si="451"/>
        <v>0</v>
      </c>
      <c r="AS295" s="100">
        <f t="shared" si="452"/>
        <v>0</v>
      </c>
      <c r="AT295" s="100">
        <f t="shared" si="453"/>
        <v>0</v>
      </c>
      <c r="AU295" s="100">
        <f t="shared" si="454"/>
        <v>0</v>
      </c>
      <c r="AV295" s="100">
        <f t="shared" si="455"/>
        <v>0</v>
      </c>
      <c r="AW295" s="100">
        <f t="shared" si="456"/>
        <v>0</v>
      </c>
      <c r="AX295">
        <f t="shared" si="457"/>
        <v>100</v>
      </c>
      <c r="AY295" s="98">
        <f t="shared" si="458"/>
        <v>0</v>
      </c>
      <c r="AZ295" s="98">
        <f t="shared" si="459"/>
        <v>0</v>
      </c>
      <c r="BA295" s="98">
        <f t="shared" si="460"/>
        <v>0</v>
      </c>
      <c r="BB295" s="98">
        <f t="shared" si="461"/>
        <v>0</v>
      </c>
      <c r="BC295" s="98">
        <f t="shared" si="462"/>
        <v>0</v>
      </c>
      <c r="BD295" s="98">
        <f t="shared" si="463"/>
        <v>0</v>
      </c>
      <c r="BE295" s="98">
        <f t="shared" si="464"/>
        <v>0</v>
      </c>
      <c r="BF295" s="98">
        <f t="shared" si="465"/>
        <v>748.57864783653838</v>
      </c>
      <c r="BG295" s="98">
        <f t="shared" si="466"/>
        <v>0</v>
      </c>
      <c r="BH295" s="98">
        <f t="shared" si="467"/>
        <v>0</v>
      </c>
      <c r="BI295" s="98">
        <f t="shared" si="468"/>
        <v>0</v>
      </c>
      <c r="BJ295" s="98">
        <f t="shared" si="469"/>
        <v>0</v>
      </c>
      <c r="BK295" s="98">
        <f t="shared" si="470"/>
        <v>0</v>
      </c>
      <c r="BL295" s="98">
        <f t="shared" si="471"/>
        <v>0</v>
      </c>
      <c r="BM295" s="98">
        <f t="shared" si="472"/>
        <v>0</v>
      </c>
      <c r="BN295" s="98">
        <f t="shared" si="473"/>
        <v>0</v>
      </c>
      <c r="BO295" s="98">
        <f t="shared" si="474"/>
        <v>0</v>
      </c>
      <c r="BP295" s="98">
        <f t="shared" si="475"/>
        <v>0</v>
      </c>
      <c r="BQ295" s="98">
        <f t="shared" si="476"/>
        <v>0</v>
      </c>
      <c r="BR295" s="98">
        <f t="shared" si="477"/>
        <v>0</v>
      </c>
      <c r="BS295" s="124"/>
      <c r="BT295" s="124"/>
      <c r="BU295" s="124"/>
      <c r="BV295" s="124"/>
      <c r="BW295" s="124"/>
      <c r="BX295" s="124"/>
      <c r="BY295" s="124"/>
      <c r="BZ295" s="124"/>
      <c r="CA295" s="124"/>
      <c r="CB295" s="124"/>
      <c r="CC295" s="124"/>
      <c r="CD295" s="124"/>
      <c r="CE295" s="124"/>
      <c r="CF295" s="124"/>
      <c r="CG295" s="124"/>
      <c r="CH295" s="124"/>
      <c r="CI295" s="124"/>
      <c r="CJ295" s="124"/>
      <c r="CK295" s="124"/>
      <c r="CL295" s="124"/>
      <c r="CM295" s="124"/>
      <c r="CN295" s="124"/>
      <c r="CO295" s="124"/>
      <c r="CP295" s="124"/>
      <c r="CQ295" s="124"/>
      <c r="CR295" s="124"/>
      <c r="CS295" s="124"/>
      <c r="CT295" s="124"/>
      <c r="CU295" s="124"/>
      <c r="CV295" s="124"/>
      <c r="CW295" s="124"/>
      <c r="CX295" s="124"/>
      <c r="CY295" s="124"/>
      <c r="CZ295" s="124"/>
      <c r="DA295" s="124"/>
      <c r="DB295" s="124"/>
      <c r="DC295" s="124"/>
      <c r="DD295" s="124"/>
      <c r="DE295" s="124"/>
      <c r="DF295" s="124"/>
      <c r="DG295" s="124"/>
      <c r="DH295" s="124"/>
      <c r="DI295" s="124"/>
      <c r="DJ295" s="124"/>
      <c r="DK295" s="124"/>
      <c r="DL295" s="124"/>
      <c r="DM295" s="124"/>
      <c r="DN295" s="124"/>
      <c r="DO295" s="124"/>
      <c r="DP295" s="124"/>
      <c r="DQ295" s="124"/>
      <c r="DR295" s="124"/>
      <c r="DS295" s="124"/>
      <c r="DT295" s="124"/>
      <c r="DU295" s="124"/>
      <c r="DV295" s="124"/>
      <c r="DW295" s="124"/>
      <c r="DX295" s="124"/>
      <c r="DY295" s="124"/>
      <c r="DZ295" s="124"/>
      <c r="EA295" s="124"/>
      <c r="EB295" s="124"/>
      <c r="EC295" s="124"/>
      <c r="ED295" s="124"/>
      <c r="EE295" s="124"/>
      <c r="EF295" s="124"/>
      <c r="EG295" s="124"/>
      <c r="EH295" s="124"/>
      <c r="EI295" s="124"/>
      <c r="EJ295" s="124"/>
      <c r="EK295" s="124"/>
      <c r="EL295" s="124"/>
      <c r="EM295" s="124"/>
      <c r="EN295" s="124"/>
      <c r="EO295" s="124"/>
      <c r="EP295" s="124"/>
      <c r="EQ295" s="124"/>
      <c r="ER295" s="124"/>
      <c r="ES295" s="124"/>
      <c r="ET295" s="124"/>
      <c r="EU295" s="124"/>
      <c r="EV295" s="124"/>
      <c r="EW295" s="124"/>
      <c r="EX295" s="124"/>
      <c r="EY295" s="124"/>
      <c r="EZ295" s="124"/>
    </row>
    <row r="296" spans="1:156" x14ac:dyDescent="0.25">
      <c r="A296" t="s">
        <v>160</v>
      </c>
      <c r="B296" t="s">
        <v>17</v>
      </c>
      <c r="C296">
        <v>2025</v>
      </c>
      <c r="D296" s="98">
        <f>INDEX('Reference Sheet'!$G$9:$J$100, MATCH(A296,'Reference Sheet'!$F$9:$F$100,0), MATCH(C296,'Reference Sheet'!$G$8:$J$8,0))/2080</f>
        <v>1.3379326923076924</v>
      </c>
      <c r="E296" s="99">
        <f>VLOOKUP(C296,'Reference Sheet'!$A$2:$B$5,2)</f>
        <v>0.22450000000000001</v>
      </c>
      <c r="F296" s="98">
        <f t="shared" si="435"/>
        <v>1.6382985817307691</v>
      </c>
      <c r="G296" s="124"/>
      <c r="H296" s="124"/>
      <c r="I296" s="124"/>
      <c r="J296" s="124"/>
      <c r="K296" s="124"/>
      <c r="L296" s="124"/>
      <c r="M296" s="124"/>
      <c r="N296" s="124">
        <v>100</v>
      </c>
      <c r="O296" s="124"/>
      <c r="P296" s="124"/>
      <c r="Q296" s="124"/>
      <c r="R296" s="124"/>
      <c r="S296" s="124"/>
      <c r="T296" s="124"/>
      <c r="U296" s="124"/>
      <c r="V296" s="124"/>
      <c r="W296" s="124"/>
      <c r="X296" s="124"/>
      <c r="Y296" s="124"/>
      <c r="Z296" s="124"/>
      <c r="AA296" s="98">
        <f t="shared" si="408"/>
        <v>100</v>
      </c>
      <c r="AB296" s="124">
        <v>100</v>
      </c>
      <c r="AC296" s="98">
        <f t="shared" si="436"/>
        <v>0</v>
      </c>
      <c r="AD296" s="100">
        <f t="shared" si="437"/>
        <v>0</v>
      </c>
      <c r="AE296" s="100">
        <f t="shared" si="438"/>
        <v>0</v>
      </c>
      <c r="AF296" s="100">
        <f t="shared" si="439"/>
        <v>0</v>
      </c>
      <c r="AG296" s="100">
        <f t="shared" si="440"/>
        <v>0</v>
      </c>
      <c r="AH296" s="100">
        <f t="shared" si="441"/>
        <v>0</v>
      </c>
      <c r="AI296" s="100">
        <f t="shared" si="442"/>
        <v>0</v>
      </c>
      <c r="AJ296" s="100">
        <f t="shared" si="443"/>
        <v>0</v>
      </c>
      <c r="AK296" s="100">
        <f t="shared" si="444"/>
        <v>100</v>
      </c>
      <c r="AL296" s="100">
        <f t="shared" si="445"/>
        <v>0</v>
      </c>
      <c r="AM296" s="100">
        <f t="shared" si="446"/>
        <v>0</v>
      </c>
      <c r="AN296" s="100">
        <f t="shared" si="447"/>
        <v>0</v>
      </c>
      <c r="AO296" s="100">
        <f t="shared" si="448"/>
        <v>0</v>
      </c>
      <c r="AP296" s="100">
        <f t="shared" si="449"/>
        <v>0</v>
      </c>
      <c r="AQ296" s="100">
        <f t="shared" si="450"/>
        <v>0</v>
      </c>
      <c r="AR296" s="100">
        <f t="shared" si="451"/>
        <v>0</v>
      </c>
      <c r="AS296" s="100">
        <f t="shared" si="452"/>
        <v>0</v>
      </c>
      <c r="AT296" s="100">
        <f t="shared" si="453"/>
        <v>0</v>
      </c>
      <c r="AU296" s="100">
        <f t="shared" si="454"/>
        <v>0</v>
      </c>
      <c r="AV296" s="100">
        <f t="shared" si="455"/>
        <v>0</v>
      </c>
      <c r="AW296" s="100">
        <f t="shared" si="456"/>
        <v>0</v>
      </c>
      <c r="AX296">
        <f t="shared" si="457"/>
        <v>100</v>
      </c>
      <c r="AY296" s="98">
        <f t="shared" si="458"/>
        <v>0</v>
      </c>
      <c r="AZ296" s="98">
        <f t="shared" si="459"/>
        <v>0</v>
      </c>
      <c r="BA296" s="98">
        <f t="shared" si="460"/>
        <v>0</v>
      </c>
      <c r="BB296" s="98">
        <f t="shared" si="461"/>
        <v>0</v>
      </c>
      <c r="BC296" s="98">
        <f t="shared" si="462"/>
        <v>0</v>
      </c>
      <c r="BD296" s="98">
        <f t="shared" si="463"/>
        <v>0</v>
      </c>
      <c r="BE296" s="98">
        <f t="shared" si="464"/>
        <v>0</v>
      </c>
      <c r="BF296" s="98">
        <f t="shared" si="465"/>
        <v>163.8298581730769</v>
      </c>
      <c r="BG296" s="98">
        <f t="shared" si="466"/>
        <v>0</v>
      </c>
      <c r="BH296" s="98">
        <f t="shared" si="467"/>
        <v>0</v>
      </c>
      <c r="BI296" s="98">
        <f t="shared" si="468"/>
        <v>0</v>
      </c>
      <c r="BJ296" s="98">
        <f t="shared" si="469"/>
        <v>0</v>
      </c>
      <c r="BK296" s="98">
        <f t="shared" si="470"/>
        <v>0</v>
      </c>
      <c r="BL296" s="98">
        <f t="shared" si="471"/>
        <v>0</v>
      </c>
      <c r="BM296" s="98">
        <f t="shared" si="472"/>
        <v>0</v>
      </c>
      <c r="BN296" s="98">
        <f t="shared" si="473"/>
        <v>0</v>
      </c>
      <c r="BO296" s="98">
        <f t="shared" si="474"/>
        <v>0</v>
      </c>
      <c r="BP296" s="98">
        <f t="shared" si="475"/>
        <v>0</v>
      </c>
      <c r="BQ296" s="98">
        <f t="shared" si="476"/>
        <v>0</v>
      </c>
      <c r="BR296" s="98">
        <f t="shared" si="477"/>
        <v>0</v>
      </c>
      <c r="BS296" s="124"/>
      <c r="BT296" s="124"/>
      <c r="BU296" s="124"/>
      <c r="BV296" s="124"/>
      <c r="BW296" s="124"/>
      <c r="BX296" s="124"/>
      <c r="BY296" s="124"/>
      <c r="BZ296" s="124"/>
      <c r="CA296" s="124"/>
      <c r="CB296" s="124"/>
      <c r="CC296" s="124"/>
      <c r="CD296" s="124"/>
      <c r="CE296" s="124"/>
      <c r="CF296" s="124"/>
      <c r="CG296" s="124"/>
      <c r="CH296" s="124"/>
      <c r="CI296" s="124"/>
      <c r="CJ296" s="124"/>
      <c r="CK296" s="124"/>
      <c r="CL296" s="124"/>
      <c r="CM296" s="124"/>
      <c r="CN296" s="124"/>
      <c r="CO296" s="124"/>
      <c r="CP296" s="124"/>
      <c r="CQ296" s="124"/>
      <c r="CR296" s="124"/>
      <c r="CS296" s="124"/>
      <c r="CT296" s="124"/>
      <c r="CU296" s="124"/>
      <c r="CV296" s="124"/>
      <c r="CW296" s="124"/>
      <c r="CX296" s="124"/>
      <c r="CY296" s="124"/>
      <c r="CZ296" s="124"/>
      <c r="DA296" s="124"/>
      <c r="DB296" s="124"/>
      <c r="DC296" s="124"/>
      <c r="DD296" s="124"/>
      <c r="DE296" s="124"/>
      <c r="DF296" s="124"/>
      <c r="DG296" s="124"/>
      <c r="DH296" s="124"/>
      <c r="DI296" s="124"/>
      <c r="DJ296" s="124"/>
      <c r="DK296" s="124"/>
      <c r="DL296" s="124"/>
      <c r="DM296" s="124"/>
      <c r="DN296" s="124"/>
      <c r="DO296" s="124"/>
      <c r="DP296" s="124"/>
      <c r="DQ296" s="124"/>
      <c r="DR296" s="124"/>
      <c r="DS296" s="124"/>
      <c r="DT296" s="124"/>
      <c r="DU296" s="124"/>
      <c r="DV296" s="124"/>
      <c r="DW296" s="124"/>
      <c r="DX296" s="124"/>
      <c r="DY296" s="124"/>
      <c r="DZ296" s="124"/>
      <c r="EA296" s="124"/>
      <c r="EB296" s="124"/>
      <c r="EC296" s="124"/>
      <c r="ED296" s="124"/>
      <c r="EE296" s="124"/>
      <c r="EF296" s="124"/>
      <c r="EG296" s="124"/>
      <c r="EH296" s="124"/>
      <c r="EI296" s="124"/>
      <c r="EJ296" s="124"/>
      <c r="EK296" s="124"/>
      <c r="EL296" s="124"/>
      <c r="EM296" s="124"/>
      <c r="EN296" s="124"/>
      <c r="EO296" s="124"/>
      <c r="EP296" s="124"/>
      <c r="EQ296" s="124"/>
      <c r="ER296" s="124"/>
      <c r="ES296" s="124"/>
      <c r="ET296" s="124"/>
      <c r="EU296" s="124"/>
      <c r="EV296" s="124"/>
      <c r="EW296" s="124"/>
      <c r="EX296" s="124"/>
      <c r="EY296" s="124"/>
      <c r="EZ296" s="124"/>
    </row>
    <row r="297" spans="1:156" x14ac:dyDescent="0.25">
      <c r="A297" t="s">
        <v>161</v>
      </c>
      <c r="B297" t="s">
        <v>17</v>
      </c>
      <c r="C297">
        <v>2025</v>
      </c>
      <c r="D297" s="98">
        <f>INDEX('Reference Sheet'!$G$9:$J$100, MATCH(A297,'Reference Sheet'!$F$9:$F$100,0), MATCH(C297,'Reference Sheet'!$G$8:$J$8,0))/2080</f>
        <v>40.056197115384613</v>
      </c>
      <c r="E297" s="99">
        <f>VLOOKUP(C297,'Reference Sheet'!$A$2:$B$5,2)</f>
        <v>0.22450000000000001</v>
      </c>
      <c r="F297" s="98">
        <f t="shared" si="435"/>
        <v>49.048813367788455</v>
      </c>
      <c r="G297" s="124"/>
      <c r="H297" s="124"/>
      <c r="I297" s="124"/>
      <c r="J297" s="124"/>
      <c r="K297" s="124"/>
      <c r="L297" s="124"/>
      <c r="M297" s="124"/>
      <c r="N297" s="124">
        <v>1739.25</v>
      </c>
      <c r="O297" s="124"/>
      <c r="P297" s="124"/>
      <c r="Q297" s="124"/>
      <c r="R297" s="124"/>
      <c r="S297" s="124"/>
      <c r="T297" s="124"/>
      <c r="U297" s="124"/>
      <c r="V297" s="124"/>
      <c r="W297" s="124"/>
      <c r="X297" s="124"/>
      <c r="Y297" s="124"/>
      <c r="Z297" s="124">
        <v>340.75</v>
      </c>
      <c r="AA297" s="98">
        <f>SUM(G297:Z297)</f>
        <v>2080</v>
      </c>
      <c r="AB297" s="124">
        <v>2080</v>
      </c>
      <c r="AC297" s="98">
        <f t="shared" si="436"/>
        <v>0</v>
      </c>
      <c r="AD297" s="100">
        <f t="shared" si="437"/>
        <v>0</v>
      </c>
      <c r="AE297" s="100">
        <f t="shared" si="438"/>
        <v>0</v>
      </c>
      <c r="AF297" s="100">
        <f t="shared" si="439"/>
        <v>0</v>
      </c>
      <c r="AG297" s="100">
        <f t="shared" si="440"/>
        <v>0</v>
      </c>
      <c r="AH297" s="100">
        <f t="shared" si="441"/>
        <v>0</v>
      </c>
      <c r="AI297" s="100">
        <f t="shared" si="442"/>
        <v>0</v>
      </c>
      <c r="AJ297" s="100">
        <f t="shared" si="443"/>
        <v>0</v>
      </c>
      <c r="AK297" s="100">
        <f t="shared" si="444"/>
        <v>1739.25</v>
      </c>
      <c r="AL297" s="100">
        <f t="shared" si="445"/>
        <v>0</v>
      </c>
      <c r="AM297" s="100">
        <f t="shared" si="446"/>
        <v>0</v>
      </c>
      <c r="AN297" s="100">
        <f t="shared" si="447"/>
        <v>0</v>
      </c>
      <c r="AO297" s="100">
        <f t="shared" si="448"/>
        <v>0</v>
      </c>
      <c r="AP297" s="100">
        <f t="shared" si="449"/>
        <v>0</v>
      </c>
      <c r="AQ297" s="100">
        <f t="shared" si="450"/>
        <v>0</v>
      </c>
      <c r="AR297" s="100">
        <f t="shared" si="451"/>
        <v>0</v>
      </c>
      <c r="AS297" s="100">
        <f t="shared" si="452"/>
        <v>0</v>
      </c>
      <c r="AT297" s="100">
        <f t="shared" si="453"/>
        <v>0</v>
      </c>
      <c r="AU297" s="100">
        <f t="shared" si="454"/>
        <v>0</v>
      </c>
      <c r="AV297" s="100">
        <f t="shared" si="455"/>
        <v>0</v>
      </c>
      <c r="AW297" s="100">
        <f t="shared" si="456"/>
        <v>340.75</v>
      </c>
      <c r="AX297">
        <f t="shared" si="457"/>
        <v>2080</v>
      </c>
      <c r="AY297" s="98">
        <f t="shared" si="458"/>
        <v>0</v>
      </c>
      <c r="AZ297" s="98">
        <f t="shared" si="459"/>
        <v>0</v>
      </c>
      <c r="BA297" s="98">
        <f t="shared" si="460"/>
        <v>0</v>
      </c>
      <c r="BB297" s="98">
        <f t="shared" si="461"/>
        <v>0</v>
      </c>
      <c r="BC297" s="98">
        <f t="shared" si="462"/>
        <v>0</v>
      </c>
      <c r="BD297" s="98">
        <f t="shared" si="463"/>
        <v>0</v>
      </c>
      <c r="BE297" s="98">
        <f t="shared" si="464"/>
        <v>0</v>
      </c>
      <c r="BF297" s="98">
        <f t="shared" si="465"/>
        <v>85308.148649926065</v>
      </c>
      <c r="BG297" s="98">
        <f t="shared" si="466"/>
        <v>0</v>
      </c>
      <c r="BH297" s="98">
        <f t="shared" si="467"/>
        <v>0</v>
      </c>
      <c r="BI297" s="98">
        <f t="shared" si="468"/>
        <v>0</v>
      </c>
      <c r="BJ297" s="98">
        <f t="shared" si="469"/>
        <v>0</v>
      </c>
      <c r="BK297" s="98">
        <f t="shared" si="470"/>
        <v>0</v>
      </c>
      <c r="BL297" s="98">
        <f t="shared" si="471"/>
        <v>0</v>
      </c>
      <c r="BM297" s="98">
        <f t="shared" si="472"/>
        <v>0</v>
      </c>
      <c r="BN297" s="98">
        <f t="shared" si="473"/>
        <v>0</v>
      </c>
      <c r="BO297" s="98">
        <f t="shared" si="474"/>
        <v>0</v>
      </c>
      <c r="BP297" s="98">
        <f t="shared" si="475"/>
        <v>0</v>
      </c>
      <c r="BQ297" s="98">
        <f t="shared" si="476"/>
        <v>0</v>
      </c>
      <c r="BR297" s="98">
        <f t="shared" si="477"/>
        <v>16713.383155073916</v>
      </c>
      <c r="BS297" s="124"/>
      <c r="BT297" s="124"/>
      <c r="BU297" s="124"/>
      <c r="BV297" s="124"/>
      <c r="BW297" s="124"/>
      <c r="BX297" s="124"/>
      <c r="BY297" s="124"/>
      <c r="BZ297" s="124"/>
      <c r="CA297" s="124"/>
      <c r="CB297" s="124"/>
      <c r="CC297" s="124"/>
      <c r="CD297" s="124"/>
      <c r="CE297" s="124"/>
      <c r="CF297" s="124"/>
      <c r="CG297" s="124"/>
      <c r="CH297" s="124"/>
      <c r="CI297" s="124"/>
      <c r="CJ297" s="124"/>
      <c r="CK297" s="124"/>
      <c r="CL297" s="124"/>
      <c r="CM297" s="124"/>
      <c r="CN297" s="124"/>
      <c r="CO297" s="124"/>
      <c r="CP297" s="124"/>
      <c r="CQ297" s="124"/>
      <c r="CR297" s="124"/>
      <c r="CS297" s="124"/>
      <c r="CT297" s="124"/>
      <c r="CU297" s="124"/>
      <c r="CV297" s="124"/>
      <c r="CW297" s="124"/>
      <c r="CX297" s="124"/>
      <c r="CY297" s="124"/>
      <c r="CZ297" s="124"/>
      <c r="DA297" s="124"/>
      <c r="DB297" s="124"/>
      <c r="DC297" s="124"/>
      <c r="DD297" s="124"/>
      <c r="DE297" s="124"/>
      <c r="DF297" s="124"/>
      <c r="DG297" s="124"/>
      <c r="DH297" s="124"/>
      <c r="DI297" s="124"/>
      <c r="DJ297" s="124"/>
      <c r="DK297" s="124"/>
      <c r="DL297" s="124"/>
      <c r="DM297" s="124"/>
      <c r="DN297" s="124"/>
      <c r="DO297" s="124"/>
      <c r="DP297" s="124"/>
      <c r="DQ297" s="124"/>
      <c r="DR297" s="124"/>
      <c r="DS297" s="124"/>
      <c r="DT297" s="124"/>
      <c r="DU297" s="124"/>
      <c r="DV297" s="124"/>
      <c r="DW297" s="124"/>
      <c r="DX297" s="124"/>
      <c r="DY297" s="124"/>
      <c r="DZ297" s="124"/>
      <c r="EA297" s="124"/>
      <c r="EB297" s="124"/>
      <c r="EC297" s="124"/>
      <c r="ED297" s="124"/>
      <c r="EE297" s="124"/>
      <c r="EF297" s="124"/>
      <c r="EG297" s="124"/>
      <c r="EH297" s="124"/>
      <c r="EI297" s="124"/>
      <c r="EJ297" s="124"/>
      <c r="EK297" s="124"/>
      <c r="EL297" s="124"/>
      <c r="EM297" s="124"/>
      <c r="EN297" s="124"/>
      <c r="EO297" s="124"/>
      <c r="EP297" s="124"/>
      <c r="EQ297" s="124"/>
      <c r="ER297" s="124"/>
      <c r="ES297" s="124"/>
      <c r="ET297" s="124"/>
      <c r="EU297" s="124"/>
      <c r="EV297" s="124"/>
      <c r="EW297" s="124"/>
      <c r="EX297" s="124"/>
      <c r="EY297" s="124"/>
      <c r="EZ297" s="124"/>
    </row>
    <row r="298" spans="1:156" x14ac:dyDescent="0.25">
      <c r="A298" t="s">
        <v>162</v>
      </c>
      <c r="B298" t="s">
        <v>17</v>
      </c>
      <c r="C298">
        <v>2025</v>
      </c>
      <c r="D298" s="98">
        <f>INDEX('Reference Sheet'!$G$9:$J$100, MATCH(A298,'Reference Sheet'!$F$9:$F$100,0), MATCH(C298,'Reference Sheet'!$G$8:$J$8,0))/2080</f>
        <v>2.1760528846153844</v>
      </c>
      <c r="E298" s="99">
        <f>VLOOKUP(C298,'Reference Sheet'!$A$2:$B$5,2)</f>
        <v>0.22450000000000001</v>
      </c>
      <c r="F298" s="98">
        <f t="shared" si="435"/>
        <v>2.6645767572115382</v>
      </c>
      <c r="G298" s="124"/>
      <c r="H298" s="124"/>
      <c r="I298" s="124"/>
      <c r="J298" s="124"/>
      <c r="K298" s="124"/>
      <c r="L298" s="124"/>
      <c r="M298" s="124"/>
      <c r="N298" s="124">
        <v>100</v>
      </c>
      <c r="O298" s="124"/>
      <c r="P298" s="124"/>
      <c r="Q298" s="124"/>
      <c r="R298" s="124"/>
      <c r="S298" s="124"/>
      <c r="T298" s="124"/>
      <c r="U298" s="124"/>
      <c r="V298" s="124"/>
      <c r="W298" s="124"/>
      <c r="X298" s="124"/>
      <c r="Y298" s="124"/>
      <c r="Z298" s="124"/>
      <c r="AA298" s="98">
        <f t="shared" si="408"/>
        <v>100</v>
      </c>
      <c r="AB298" s="124">
        <v>100</v>
      </c>
      <c r="AC298" s="98">
        <f t="shared" si="436"/>
        <v>0</v>
      </c>
      <c r="AD298" s="100">
        <f t="shared" si="437"/>
        <v>0</v>
      </c>
      <c r="AE298" s="100">
        <f t="shared" si="438"/>
        <v>0</v>
      </c>
      <c r="AF298" s="100">
        <f t="shared" si="439"/>
        <v>0</v>
      </c>
      <c r="AG298" s="100">
        <f t="shared" si="440"/>
        <v>0</v>
      </c>
      <c r="AH298" s="100">
        <f t="shared" si="441"/>
        <v>0</v>
      </c>
      <c r="AI298" s="100">
        <f t="shared" si="442"/>
        <v>0</v>
      </c>
      <c r="AJ298" s="100">
        <f t="shared" si="443"/>
        <v>0</v>
      </c>
      <c r="AK298" s="100">
        <f t="shared" si="444"/>
        <v>100</v>
      </c>
      <c r="AL298" s="100">
        <f t="shared" si="445"/>
        <v>0</v>
      </c>
      <c r="AM298" s="100">
        <f t="shared" si="446"/>
        <v>0</v>
      </c>
      <c r="AN298" s="100">
        <f t="shared" si="447"/>
        <v>0</v>
      </c>
      <c r="AO298" s="100">
        <f t="shared" si="448"/>
        <v>0</v>
      </c>
      <c r="AP298" s="100">
        <f t="shared" si="449"/>
        <v>0</v>
      </c>
      <c r="AQ298" s="100">
        <f t="shared" si="450"/>
        <v>0</v>
      </c>
      <c r="AR298" s="100">
        <f t="shared" si="451"/>
        <v>0</v>
      </c>
      <c r="AS298" s="100">
        <f t="shared" si="452"/>
        <v>0</v>
      </c>
      <c r="AT298" s="100">
        <f t="shared" si="453"/>
        <v>0</v>
      </c>
      <c r="AU298" s="100">
        <f t="shared" si="454"/>
        <v>0</v>
      </c>
      <c r="AV298" s="100">
        <f t="shared" si="455"/>
        <v>0</v>
      </c>
      <c r="AW298" s="100">
        <f t="shared" si="456"/>
        <v>0</v>
      </c>
      <c r="AX298">
        <f t="shared" si="457"/>
        <v>100</v>
      </c>
      <c r="AY298" s="98">
        <f t="shared" si="458"/>
        <v>0</v>
      </c>
      <c r="AZ298" s="98">
        <f t="shared" si="459"/>
        <v>0</v>
      </c>
      <c r="BA298" s="98">
        <f t="shared" si="460"/>
        <v>0</v>
      </c>
      <c r="BB298" s="98">
        <f t="shared" si="461"/>
        <v>0</v>
      </c>
      <c r="BC298" s="98">
        <f t="shared" si="462"/>
        <v>0</v>
      </c>
      <c r="BD298" s="98">
        <f t="shared" si="463"/>
        <v>0</v>
      </c>
      <c r="BE298" s="98">
        <f t="shared" si="464"/>
        <v>0</v>
      </c>
      <c r="BF298" s="98">
        <f t="shared" si="465"/>
        <v>266.45767572115381</v>
      </c>
      <c r="BG298" s="98">
        <f t="shared" si="466"/>
        <v>0</v>
      </c>
      <c r="BH298" s="98">
        <f t="shared" si="467"/>
        <v>0</v>
      </c>
      <c r="BI298" s="98">
        <f t="shared" si="468"/>
        <v>0</v>
      </c>
      <c r="BJ298" s="98">
        <f t="shared" si="469"/>
        <v>0</v>
      </c>
      <c r="BK298" s="98">
        <f t="shared" si="470"/>
        <v>0</v>
      </c>
      <c r="BL298" s="98">
        <f t="shared" si="471"/>
        <v>0</v>
      </c>
      <c r="BM298" s="98">
        <f t="shared" si="472"/>
        <v>0</v>
      </c>
      <c r="BN298" s="98">
        <f t="shared" si="473"/>
        <v>0</v>
      </c>
      <c r="BO298" s="98">
        <f t="shared" si="474"/>
        <v>0</v>
      </c>
      <c r="BP298" s="98">
        <f t="shared" si="475"/>
        <v>0</v>
      </c>
      <c r="BQ298" s="98">
        <f t="shared" si="476"/>
        <v>0</v>
      </c>
      <c r="BR298" s="98">
        <f t="shared" si="477"/>
        <v>0</v>
      </c>
      <c r="BS298" s="124"/>
      <c r="BT298" s="124"/>
      <c r="BU298" s="124"/>
      <c r="BV298" s="124"/>
      <c r="BW298" s="124"/>
      <c r="BX298" s="124"/>
      <c r="BY298" s="124"/>
      <c r="BZ298" s="124"/>
      <c r="CA298" s="124"/>
      <c r="CB298" s="124"/>
      <c r="CC298" s="124"/>
      <c r="CD298" s="124"/>
      <c r="CE298" s="124"/>
      <c r="CF298" s="124"/>
      <c r="CG298" s="124"/>
      <c r="CH298" s="124"/>
      <c r="CI298" s="124"/>
      <c r="CJ298" s="124"/>
      <c r="CK298" s="124"/>
      <c r="CL298" s="124"/>
      <c r="CM298" s="124"/>
      <c r="CN298" s="124"/>
      <c r="CO298" s="124"/>
      <c r="CP298" s="124"/>
      <c r="CQ298" s="124"/>
      <c r="CR298" s="124"/>
      <c r="CS298" s="124"/>
      <c r="CT298" s="124"/>
      <c r="CU298" s="124"/>
      <c r="CV298" s="124"/>
      <c r="CW298" s="124"/>
      <c r="CX298" s="124"/>
      <c r="CY298" s="124"/>
      <c r="CZ298" s="124"/>
      <c r="DA298" s="124"/>
      <c r="DB298" s="124"/>
      <c r="DC298" s="124"/>
      <c r="DD298" s="124"/>
      <c r="DE298" s="124"/>
      <c r="DF298" s="124"/>
      <c r="DG298" s="124"/>
      <c r="DH298" s="124"/>
      <c r="DI298" s="124"/>
      <c r="DJ298" s="124"/>
      <c r="DK298" s="124"/>
      <c r="DL298" s="124"/>
      <c r="DM298" s="124"/>
      <c r="DN298" s="124"/>
      <c r="DO298" s="124"/>
      <c r="DP298" s="124"/>
      <c r="DQ298" s="124"/>
      <c r="DR298" s="124"/>
      <c r="DS298" s="124"/>
      <c r="DT298" s="124"/>
      <c r="DU298" s="124"/>
      <c r="DV298" s="124"/>
      <c r="DW298" s="124"/>
      <c r="DX298" s="124"/>
      <c r="DY298" s="124"/>
      <c r="DZ298" s="124"/>
      <c r="EA298" s="124"/>
      <c r="EB298" s="124"/>
      <c r="EC298" s="124"/>
      <c r="ED298" s="124"/>
      <c r="EE298" s="124"/>
      <c r="EF298" s="124"/>
      <c r="EG298" s="124"/>
      <c r="EH298" s="124"/>
      <c r="EI298" s="124"/>
      <c r="EJ298" s="124"/>
      <c r="EK298" s="124"/>
      <c r="EL298" s="124"/>
      <c r="EM298" s="124"/>
      <c r="EN298" s="124"/>
      <c r="EO298" s="124"/>
      <c r="EP298" s="124"/>
      <c r="EQ298" s="124"/>
      <c r="ER298" s="124"/>
      <c r="ES298" s="124"/>
      <c r="ET298" s="124"/>
      <c r="EU298" s="124"/>
      <c r="EV298" s="124"/>
      <c r="EW298" s="124"/>
      <c r="EX298" s="124"/>
      <c r="EY298" s="124"/>
      <c r="EZ298" s="124"/>
    </row>
    <row r="299" spans="1:156" x14ac:dyDescent="0.25">
      <c r="A299" t="s">
        <v>163</v>
      </c>
      <c r="B299" t="s">
        <v>17</v>
      </c>
      <c r="C299">
        <v>2025</v>
      </c>
      <c r="D299" s="98">
        <f>INDEX('Reference Sheet'!$G$9:$J$100, MATCH(A299,'Reference Sheet'!$F$9:$F$100,0), MATCH(C299,'Reference Sheet'!$G$8:$J$8,0))/2080</f>
        <v>2.1794326923076923</v>
      </c>
      <c r="E299" s="99">
        <f>VLOOKUP(C299,'Reference Sheet'!$A$2:$B$5,2)</f>
        <v>0.22450000000000001</v>
      </c>
      <c r="F299" s="98">
        <f t="shared" si="435"/>
        <v>2.6687153317307692</v>
      </c>
      <c r="G299" s="124"/>
      <c r="H299" s="124"/>
      <c r="I299" s="124"/>
      <c r="J299" s="124"/>
      <c r="K299" s="124"/>
      <c r="L299" s="124"/>
      <c r="M299" s="124"/>
      <c r="N299" s="124">
        <v>100</v>
      </c>
      <c r="O299" s="124"/>
      <c r="P299" s="124"/>
      <c r="Q299" s="124"/>
      <c r="R299" s="124"/>
      <c r="S299" s="124"/>
      <c r="T299" s="124"/>
      <c r="U299" s="124"/>
      <c r="V299" s="124"/>
      <c r="W299" s="124"/>
      <c r="X299" s="124"/>
      <c r="Y299" s="124"/>
      <c r="Z299" s="124"/>
      <c r="AA299" s="98">
        <f t="shared" si="408"/>
        <v>100</v>
      </c>
      <c r="AB299" s="124">
        <v>100</v>
      </c>
      <c r="AC299" s="98">
        <f t="shared" si="436"/>
        <v>0</v>
      </c>
      <c r="AD299" s="100">
        <f t="shared" si="437"/>
        <v>0</v>
      </c>
      <c r="AE299" s="100">
        <f t="shared" si="438"/>
        <v>0</v>
      </c>
      <c r="AF299" s="100">
        <f t="shared" si="439"/>
        <v>0</v>
      </c>
      <c r="AG299" s="100">
        <f t="shared" si="440"/>
        <v>0</v>
      </c>
      <c r="AH299" s="100">
        <f t="shared" si="441"/>
        <v>0</v>
      </c>
      <c r="AI299" s="100">
        <f t="shared" si="442"/>
        <v>0</v>
      </c>
      <c r="AJ299" s="100">
        <f t="shared" si="443"/>
        <v>0</v>
      </c>
      <c r="AK299" s="100">
        <f t="shared" si="444"/>
        <v>100</v>
      </c>
      <c r="AL299" s="100">
        <f t="shared" si="445"/>
        <v>0</v>
      </c>
      <c r="AM299" s="100">
        <f t="shared" si="446"/>
        <v>0</v>
      </c>
      <c r="AN299" s="100">
        <f t="shared" si="447"/>
        <v>0</v>
      </c>
      <c r="AO299" s="100">
        <f t="shared" si="448"/>
        <v>0</v>
      </c>
      <c r="AP299" s="100">
        <f t="shared" si="449"/>
        <v>0</v>
      </c>
      <c r="AQ299" s="100">
        <f t="shared" si="450"/>
        <v>0</v>
      </c>
      <c r="AR299" s="100">
        <f t="shared" si="451"/>
        <v>0</v>
      </c>
      <c r="AS299" s="100">
        <f t="shared" si="452"/>
        <v>0</v>
      </c>
      <c r="AT299" s="100">
        <f t="shared" si="453"/>
        <v>0</v>
      </c>
      <c r="AU299" s="100">
        <f t="shared" si="454"/>
        <v>0</v>
      </c>
      <c r="AV299" s="100">
        <f t="shared" si="455"/>
        <v>0</v>
      </c>
      <c r="AW299" s="100">
        <f t="shared" si="456"/>
        <v>0</v>
      </c>
      <c r="AX299">
        <f t="shared" si="457"/>
        <v>100</v>
      </c>
      <c r="AY299" s="98">
        <f t="shared" si="458"/>
        <v>0</v>
      </c>
      <c r="AZ299" s="98">
        <f t="shared" si="459"/>
        <v>0</v>
      </c>
      <c r="BA299" s="98">
        <f t="shared" si="460"/>
        <v>0</v>
      </c>
      <c r="BB299" s="98">
        <f t="shared" si="461"/>
        <v>0</v>
      </c>
      <c r="BC299" s="98">
        <f t="shared" si="462"/>
        <v>0</v>
      </c>
      <c r="BD299" s="98">
        <f t="shared" si="463"/>
        <v>0</v>
      </c>
      <c r="BE299" s="98">
        <f t="shared" si="464"/>
        <v>0</v>
      </c>
      <c r="BF299" s="98">
        <f t="shared" si="465"/>
        <v>266.8715331730769</v>
      </c>
      <c r="BG299" s="98">
        <f t="shared" si="466"/>
        <v>0</v>
      </c>
      <c r="BH299" s="98">
        <f t="shared" si="467"/>
        <v>0</v>
      </c>
      <c r="BI299" s="98">
        <f t="shared" si="468"/>
        <v>0</v>
      </c>
      <c r="BJ299" s="98">
        <f t="shared" si="469"/>
        <v>0</v>
      </c>
      <c r="BK299" s="98">
        <f t="shared" si="470"/>
        <v>0</v>
      </c>
      <c r="BL299" s="98">
        <f t="shared" si="471"/>
        <v>0</v>
      </c>
      <c r="BM299" s="98">
        <f t="shared" si="472"/>
        <v>0</v>
      </c>
      <c r="BN299" s="98">
        <f t="shared" si="473"/>
        <v>0</v>
      </c>
      <c r="BO299" s="98">
        <f t="shared" si="474"/>
        <v>0</v>
      </c>
      <c r="BP299" s="98">
        <f t="shared" si="475"/>
        <v>0</v>
      </c>
      <c r="BQ299" s="98">
        <f t="shared" si="476"/>
        <v>0</v>
      </c>
      <c r="BR299" s="98">
        <f t="shared" si="477"/>
        <v>0</v>
      </c>
      <c r="BS299" s="124"/>
      <c r="BT299" s="124"/>
      <c r="BU299" s="124"/>
      <c r="BV299" s="124"/>
      <c r="BW299" s="124"/>
      <c r="BX299" s="124"/>
      <c r="BY299" s="124"/>
      <c r="BZ299" s="124"/>
      <c r="CA299" s="124"/>
      <c r="CB299" s="124"/>
      <c r="CC299" s="124"/>
      <c r="CD299" s="124"/>
      <c r="CE299" s="124"/>
      <c r="CF299" s="124"/>
      <c r="CG299" s="124"/>
      <c r="CH299" s="124"/>
      <c r="CI299" s="124"/>
      <c r="CJ299" s="124"/>
      <c r="CK299" s="124"/>
      <c r="CL299" s="124"/>
      <c r="CM299" s="124"/>
      <c r="CN299" s="124"/>
      <c r="CO299" s="124"/>
      <c r="CP299" s="124"/>
      <c r="CQ299" s="124"/>
      <c r="CR299" s="124"/>
      <c r="CS299" s="124"/>
      <c r="CT299" s="124"/>
      <c r="CU299" s="124"/>
      <c r="CV299" s="124"/>
      <c r="CW299" s="124"/>
      <c r="CX299" s="124"/>
      <c r="CY299" s="124"/>
      <c r="CZ299" s="124"/>
      <c r="DA299" s="124"/>
      <c r="DB299" s="124"/>
      <c r="DC299" s="124"/>
      <c r="DD299" s="124"/>
      <c r="DE299" s="124"/>
      <c r="DF299" s="124"/>
      <c r="DG299" s="124"/>
      <c r="DH299" s="124"/>
      <c r="DI299" s="124"/>
      <c r="DJ299" s="124"/>
      <c r="DK299" s="124"/>
      <c r="DL299" s="124"/>
      <c r="DM299" s="124"/>
      <c r="DN299" s="124"/>
      <c r="DO299" s="124"/>
      <c r="DP299" s="124"/>
      <c r="DQ299" s="124"/>
      <c r="DR299" s="124"/>
      <c r="DS299" s="124"/>
      <c r="DT299" s="124"/>
      <c r="DU299" s="124"/>
      <c r="DV299" s="124"/>
      <c r="DW299" s="124"/>
      <c r="DX299" s="124"/>
      <c r="DY299" s="124"/>
      <c r="DZ299" s="124"/>
      <c r="EA299" s="124"/>
      <c r="EB299" s="124"/>
      <c r="EC299" s="124"/>
      <c r="ED299" s="124"/>
      <c r="EE299" s="124"/>
      <c r="EF299" s="124"/>
      <c r="EG299" s="124"/>
      <c r="EH299" s="124"/>
      <c r="EI299" s="124"/>
      <c r="EJ299" s="124"/>
      <c r="EK299" s="124"/>
      <c r="EL299" s="124"/>
      <c r="EM299" s="124"/>
      <c r="EN299" s="124"/>
      <c r="EO299" s="124"/>
      <c r="EP299" s="124"/>
      <c r="EQ299" s="124"/>
      <c r="ER299" s="124"/>
      <c r="ES299" s="124"/>
      <c r="ET299" s="124"/>
      <c r="EU299" s="124"/>
      <c r="EV299" s="124"/>
      <c r="EW299" s="124"/>
      <c r="EX299" s="124"/>
      <c r="EY299" s="124"/>
      <c r="EZ299" s="124"/>
    </row>
    <row r="300" spans="1:156" x14ac:dyDescent="0.25">
      <c r="A300" t="s">
        <v>164</v>
      </c>
      <c r="B300" t="s">
        <v>17</v>
      </c>
      <c r="C300">
        <v>2025</v>
      </c>
      <c r="D300" s="98">
        <f>INDEX('Reference Sheet'!$G$9:$J$100, MATCH(A300,'Reference Sheet'!$F$9:$F$100,0), MATCH(C300,'Reference Sheet'!$G$8:$J$8,0))/2080</f>
        <v>31.368889423076922</v>
      </c>
      <c r="E300" s="99">
        <f>VLOOKUP(C300,'Reference Sheet'!$A$2:$B$5,2)</f>
        <v>0.22450000000000001</v>
      </c>
      <c r="F300" s="98">
        <f t="shared" si="435"/>
        <v>38.411205098557687</v>
      </c>
      <c r="G300" s="124"/>
      <c r="H300" s="124"/>
      <c r="I300" s="124"/>
      <c r="J300" s="124"/>
      <c r="K300" s="124"/>
      <c r="L300" s="124"/>
      <c r="M300" s="124"/>
      <c r="N300" s="124"/>
      <c r="O300" s="124"/>
      <c r="P300" s="124"/>
      <c r="Q300" s="124"/>
      <c r="R300" s="124"/>
      <c r="S300" s="124"/>
      <c r="T300" s="124">
        <v>100</v>
      </c>
      <c r="U300" s="124"/>
      <c r="V300" s="124"/>
      <c r="W300" s="124"/>
      <c r="X300" s="124"/>
      <c r="Y300" s="124"/>
      <c r="Z300" s="124"/>
      <c r="AA300" s="98">
        <f t="shared" si="408"/>
        <v>100</v>
      </c>
      <c r="AB300" s="124">
        <v>100</v>
      </c>
      <c r="AC300" s="98">
        <f t="shared" si="436"/>
        <v>0</v>
      </c>
      <c r="AD300" s="100">
        <f t="shared" si="437"/>
        <v>0</v>
      </c>
      <c r="AE300" s="100">
        <f t="shared" si="438"/>
        <v>0</v>
      </c>
      <c r="AF300" s="100">
        <f t="shared" si="439"/>
        <v>0</v>
      </c>
      <c r="AG300" s="100">
        <f t="shared" si="440"/>
        <v>0</v>
      </c>
      <c r="AH300" s="100">
        <f t="shared" si="441"/>
        <v>0</v>
      </c>
      <c r="AI300" s="100">
        <f t="shared" si="442"/>
        <v>0</v>
      </c>
      <c r="AJ300" s="100">
        <f t="shared" si="443"/>
        <v>0</v>
      </c>
      <c r="AK300" s="100">
        <f t="shared" si="444"/>
        <v>0</v>
      </c>
      <c r="AL300" s="100">
        <f t="shared" si="445"/>
        <v>0</v>
      </c>
      <c r="AM300" s="100">
        <f t="shared" si="446"/>
        <v>0</v>
      </c>
      <c r="AN300" s="100">
        <f t="shared" si="447"/>
        <v>0</v>
      </c>
      <c r="AO300" s="100">
        <f t="shared" si="448"/>
        <v>0</v>
      </c>
      <c r="AP300" s="100">
        <f t="shared" si="449"/>
        <v>0</v>
      </c>
      <c r="AQ300" s="100">
        <f t="shared" si="450"/>
        <v>100</v>
      </c>
      <c r="AR300" s="100">
        <f t="shared" si="451"/>
        <v>0</v>
      </c>
      <c r="AS300" s="100">
        <f t="shared" si="452"/>
        <v>0</v>
      </c>
      <c r="AT300" s="100">
        <f t="shared" si="453"/>
        <v>0</v>
      </c>
      <c r="AU300" s="100">
        <f t="shared" si="454"/>
        <v>0</v>
      </c>
      <c r="AV300" s="100">
        <f t="shared" si="455"/>
        <v>0</v>
      </c>
      <c r="AW300" s="100">
        <f t="shared" si="456"/>
        <v>0</v>
      </c>
      <c r="AX300">
        <f t="shared" si="457"/>
        <v>100</v>
      </c>
      <c r="AY300" s="98">
        <f t="shared" si="458"/>
        <v>0</v>
      </c>
      <c r="AZ300" s="98">
        <f t="shared" si="459"/>
        <v>0</v>
      </c>
      <c r="BA300" s="98">
        <f t="shared" si="460"/>
        <v>0</v>
      </c>
      <c r="BB300" s="98">
        <f t="shared" si="461"/>
        <v>0</v>
      </c>
      <c r="BC300" s="98">
        <f t="shared" si="462"/>
        <v>0</v>
      </c>
      <c r="BD300" s="98">
        <f t="shared" si="463"/>
        <v>0</v>
      </c>
      <c r="BE300" s="98">
        <f t="shared" si="464"/>
        <v>0</v>
      </c>
      <c r="BF300" s="98">
        <f t="shared" si="465"/>
        <v>0</v>
      </c>
      <c r="BG300" s="98">
        <f t="shared" si="466"/>
        <v>0</v>
      </c>
      <c r="BH300" s="98">
        <f t="shared" si="467"/>
        <v>0</v>
      </c>
      <c r="BI300" s="98">
        <f t="shared" si="468"/>
        <v>0</v>
      </c>
      <c r="BJ300" s="98">
        <f t="shared" si="469"/>
        <v>0</v>
      </c>
      <c r="BK300" s="98">
        <f t="shared" si="470"/>
        <v>0</v>
      </c>
      <c r="BL300" s="98">
        <f t="shared" si="471"/>
        <v>3841.1205098557689</v>
      </c>
      <c r="BM300" s="98">
        <f t="shared" si="472"/>
        <v>0</v>
      </c>
      <c r="BN300" s="98">
        <f t="shared" si="473"/>
        <v>0</v>
      </c>
      <c r="BO300" s="98">
        <f t="shared" si="474"/>
        <v>0</v>
      </c>
      <c r="BP300" s="98">
        <f t="shared" si="475"/>
        <v>0</v>
      </c>
      <c r="BQ300" s="98">
        <f t="shared" si="476"/>
        <v>0</v>
      </c>
      <c r="BR300" s="98">
        <f t="shared" si="477"/>
        <v>0</v>
      </c>
      <c r="BS300" s="124"/>
      <c r="BT300" s="124"/>
      <c r="BU300" s="124"/>
      <c r="BV300" s="124"/>
      <c r="BW300" s="124"/>
      <c r="BX300" s="124"/>
      <c r="BY300" s="124"/>
      <c r="BZ300" s="124"/>
      <c r="CA300" s="124"/>
      <c r="CB300" s="124"/>
      <c r="CC300" s="124"/>
      <c r="CD300" s="124"/>
      <c r="CE300" s="124"/>
      <c r="CF300" s="124"/>
      <c r="CG300" s="124"/>
      <c r="CH300" s="124"/>
      <c r="CI300" s="124"/>
      <c r="CJ300" s="124"/>
      <c r="CK300" s="124"/>
      <c r="CL300" s="124"/>
      <c r="CM300" s="124"/>
      <c r="CN300" s="124"/>
      <c r="CO300" s="124"/>
      <c r="CP300" s="124"/>
      <c r="CQ300" s="124"/>
      <c r="CR300" s="124"/>
      <c r="CS300" s="124"/>
      <c r="CT300" s="124"/>
      <c r="CU300" s="124"/>
      <c r="CV300" s="124"/>
      <c r="CW300" s="124"/>
      <c r="CX300" s="124"/>
      <c r="CY300" s="124"/>
      <c r="CZ300" s="124"/>
      <c r="DA300" s="124"/>
      <c r="DB300" s="124"/>
      <c r="DC300" s="124"/>
      <c r="DD300" s="124"/>
      <c r="DE300" s="124"/>
      <c r="DF300" s="124"/>
      <c r="DG300" s="124"/>
      <c r="DH300" s="124"/>
      <c r="DI300" s="124"/>
      <c r="DJ300" s="124"/>
      <c r="DK300" s="124"/>
      <c r="DL300" s="124"/>
      <c r="DM300" s="124"/>
      <c r="DN300" s="124"/>
      <c r="DO300" s="124"/>
      <c r="DP300" s="124"/>
      <c r="DQ300" s="124"/>
      <c r="DR300" s="124"/>
      <c r="DS300" s="124"/>
      <c r="DT300" s="124"/>
      <c r="DU300" s="124"/>
      <c r="DV300" s="124"/>
      <c r="DW300" s="124"/>
      <c r="DX300" s="124"/>
      <c r="DY300" s="124"/>
      <c r="DZ300" s="124"/>
      <c r="EA300" s="124"/>
      <c r="EB300" s="124"/>
      <c r="EC300" s="124"/>
      <c r="ED300" s="124"/>
      <c r="EE300" s="124"/>
      <c r="EF300" s="124"/>
      <c r="EG300" s="124"/>
      <c r="EH300" s="124"/>
      <c r="EI300" s="124"/>
      <c r="EJ300" s="124"/>
      <c r="EK300" s="124"/>
      <c r="EL300" s="124"/>
      <c r="EM300" s="124"/>
      <c r="EN300" s="124"/>
      <c r="EO300" s="124"/>
      <c r="EP300" s="124"/>
      <c r="EQ300" s="124"/>
      <c r="ER300" s="124"/>
      <c r="ES300" s="124"/>
      <c r="ET300" s="124"/>
      <c r="EU300" s="124"/>
      <c r="EV300" s="124"/>
      <c r="EW300" s="124"/>
      <c r="EX300" s="124"/>
      <c r="EY300" s="124"/>
      <c r="EZ300" s="124"/>
    </row>
    <row r="301" spans="1:156" x14ac:dyDescent="0.25">
      <c r="A301" t="s">
        <v>165</v>
      </c>
      <c r="B301" t="s">
        <v>17</v>
      </c>
      <c r="C301">
        <v>2025</v>
      </c>
      <c r="D301" s="98">
        <f>INDEX('Reference Sheet'!$G$9:$J$100, MATCH(A301,'Reference Sheet'!$F$9:$F$100,0), MATCH(C301,'Reference Sheet'!$G$8:$J$8,0))/2080</f>
        <v>0.10605288461538462</v>
      </c>
      <c r="E301" s="99">
        <f>VLOOKUP(C301,'Reference Sheet'!$A$2:$B$5,2)</f>
        <v>0.22450000000000001</v>
      </c>
      <c r="F301" s="98">
        <f t="shared" si="435"/>
        <v>0.12986175721153845</v>
      </c>
      <c r="G301" s="124"/>
      <c r="H301" s="124"/>
      <c r="I301" s="124"/>
      <c r="J301" s="124"/>
      <c r="K301" s="124"/>
      <c r="L301" s="124"/>
      <c r="M301" s="124"/>
      <c r="N301" s="124">
        <v>100</v>
      </c>
      <c r="O301" s="124"/>
      <c r="P301" s="124"/>
      <c r="Q301" s="124"/>
      <c r="R301" s="124"/>
      <c r="S301" s="124"/>
      <c r="T301" s="124"/>
      <c r="U301" s="124"/>
      <c r="V301" s="124"/>
      <c r="W301" s="124"/>
      <c r="X301" s="124"/>
      <c r="Y301" s="124"/>
      <c r="Z301" s="124"/>
      <c r="AA301" s="98">
        <f t="shared" si="408"/>
        <v>100</v>
      </c>
      <c r="AB301" s="124">
        <v>100</v>
      </c>
      <c r="AC301" s="98">
        <f t="shared" si="436"/>
        <v>0</v>
      </c>
      <c r="AD301" s="100">
        <f t="shared" si="437"/>
        <v>0</v>
      </c>
      <c r="AE301" s="100">
        <f t="shared" si="438"/>
        <v>0</v>
      </c>
      <c r="AF301" s="100">
        <f t="shared" si="439"/>
        <v>0</v>
      </c>
      <c r="AG301" s="100">
        <f t="shared" si="440"/>
        <v>0</v>
      </c>
      <c r="AH301" s="100">
        <f t="shared" si="441"/>
        <v>0</v>
      </c>
      <c r="AI301" s="100">
        <f t="shared" si="442"/>
        <v>0</v>
      </c>
      <c r="AJ301" s="100">
        <f t="shared" si="443"/>
        <v>0</v>
      </c>
      <c r="AK301" s="100">
        <f t="shared" si="444"/>
        <v>100</v>
      </c>
      <c r="AL301" s="100">
        <f t="shared" si="445"/>
        <v>0</v>
      </c>
      <c r="AM301" s="100">
        <f t="shared" si="446"/>
        <v>0</v>
      </c>
      <c r="AN301" s="100">
        <f t="shared" si="447"/>
        <v>0</v>
      </c>
      <c r="AO301" s="100">
        <f t="shared" si="448"/>
        <v>0</v>
      </c>
      <c r="AP301" s="100">
        <f t="shared" si="449"/>
        <v>0</v>
      </c>
      <c r="AQ301" s="100">
        <f t="shared" si="450"/>
        <v>0</v>
      </c>
      <c r="AR301" s="100">
        <f t="shared" si="451"/>
        <v>0</v>
      </c>
      <c r="AS301" s="100">
        <f t="shared" si="452"/>
        <v>0</v>
      </c>
      <c r="AT301" s="100">
        <f t="shared" si="453"/>
        <v>0</v>
      </c>
      <c r="AU301" s="100">
        <f t="shared" si="454"/>
        <v>0</v>
      </c>
      <c r="AV301" s="100">
        <f t="shared" si="455"/>
        <v>0</v>
      </c>
      <c r="AW301" s="100">
        <f t="shared" si="456"/>
        <v>0</v>
      </c>
      <c r="AX301">
        <f t="shared" si="457"/>
        <v>100</v>
      </c>
      <c r="AY301" s="98">
        <f t="shared" si="458"/>
        <v>0</v>
      </c>
      <c r="AZ301" s="98">
        <f t="shared" si="459"/>
        <v>0</v>
      </c>
      <c r="BA301" s="98">
        <f t="shared" si="460"/>
        <v>0</v>
      </c>
      <c r="BB301" s="98">
        <f t="shared" si="461"/>
        <v>0</v>
      </c>
      <c r="BC301" s="98">
        <f t="shared" si="462"/>
        <v>0</v>
      </c>
      <c r="BD301" s="98">
        <f t="shared" si="463"/>
        <v>0</v>
      </c>
      <c r="BE301" s="98">
        <f t="shared" si="464"/>
        <v>0</v>
      </c>
      <c r="BF301" s="98">
        <f t="shared" si="465"/>
        <v>12.986175721153845</v>
      </c>
      <c r="BG301" s="98">
        <f t="shared" si="466"/>
        <v>0</v>
      </c>
      <c r="BH301" s="98">
        <f t="shared" si="467"/>
        <v>0</v>
      </c>
      <c r="BI301" s="98">
        <f t="shared" si="468"/>
        <v>0</v>
      </c>
      <c r="BJ301" s="98">
        <f t="shared" si="469"/>
        <v>0</v>
      </c>
      <c r="BK301" s="98">
        <f t="shared" si="470"/>
        <v>0</v>
      </c>
      <c r="BL301" s="98">
        <f t="shared" si="471"/>
        <v>0</v>
      </c>
      <c r="BM301" s="98">
        <f t="shared" si="472"/>
        <v>0</v>
      </c>
      <c r="BN301" s="98">
        <f t="shared" si="473"/>
        <v>0</v>
      </c>
      <c r="BO301" s="98">
        <f t="shared" si="474"/>
        <v>0</v>
      </c>
      <c r="BP301" s="98">
        <f t="shared" si="475"/>
        <v>0</v>
      </c>
      <c r="BQ301" s="98">
        <f t="shared" si="476"/>
        <v>0</v>
      </c>
      <c r="BR301" s="98">
        <f t="shared" si="477"/>
        <v>0</v>
      </c>
      <c r="BS301" s="124"/>
      <c r="BT301" s="124"/>
      <c r="BU301" s="124"/>
      <c r="BV301" s="124"/>
      <c r="BW301" s="124"/>
      <c r="BX301" s="124"/>
      <c r="BY301" s="124"/>
      <c r="BZ301" s="124"/>
      <c r="CA301" s="124"/>
      <c r="CB301" s="124"/>
      <c r="CC301" s="124"/>
      <c r="CD301" s="124"/>
      <c r="CE301" s="124"/>
      <c r="CF301" s="124"/>
      <c r="CG301" s="124"/>
      <c r="CH301" s="124"/>
      <c r="CI301" s="124"/>
      <c r="CJ301" s="124"/>
      <c r="CK301" s="124"/>
      <c r="CL301" s="124"/>
      <c r="CM301" s="124"/>
      <c r="CN301" s="124"/>
      <c r="CO301" s="124"/>
      <c r="CP301" s="124"/>
      <c r="CQ301" s="124"/>
      <c r="CR301" s="124"/>
      <c r="CS301" s="124"/>
      <c r="CT301" s="124"/>
      <c r="CU301" s="124"/>
      <c r="CV301" s="124"/>
      <c r="CW301" s="124"/>
      <c r="CX301" s="124"/>
      <c r="CY301" s="124"/>
      <c r="CZ301" s="124"/>
      <c r="DA301" s="124"/>
      <c r="DB301" s="124"/>
      <c r="DC301" s="124"/>
      <c r="DD301" s="124"/>
      <c r="DE301" s="124"/>
      <c r="DF301" s="124"/>
      <c r="DG301" s="124"/>
      <c r="DH301" s="124"/>
      <c r="DI301" s="124"/>
      <c r="DJ301" s="124"/>
      <c r="DK301" s="124"/>
      <c r="DL301" s="124"/>
      <c r="DM301" s="124"/>
      <c r="DN301" s="124"/>
      <c r="DO301" s="124"/>
      <c r="DP301" s="124"/>
      <c r="DQ301" s="124"/>
      <c r="DR301" s="124"/>
      <c r="DS301" s="124"/>
      <c r="DT301" s="124"/>
      <c r="DU301" s="124"/>
      <c r="DV301" s="124"/>
      <c r="DW301" s="124"/>
      <c r="DX301" s="124"/>
      <c r="DY301" s="124"/>
      <c r="DZ301" s="124"/>
      <c r="EA301" s="124"/>
      <c r="EB301" s="124"/>
      <c r="EC301" s="124"/>
      <c r="ED301" s="124"/>
      <c r="EE301" s="124"/>
      <c r="EF301" s="124"/>
      <c r="EG301" s="124"/>
      <c r="EH301" s="124"/>
      <c r="EI301" s="124"/>
      <c r="EJ301" s="124"/>
      <c r="EK301" s="124"/>
      <c r="EL301" s="124"/>
      <c r="EM301" s="124"/>
      <c r="EN301" s="124"/>
      <c r="EO301" s="124"/>
      <c r="EP301" s="124"/>
      <c r="EQ301" s="124"/>
      <c r="ER301" s="124"/>
      <c r="ES301" s="124"/>
      <c r="ET301" s="124"/>
      <c r="EU301" s="124"/>
      <c r="EV301" s="124"/>
      <c r="EW301" s="124"/>
      <c r="EX301" s="124"/>
      <c r="EY301" s="124"/>
      <c r="EZ301" s="124"/>
    </row>
    <row r="302" spans="1:156" x14ac:dyDescent="0.25">
      <c r="A302" t="s">
        <v>166</v>
      </c>
      <c r="B302" t="s">
        <v>17</v>
      </c>
      <c r="C302">
        <v>2025</v>
      </c>
      <c r="D302" s="98">
        <f>INDEX('Reference Sheet'!$G$9:$J$100, MATCH(A302,'Reference Sheet'!$F$9:$F$100,0), MATCH(C302,'Reference Sheet'!$G$8:$J$8,0))/2080</f>
        <v>9.5229423076923077</v>
      </c>
      <c r="E302" s="99">
        <f>VLOOKUP(C302,'Reference Sheet'!$A$2:$B$5,2)</f>
        <v>0.22450000000000001</v>
      </c>
      <c r="F302" s="98">
        <f t="shared" si="435"/>
        <v>11.66084285576923</v>
      </c>
      <c r="G302" s="124"/>
      <c r="H302" s="124"/>
      <c r="I302" s="124"/>
      <c r="J302" s="124"/>
      <c r="K302" s="124"/>
      <c r="L302" s="124"/>
      <c r="M302" s="124"/>
      <c r="N302" s="124">
        <v>100</v>
      </c>
      <c r="O302" s="124"/>
      <c r="P302" s="124"/>
      <c r="Q302" s="124"/>
      <c r="R302" s="124"/>
      <c r="S302" s="124"/>
      <c r="T302" s="124"/>
      <c r="U302" s="124"/>
      <c r="V302" s="124"/>
      <c r="W302" s="124"/>
      <c r="X302" s="124"/>
      <c r="Y302" s="124"/>
      <c r="Z302" s="124"/>
      <c r="AA302" s="98">
        <f t="shared" si="408"/>
        <v>100</v>
      </c>
      <c r="AB302" s="124">
        <v>100</v>
      </c>
      <c r="AC302" s="98">
        <f t="shared" si="436"/>
        <v>0</v>
      </c>
      <c r="AD302" s="100">
        <f t="shared" si="437"/>
        <v>0</v>
      </c>
      <c r="AE302" s="100">
        <f t="shared" si="438"/>
        <v>0</v>
      </c>
      <c r="AF302" s="100">
        <f t="shared" si="439"/>
        <v>0</v>
      </c>
      <c r="AG302" s="100">
        <f t="shared" si="440"/>
        <v>0</v>
      </c>
      <c r="AH302" s="100">
        <f t="shared" si="441"/>
        <v>0</v>
      </c>
      <c r="AI302" s="100">
        <f t="shared" si="442"/>
        <v>0</v>
      </c>
      <c r="AJ302" s="100">
        <f t="shared" si="443"/>
        <v>0</v>
      </c>
      <c r="AK302" s="100">
        <f t="shared" si="444"/>
        <v>100</v>
      </c>
      <c r="AL302" s="100">
        <f t="shared" si="445"/>
        <v>0</v>
      </c>
      <c r="AM302" s="100">
        <f t="shared" si="446"/>
        <v>0</v>
      </c>
      <c r="AN302" s="100">
        <f t="shared" si="447"/>
        <v>0</v>
      </c>
      <c r="AO302" s="100">
        <f t="shared" si="448"/>
        <v>0</v>
      </c>
      <c r="AP302" s="100">
        <f t="shared" si="449"/>
        <v>0</v>
      </c>
      <c r="AQ302" s="100">
        <f t="shared" si="450"/>
        <v>0</v>
      </c>
      <c r="AR302" s="100">
        <f t="shared" si="451"/>
        <v>0</v>
      </c>
      <c r="AS302" s="100">
        <f t="shared" si="452"/>
        <v>0</v>
      </c>
      <c r="AT302" s="100">
        <f t="shared" si="453"/>
        <v>0</v>
      </c>
      <c r="AU302" s="100">
        <f t="shared" si="454"/>
        <v>0</v>
      </c>
      <c r="AV302" s="100">
        <f t="shared" si="455"/>
        <v>0</v>
      </c>
      <c r="AW302" s="100">
        <f t="shared" si="456"/>
        <v>0</v>
      </c>
      <c r="AX302">
        <f t="shared" si="457"/>
        <v>100</v>
      </c>
      <c r="AY302" s="98">
        <f t="shared" si="458"/>
        <v>0</v>
      </c>
      <c r="AZ302" s="98">
        <f t="shared" si="459"/>
        <v>0</v>
      </c>
      <c r="BA302" s="98">
        <f t="shared" si="460"/>
        <v>0</v>
      </c>
      <c r="BB302" s="98">
        <f t="shared" si="461"/>
        <v>0</v>
      </c>
      <c r="BC302" s="98">
        <f t="shared" si="462"/>
        <v>0</v>
      </c>
      <c r="BD302" s="98">
        <f t="shared" si="463"/>
        <v>0</v>
      </c>
      <c r="BE302" s="98">
        <f t="shared" si="464"/>
        <v>0</v>
      </c>
      <c r="BF302" s="98">
        <f t="shared" si="465"/>
        <v>1166.0842855769231</v>
      </c>
      <c r="BG302" s="98">
        <f t="shared" si="466"/>
        <v>0</v>
      </c>
      <c r="BH302" s="98">
        <f t="shared" si="467"/>
        <v>0</v>
      </c>
      <c r="BI302" s="98">
        <f t="shared" si="468"/>
        <v>0</v>
      </c>
      <c r="BJ302" s="98">
        <f t="shared" si="469"/>
        <v>0</v>
      </c>
      <c r="BK302" s="98">
        <f t="shared" si="470"/>
        <v>0</v>
      </c>
      <c r="BL302" s="98">
        <f t="shared" si="471"/>
        <v>0</v>
      </c>
      <c r="BM302" s="98">
        <f t="shared" si="472"/>
        <v>0</v>
      </c>
      <c r="BN302" s="98">
        <f t="shared" si="473"/>
        <v>0</v>
      </c>
      <c r="BO302" s="98">
        <f t="shared" si="474"/>
        <v>0</v>
      </c>
      <c r="BP302" s="98">
        <f t="shared" si="475"/>
        <v>0</v>
      </c>
      <c r="BQ302" s="98">
        <f t="shared" si="476"/>
        <v>0</v>
      </c>
      <c r="BR302" s="98">
        <f t="shared" si="477"/>
        <v>0</v>
      </c>
      <c r="BS302" s="124"/>
      <c r="BT302" s="124"/>
      <c r="BU302" s="124"/>
      <c r="BV302" s="124"/>
      <c r="BW302" s="124"/>
      <c r="BX302" s="124"/>
      <c r="BY302" s="124"/>
      <c r="BZ302" s="124"/>
      <c r="CA302" s="124"/>
      <c r="CB302" s="124"/>
      <c r="CC302" s="124"/>
      <c r="CD302" s="124"/>
      <c r="CE302" s="124"/>
      <c r="CF302" s="124"/>
      <c r="CG302" s="124"/>
      <c r="CH302" s="124"/>
      <c r="CI302" s="124"/>
      <c r="CJ302" s="124"/>
      <c r="CK302" s="124"/>
      <c r="CL302" s="124"/>
      <c r="CM302" s="124"/>
      <c r="CN302" s="124"/>
      <c r="CO302" s="124"/>
      <c r="CP302" s="124"/>
      <c r="CQ302" s="124"/>
      <c r="CR302" s="124"/>
      <c r="CS302" s="124"/>
      <c r="CT302" s="124"/>
      <c r="CU302" s="124"/>
      <c r="CV302" s="124"/>
      <c r="CW302" s="124"/>
      <c r="CX302" s="124"/>
      <c r="CY302" s="124"/>
      <c r="CZ302" s="124"/>
      <c r="DA302" s="124"/>
      <c r="DB302" s="124"/>
      <c r="DC302" s="124"/>
      <c r="DD302" s="124"/>
      <c r="DE302" s="124"/>
      <c r="DF302" s="124"/>
      <c r="DG302" s="124"/>
      <c r="DH302" s="124"/>
      <c r="DI302" s="124"/>
      <c r="DJ302" s="124"/>
      <c r="DK302" s="124"/>
      <c r="DL302" s="124"/>
      <c r="DM302" s="124"/>
      <c r="DN302" s="124"/>
      <c r="DO302" s="124"/>
      <c r="DP302" s="124"/>
      <c r="DQ302" s="124"/>
      <c r="DR302" s="124"/>
      <c r="DS302" s="124"/>
      <c r="DT302" s="124"/>
      <c r="DU302" s="124"/>
      <c r="DV302" s="124"/>
      <c r="DW302" s="124"/>
      <c r="DX302" s="124"/>
      <c r="DY302" s="124"/>
      <c r="DZ302" s="124"/>
      <c r="EA302" s="124"/>
      <c r="EB302" s="124"/>
      <c r="EC302" s="124"/>
      <c r="ED302" s="124"/>
      <c r="EE302" s="124"/>
      <c r="EF302" s="124"/>
      <c r="EG302" s="124"/>
      <c r="EH302" s="124"/>
      <c r="EI302" s="124"/>
      <c r="EJ302" s="124"/>
      <c r="EK302" s="124"/>
      <c r="EL302" s="124"/>
      <c r="EM302" s="124"/>
      <c r="EN302" s="124"/>
      <c r="EO302" s="124"/>
      <c r="EP302" s="124"/>
      <c r="EQ302" s="124"/>
      <c r="ER302" s="124"/>
      <c r="ES302" s="124"/>
      <c r="ET302" s="124"/>
      <c r="EU302" s="124"/>
      <c r="EV302" s="124"/>
      <c r="EW302" s="124"/>
      <c r="EX302" s="124"/>
      <c r="EY302" s="124"/>
      <c r="EZ302" s="124"/>
    </row>
    <row r="303" spans="1:156" x14ac:dyDescent="0.25">
      <c r="A303" t="s">
        <v>167</v>
      </c>
      <c r="B303" t="s">
        <v>17</v>
      </c>
      <c r="C303">
        <v>2025</v>
      </c>
      <c r="D303" s="98">
        <f>INDEX('Reference Sheet'!$G$9:$J$100, MATCH(A303,'Reference Sheet'!$F$9:$F$100,0), MATCH(C303,'Reference Sheet'!$G$8:$J$8,0))/2080</f>
        <v>5.4613605769230764</v>
      </c>
      <c r="E303" s="99">
        <f>VLOOKUP(C303,'Reference Sheet'!$A$2:$B$5,2)</f>
        <v>0.22450000000000001</v>
      </c>
      <c r="F303" s="98">
        <f t="shared" si="435"/>
        <v>6.6874360264423069</v>
      </c>
      <c r="G303" s="124"/>
      <c r="H303" s="124"/>
      <c r="I303" s="124"/>
      <c r="J303" s="124"/>
      <c r="K303" s="124"/>
      <c r="L303" s="124"/>
      <c r="M303" s="124"/>
      <c r="N303" s="124"/>
      <c r="O303" s="124">
        <v>50</v>
      </c>
      <c r="P303" s="124"/>
      <c r="Q303" s="124"/>
      <c r="R303" s="124"/>
      <c r="S303" s="124"/>
      <c r="T303" s="124"/>
      <c r="U303" s="124"/>
      <c r="V303" s="124"/>
      <c r="W303" s="124"/>
      <c r="X303" s="124"/>
      <c r="Y303" s="124"/>
      <c r="Z303" s="124">
        <v>50</v>
      </c>
      <c r="AA303" s="98">
        <f t="shared" si="408"/>
        <v>100</v>
      </c>
      <c r="AB303" s="124">
        <v>100</v>
      </c>
      <c r="AC303" s="98">
        <f t="shared" si="436"/>
        <v>0</v>
      </c>
      <c r="AD303" s="100">
        <f t="shared" si="437"/>
        <v>0</v>
      </c>
      <c r="AE303" s="100">
        <f t="shared" si="438"/>
        <v>0</v>
      </c>
      <c r="AF303" s="100">
        <f t="shared" si="439"/>
        <v>0</v>
      </c>
      <c r="AG303" s="100">
        <f t="shared" si="440"/>
        <v>0</v>
      </c>
      <c r="AH303" s="100">
        <f t="shared" si="441"/>
        <v>0</v>
      </c>
      <c r="AI303" s="100">
        <f t="shared" si="442"/>
        <v>0</v>
      </c>
      <c r="AJ303" s="100">
        <f t="shared" si="443"/>
        <v>0</v>
      </c>
      <c r="AK303" s="100">
        <f t="shared" si="444"/>
        <v>0</v>
      </c>
      <c r="AL303" s="100">
        <f t="shared" si="445"/>
        <v>50</v>
      </c>
      <c r="AM303" s="100">
        <f t="shared" si="446"/>
        <v>0</v>
      </c>
      <c r="AN303" s="100">
        <f t="shared" si="447"/>
        <v>0</v>
      </c>
      <c r="AO303" s="100">
        <f t="shared" si="448"/>
        <v>0</v>
      </c>
      <c r="AP303" s="100">
        <f t="shared" si="449"/>
        <v>0</v>
      </c>
      <c r="AQ303" s="100">
        <f t="shared" si="450"/>
        <v>0</v>
      </c>
      <c r="AR303" s="100">
        <f t="shared" si="451"/>
        <v>0</v>
      </c>
      <c r="AS303" s="100">
        <f t="shared" si="452"/>
        <v>0</v>
      </c>
      <c r="AT303" s="100">
        <f t="shared" si="453"/>
        <v>0</v>
      </c>
      <c r="AU303" s="100">
        <f t="shared" si="454"/>
        <v>0</v>
      </c>
      <c r="AV303" s="100">
        <f t="shared" si="455"/>
        <v>0</v>
      </c>
      <c r="AW303" s="100">
        <f t="shared" si="456"/>
        <v>50</v>
      </c>
      <c r="AX303">
        <f t="shared" si="457"/>
        <v>100</v>
      </c>
      <c r="AY303" s="98">
        <f t="shared" si="458"/>
        <v>0</v>
      </c>
      <c r="AZ303" s="98">
        <f t="shared" si="459"/>
        <v>0</v>
      </c>
      <c r="BA303" s="98">
        <f t="shared" si="460"/>
        <v>0</v>
      </c>
      <c r="BB303" s="98">
        <f t="shared" si="461"/>
        <v>0</v>
      </c>
      <c r="BC303" s="98">
        <f t="shared" si="462"/>
        <v>0</v>
      </c>
      <c r="BD303" s="98">
        <f t="shared" si="463"/>
        <v>0</v>
      </c>
      <c r="BE303" s="98">
        <f t="shared" si="464"/>
        <v>0</v>
      </c>
      <c r="BF303" s="98">
        <f t="shared" si="465"/>
        <v>0</v>
      </c>
      <c r="BG303" s="98">
        <f t="shared" si="466"/>
        <v>334.37180132211535</v>
      </c>
      <c r="BH303" s="98">
        <f t="shared" si="467"/>
        <v>0</v>
      </c>
      <c r="BI303" s="98">
        <f t="shared" si="468"/>
        <v>0</v>
      </c>
      <c r="BJ303" s="98">
        <f t="shared" si="469"/>
        <v>0</v>
      </c>
      <c r="BK303" s="98">
        <f t="shared" si="470"/>
        <v>0</v>
      </c>
      <c r="BL303" s="98">
        <f t="shared" si="471"/>
        <v>0</v>
      </c>
      <c r="BM303" s="98">
        <f t="shared" si="472"/>
        <v>0</v>
      </c>
      <c r="BN303" s="98">
        <f t="shared" si="473"/>
        <v>0</v>
      </c>
      <c r="BO303" s="98">
        <f t="shared" si="474"/>
        <v>0</v>
      </c>
      <c r="BP303" s="98">
        <f t="shared" si="475"/>
        <v>0</v>
      </c>
      <c r="BQ303" s="98">
        <f t="shared" si="476"/>
        <v>0</v>
      </c>
      <c r="BR303" s="98">
        <f t="shared" si="477"/>
        <v>334.37180132211535</v>
      </c>
      <c r="BS303" s="124"/>
      <c r="BT303" s="124"/>
      <c r="BU303" s="124"/>
      <c r="BV303" s="124"/>
      <c r="BW303" s="124"/>
      <c r="BX303" s="124"/>
      <c r="BY303" s="124"/>
      <c r="BZ303" s="124"/>
      <c r="CA303" s="124"/>
      <c r="CB303" s="124"/>
      <c r="CC303" s="124"/>
      <c r="CD303" s="124"/>
      <c r="CE303" s="124"/>
      <c r="CF303" s="124"/>
      <c r="CG303" s="124"/>
      <c r="CH303" s="124"/>
      <c r="CI303" s="124"/>
      <c r="CJ303" s="124"/>
      <c r="CK303" s="124"/>
      <c r="CL303" s="124"/>
      <c r="CM303" s="124"/>
      <c r="CN303" s="124"/>
      <c r="CO303" s="124"/>
      <c r="CP303" s="124"/>
      <c r="CQ303" s="124"/>
      <c r="CR303" s="124"/>
      <c r="CS303" s="124"/>
      <c r="CT303" s="124"/>
      <c r="CU303" s="124"/>
      <c r="CV303" s="124"/>
      <c r="CW303" s="124"/>
      <c r="CX303" s="124"/>
      <c r="CY303" s="124"/>
      <c r="CZ303" s="124"/>
      <c r="DA303" s="124"/>
      <c r="DB303" s="124"/>
      <c r="DC303" s="124"/>
      <c r="DD303" s="124"/>
      <c r="DE303" s="124"/>
      <c r="DF303" s="124"/>
      <c r="DG303" s="124"/>
      <c r="DH303" s="124"/>
      <c r="DI303" s="124"/>
      <c r="DJ303" s="124"/>
      <c r="DK303" s="124"/>
      <c r="DL303" s="124"/>
      <c r="DM303" s="124"/>
      <c r="DN303" s="124"/>
      <c r="DO303" s="124"/>
      <c r="DP303" s="124"/>
      <c r="DQ303" s="124"/>
      <c r="DR303" s="124"/>
      <c r="DS303" s="124"/>
      <c r="DT303" s="124"/>
      <c r="DU303" s="124"/>
      <c r="DV303" s="124"/>
      <c r="DW303" s="124"/>
      <c r="DX303" s="124"/>
      <c r="DY303" s="124"/>
      <c r="DZ303" s="124"/>
      <c r="EA303" s="124"/>
      <c r="EB303" s="124"/>
      <c r="EC303" s="124"/>
      <c r="ED303" s="124"/>
      <c r="EE303" s="124"/>
      <c r="EF303" s="124"/>
      <c r="EG303" s="124"/>
      <c r="EH303" s="124"/>
      <c r="EI303" s="124"/>
      <c r="EJ303" s="124"/>
      <c r="EK303" s="124"/>
      <c r="EL303" s="124"/>
      <c r="EM303" s="124"/>
      <c r="EN303" s="124"/>
      <c r="EO303" s="124"/>
      <c r="EP303" s="124"/>
      <c r="EQ303" s="124"/>
      <c r="ER303" s="124"/>
      <c r="ES303" s="124"/>
      <c r="ET303" s="124"/>
      <c r="EU303" s="124"/>
      <c r="EV303" s="124"/>
      <c r="EW303" s="124"/>
      <c r="EX303" s="124"/>
      <c r="EY303" s="124"/>
      <c r="EZ303" s="124"/>
    </row>
    <row r="304" spans="1:156" x14ac:dyDescent="0.25">
      <c r="A304" t="s">
        <v>168</v>
      </c>
      <c r="B304" t="s">
        <v>17</v>
      </c>
      <c r="C304">
        <v>2025</v>
      </c>
      <c r="D304" s="98">
        <f>INDEX('Reference Sheet'!$G$9:$J$100, MATCH(A304,'Reference Sheet'!$F$9:$F$100,0), MATCH(C304,'Reference Sheet'!$G$8:$J$8,0))/2080</f>
        <v>2.2110625000000002</v>
      </c>
      <c r="E304" s="99">
        <f>VLOOKUP(C304,'Reference Sheet'!$A$2:$B$5,2)</f>
        <v>0.22450000000000001</v>
      </c>
      <c r="F304" s="98">
        <f t="shared" si="435"/>
        <v>2.7074460312499999</v>
      </c>
      <c r="G304" s="124"/>
      <c r="H304" s="124"/>
      <c r="I304" s="124"/>
      <c r="J304" s="124"/>
      <c r="K304" s="124"/>
      <c r="L304" s="124"/>
      <c r="M304" s="124"/>
      <c r="N304" s="124">
        <v>100</v>
      </c>
      <c r="O304" s="124"/>
      <c r="P304" s="124"/>
      <c r="Q304" s="124"/>
      <c r="R304" s="124"/>
      <c r="S304" s="124"/>
      <c r="T304" s="124"/>
      <c r="U304" s="124"/>
      <c r="V304" s="124"/>
      <c r="W304" s="124"/>
      <c r="X304" s="124"/>
      <c r="Y304" s="124"/>
      <c r="Z304" s="124"/>
      <c r="AA304" s="98">
        <f t="shared" si="408"/>
        <v>100</v>
      </c>
      <c r="AB304" s="124">
        <v>100</v>
      </c>
      <c r="AC304" s="98">
        <f t="shared" si="436"/>
        <v>0</v>
      </c>
      <c r="AD304" s="100">
        <f t="shared" si="437"/>
        <v>0</v>
      </c>
      <c r="AE304" s="100">
        <f t="shared" si="438"/>
        <v>0</v>
      </c>
      <c r="AF304" s="100">
        <f t="shared" si="439"/>
        <v>0</v>
      </c>
      <c r="AG304" s="100">
        <f t="shared" si="440"/>
        <v>0</v>
      </c>
      <c r="AH304" s="100">
        <f t="shared" si="441"/>
        <v>0</v>
      </c>
      <c r="AI304" s="100">
        <f t="shared" si="442"/>
        <v>0</v>
      </c>
      <c r="AJ304" s="100">
        <f t="shared" si="443"/>
        <v>0</v>
      </c>
      <c r="AK304" s="100">
        <f t="shared" si="444"/>
        <v>100</v>
      </c>
      <c r="AL304" s="100">
        <f t="shared" si="445"/>
        <v>0</v>
      </c>
      <c r="AM304" s="100">
        <f t="shared" si="446"/>
        <v>0</v>
      </c>
      <c r="AN304" s="100">
        <f t="shared" si="447"/>
        <v>0</v>
      </c>
      <c r="AO304" s="100">
        <f t="shared" si="448"/>
        <v>0</v>
      </c>
      <c r="AP304" s="100">
        <f t="shared" si="449"/>
        <v>0</v>
      </c>
      <c r="AQ304" s="100">
        <f t="shared" si="450"/>
        <v>0</v>
      </c>
      <c r="AR304" s="100">
        <f t="shared" si="451"/>
        <v>0</v>
      </c>
      <c r="AS304" s="100">
        <f t="shared" si="452"/>
        <v>0</v>
      </c>
      <c r="AT304" s="100">
        <f t="shared" si="453"/>
        <v>0</v>
      </c>
      <c r="AU304" s="100">
        <f t="shared" si="454"/>
        <v>0</v>
      </c>
      <c r="AV304" s="100">
        <f t="shared" si="455"/>
        <v>0</v>
      </c>
      <c r="AW304" s="100">
        <f t="shared" si="456"/>
        <v>0</v>
      </c>
      <c r="AX304">
        <f t="shared" si="457"/>
        <v>100</v>
      </c>
      <c r="AY304" s="98">
        <f t="shared" si="458"/>
        <v>0</v>
      </c>
      <c r="AZ304" s="98">
        <f t="shared" si="459"/>
        <v>0</v>
      </c>
      <c r="BA304" s="98">
        <f t="shared" si="460"/>
        <v>0</v>
      </c>
      <c r="BB304" s="98">
        <f t="shared" si="461"/>
        <v>0</v>
      </c>
      <c r="BC304" s="98">
        <f t="shared" si="462"/>
        <v>0</v>
      </c>
      <c r="BD304" s="98">
        <f t="shared" si="463"/>
        <v>0</v>
      </c>
      <c r="BE304" s="98">
        <f t="shared" si="464"/>
        <v>0</v>
      </c>
      <c r="BF304" s="98">
        <f t="shared" si="465"/>
        <v>270.74460312499997</v>
      </c>
      <c r="BG304" s="98">
        <f t="shared" si="466"/>
        <v>0</v>
      </c>
      <c r="BH304" s="98">
        <f t="shared" si="467"/>
        <v>0</v>
      </c>
      <c r="BI304" s="98">
        <f t="shared" si="468"/>
        <v>0</v>
      </c>
      <c r="BJ304" s="98">
        <f t="shared" si="469"/>
        <v>0</v>
      </c>
      <c r="BK304" s="98">
        <f t="shared" si="470"/>
        <v>0</v>
      </c>
      <c r="BL304" s="98">
        <f t="shared" si="471"/>
        <v>0</v>
      </c>
      <c r="BM304" s="98">
        <f t="shared" si="472"/>
        <v>0</v>
      </c>
      <c r="BN304" s="98">
        <f t="shared" si="473"/>
        <v>0</v>
      </c>
      <c r="BO304" s="98">
        <f t="shared" si="474"/>
        <v>0</v>
      </c>
      <c r="BP304" s="98">
        <f t="shared" si="475"/>
        <v>0</v>
      </c>
      <c r="BQ304" s="98">
        <f t="shared" si="476"/>
        <v>0</v>
      </c>
      <c r="BR304" s="98">
        <f t="shared" si="477"/>
        <v>0</v>
      </c>
      <c r="BS304" s="124"/>
      <c r="BT304" s="124"/>
      <c r="BU304" s="124"/>
      <c r="BV304" s="124"/>
      <c r="BW304" s="124"/>
      <c r="BX304" s="124"/>
      <c r="BY304" s="124"/>
      <c r="BZ304" s="124"/>
      <c r="CA304" s="124"/>
      <c r="CB304" s="124"/>
      <c r="CC304" s="124"/>
      <c r="CD304" s="124"/>
      <c r="CE304" s="124"/>
      <c r="CF304" s="124"/>
      <c r="CG304" s="124"/>
      <c r="CH304" s="124"/>
      <c r="CI304" s="124"/>
      <c r="CJ304" s="124"/>
      <c r="CK304" s="124"/>
      <c r="CL304" s="124"/>
      <c r="CM304" s="124"/>
      <c r="CN304" s="124"/>
      <c r="CO304" s="124"/>
      <c r="CP304" s="124"/>
      <c r="CQ304" s="124"/>
      <c r="CR304" s="124"/>
      <c r="CS304" s="124"/>
      <c r="CT304" s="124"/>
      <c r="CU304" s="124"/>
      <c r="CV304" s="124"/>
      <c r="CW304" s="124"/>
      <c r="CX304" s="124"/>
      <c r="CY304" s="124"/>
      <c r="CZ304" s="124"/>
      <c r="DA304" s="124"/>
      <c r="DB304" s="124"/>
      <c r="DC304" s="124"/>
      <c r="DD304" s="124"/>
      <c r="DE304" s="124"/>
      <c r="DF304" s="124"/>
      <c r="DG304" s="124"/>
      <c r="DH304" s="124"/>
      <c r="DI304" s="124"/>
      <c r="DJ304" s="124"/>
      <c r="DK304" s="124"/>
      <c r="DL304" s="124"/>
      <c r="DM304" s="124"/>
      <c r="DN304" s="124"/>
      <c r="DO304" s="124"/>
      <c r="DP304" s="124"/>
      <c r="DQ304" s="124"/>
      <c r="DR304" s="124"/>
      <c r="DS304" s="124"/>
      <c r="DT304" s="124"/>
      <c r="DU304" s="124"/>
      <c r="DV304" s="124"/>
      <c r="DW304" s="124"/>
      <c r="DX304" s="124"/>
      <c r="DY304" s="124"/>
      <c r="DZ304" s="124"/>
      <c r="EA304" s="124"/>
      <c r="EB304" s="124"/>
      <c r="EC304" s="124"/>
      <c r="ED304" s="124"/>
      <c r="EE304" s="124"/>
      <c r="EF304" s="124"/>
      <c r="EG304" s="124"/>
      <c r="EH304" s="124"/>
      <c r="EI304" s="124"/>
      <c r="EJ304" s="124"/>
      <c r="EK304" s="124"/>
      <c r="EL304" s="124"/>
      <c r="EM304" s="124"/>
      <c r="EN304" s="124"/>
      <c r="EO304" s="124"/>
      <c r="EP304" s="124"/>
      <c r="EQ304" s="124"/>
      <c r="ER304" s="124"/>
      <c r="ES304" s="124"/>
      <c r="ET304" s="124"/>
      <c r="EU304" s="124"/>
      <c r="EV304" s="124"/>
      <c r="EW304" s="124"/>
      <c r="EX304" s="124"/>
      <c r="EY304" s="124"/>
      <c r="EZ304" s="124"/>
    </row>
    <row r="305" spans="1:156" x14ac:dyDescent="0.25">
      <c r="A305" t="s">
        <v>169</v>
      </c>
      <c r="B305" t="s">
        <v>17</v>
      </c>
      <c r="C305">
        <v>2025</v>
      </c>
      <c r="D305" s="98">
        <f>INDEX('Reference Sheet'!$G$9:$J$100, MATCH(A305,'Reference Sheet'!$F$9:$F$100,0), MATCH(C305,'Reference Sheet'!$G$8:$J$8,0))/2080</f>
        <v>56.494100961538457</v>
      </c>
      <c r="E305" s="99">
        <f>VLOOKUP(C305,'Reference Sheet'!$A$2:$B$5,2)</f>
        <v>0.22450000000000001</v>
      </c>
      <c r="F305" s="98">
        <f t="shared" si="435"/>
        <v>69.177026627403833</v>
      </c>
      <c r="G305" s="124"/>
      <c r="H305" s="124">
        <v>35</v>
      </c>
      <c r="I305" s="124"/>
      <c r="J305" s="124"/>
      <c r="K305" s="124"/>
      <c r="L305" s="124"/>
      <c r="M305" s="124"/>
      <c r="N305" s="124">
        <v>925</v>
      </c>
      <c r="O305" s="124">
        <v>31</v>
      </c>
      <c r="P305" s="124"/>
      <c r="Q305" s="124"/>
      <c r="R305" s="124"/>
      <c r="S305" s="124"/>
      <c r="T305" s="124">
        <v>84</v>
      </c>
      <c r="U305" s="124"/>
      <c r="V305" s="124"/>
      <c r="W305" s="124">
        <v>7.5</v>
      </c>
      <c r="X305" s="124"/>
      <c r="Y305" s="124">
        <v>49</v>
      </c>
      <c r="Z305" s="124">
        <v>1038.5</v>
      </c>
      <c r="AA305" s="98">
        <f t="shared" si="408"/>
        <v>2170</v>
      </c>
      <c r="AB305" s="124">
        <v>2080</v>
      </c>
      <c r="AC305" s="98">
        <f t="shared" si="436"/>
        <v>-90</v>
      </c>
      <c r="AD305" s="100">
        <f t="shared" si="437"/>
        <v>0</v>
      </c>
      <c r="AE305" s="100">
        <f t="shared" si="438"/>
        <v>33.548387096774192</v>
      </c>
      <c r="AF305" s="100">
        <f t="shared" si="439"/>
        <v>0</v>
      </c>
      <c r="AG305" s="100">
        <f t="shared" si="440"/>
        <v>0</v>
      </c>
      <c r="AH305" s="100">
        <f t="shared" si="441"/>
        <v>0</v>
      </c>
      <c r="AI305" s="100">
        <f t="shared" si="442"/>
        <v>0</v>
      </c>
      <c r="AJ305" s="100">
        <f t="shared" si="443"/>
        <v>0</v>
      </c>
      <c r="AK305" s="100">
        <f t="shared" si="444"/>
        <v>886.63594470046075</v>
      </c>
      <c r="AL305" s="100">
        <f t="shared" si="445"/>
        <v>29.714285714285712</v>
      </c>
      <c r="AM305" s="100">
        <f t="shared" si="446"/>
        <v>0</v>
      </c>
      <c r="AN305" s="100">
        <f t="shared" si="447"/>
        <v>0</v>
      </c>
      <c r="AO305" s="100">
        <f t="shared" si="448"/>
        <v>0</v>
      </c>
      <c r="AP305" s="100">
        <f t="shared" si="449"/>
        <v>0</v>
      </c>
      <c r="AQ305" s="100">
        <f t="shared" si="450"/>
        <v>80.516129032258064</v>
      </c>
      <c r="AR305" s="100">
        <f t="shared" si="451"/>
        <v>0</v>
      </c>
      <c r="AS305" s="100">
        <f t="shared" si="452"/>
        <v>0</v>
      </c>
      <c r="AT305" s="100">
        <f t="shared" si="453"/>
        <v>7.1889400921658995</v>
      </c>
      <c r="AU305" s="100">
        <f t="shared" si="454"/>
        <v>0</v>
      </c>
      <c r="AV305" s="100">
        <f t="shared" si="455"/>
        <v>46.967741935483865</v>
      </c>
      <c r="AW305" s="100">
        <f t="shared" si="456"/>
        <v>995.42857142857144</v>
      </c>
      <c r="AX305">
        <f t="shared" si="457"/>
        <v>2046.4516129032259</v>
      </c>
      <c r="AY305" s="98">
        <f t="shared" si="458"/>
        <v>0</v>
      </c>
      <c r="AZ305" s="98">
        <f t="shared" si="459"/>
        <v>2320.7776674999996</v>
      </c>
      <c r="BA305" s="98">
        <f t="shared" si="460"/>
        <v>0</v>
      </c>
      <c r="BB305" s="98">
        <f t="shared" si="461"/>
        <v>0</v>
      </c>
      <c r="BC305" s="98">
        <f t="shared" si="462"/>
        <v>0</v>
      </c>
      <c r="BD305" s="98">
        <f t="shared" si="463"/>
        <v>0</v>
      </c>
      <c r="BE305" s="98">
        <f t="shared" si="464"/>
        <v>0</v>
      </c>
      <c r="BF305" s="98">
        <f t="shared" si="465"/>
        <v>61334.838355357126</v>
      </c>
      <c r="BG305" s="98">
        <f t="shared" si="466"/>
        <v>2055.5459340714278</v>
      </c>
      <c r="BH305" s="98">
        <f t="shared" si="467"/>
        <v>0</v>
      </c>
      <c r="BI305" s="98">
        <f t="shared" si="468"/>
        <v>0</v>
      </c>
      <c r="BJ305" s="98">
        <f t="shared" si="469"/>
        <v>0</v>
      </c>
      <c r="BK305" s="98">
        <f t="shared" si="470"/>
        <v>0</v>
      </c>
      <c r="BL305" s="98">
        <f t="shared" si="471"/>
        <v>5569.8664019999987</v>
      </c>
      <c r="BM305" s="98">
        <f t="shared" si="472"/>
        <v>0</v>
      </c>
      <c r="BN305" s="98">
        <f t="shared" si="473"/>
        <v>0</v>
      </c>
      <c r="BO305" s="98">
        <f t="shared" si="474"/>
        <v>497.3095001785714</v>
      </c>
      <c r="BP305" s="98">
        <f t="shared" si="475"/>
        <v>0</v>
      </c>
      <c r="BQ305" s="98">
        <f t="shared" si="476"/>
        <v>3249.0887344999992</v>
      </c>
      <c r="BR305" s="98">
        <f t="shared" si="477"/>
        <v>68860.788791392843</v>
      </c>
      <c r="BS305" s="124"/>
      <c r="BT305" s="124"/>
      <c r="BU305" s="124"/>
      <c r="BV305" s="124"/>
      <c r="BW305" s="124"/>
      <c r="BX305" s="124"/>
      <c r="BY305" s="124"/>
      <c r="BZ305" s="124"/>
      <c r="CA305" s="124"/>
      <c r="CB305" s="124"/>
      <c r="CC305" s="124"/>
      <c r="CD305" s="124"/>
      <c r="CE305" s="124"/>
      <c r="CF305" s="124"/>
      <c r="CG305" s="124"/>
      <c r="CH305" s="124"/>
      <c r="CI305" s="124"/>
      <c r="CJ305" s="124"/>
      <c r="CK305" s="124"/>
      <c r="CL305" s="124"/>
      <c r="CM305" s="124"/>
      <c r="CN305" s="124"/>
      <c r="CO305" s="124"/>
      <c r="CP305" s="124"/>
      <c r="CQ305" s="124"/>
      <c r="CR305" s="124"/>
      <c r="CS305" s="124"/>
      <c r="CT305" s="124"/>
      <c r="CU305" s="124"/>
      <c r="CV305" s="124"/>
      <c r="CW305" s="124"/>
      <c r="CX305" s="124"/>
      <c r="CY305" s="124"/>
      <c r="CZ305" s="124"/>
      <c r="DA305" s="124"/>
      <c r="DB305" s="124"/>
      <c r="DC305" s="124"/>
      <c r="DD305" s="124"/>
      <c r="DE305" s="124"/>
      <c r="DF305" s="124"/>
      <c r="DG305" s="124"/>
      <c r="DH305" s="124"/>
      <c r="DI305" s="124"/>
      <c r="DJ305" s="124"/>
      <c r="DK305" s="124"/>
      <c r="DL305" s="124"/>
      <c r="DM305" s="124"/>
      <c r="DN305" s="124"/>
      <c r="DO305" s="124"/>
      <c r="DP305" s="124"/>
      <c r="DQ305" s="124"/>
      <c r="DR305" s="124"/>
      <c r="DS305" s="124"/>
      <c r="DT305" s="124"/>
      <c r="DU305" s="124"/>
      <c r="DV305" s="124"/>
      <c r="DW305" s="124"/>
      <c r="DX305" s="124"/>
      <c r="DY305" s="124"/>
      <c r="DZ305" s="124"/>
      <c r="EA305" s="124"/>
      <c r="EB305" s="124"/>
      <c r="EC305" s="124"/>
      <c r="ED305" s="124"/>
      <c r="EE305" s="124"/>
      <c r="EF305" s="124"/>
      <c r="EG305" s="124"/>
      <c r="EH305" s="124"/>
      <c r="EI305" s="124"/>
      <c r="EJ305" s="124"/>
      <c r="EK305" s="124"/>
      <c r="EL305" s="124"/>
      <c r="EM305" s="124"/>
      <c r="EN305" s="124"/>
      <c r="EO305" s="124"/>
      <c r="EP305" s="124"/>
      <c r="EQ305" s="124"/>
      <c r="ER305" s="124"/>
      <c r="ES305" s="124"/>
      <c r="ET305" s="124"/>
      <c r="EU305" s="124"/>
      <c r="EV305" s="124"/>
      <c r="EW305" s="124"/>
      <c r="EX305" s="124"/>
      <c r="EY305" s="124"/>
      <c r="EZ305" s="124"/>
    </row>
    <row r="306" spans="1:156" x14ac:dyDescent="0.25">
      <c r="A306" t="s">
        <v>170</v>
      </c>
      <c r="B306" t="s">
        <v>17</v>
      </c>
      <c r="C306">
        <v>2025</v>
      </c>
      <c r="D306" s="98">
        <f>INDEX('Reference Sheet'!$G$9:$J$100, MATCH(A306,'Reference Sheet'!$F$9:$F$100,0), MATCH(C306,'Reference Sheet'!$G$8:$J$8,0))/2080</f>
        <v>5.1567307692307693</v>
      </c>
      <c r="E306" s="99">
        <f>VLOOKUP(C306,'Reference Sheet'!$A$2:$B$5,2)</f>
        <v>0.22450000000000001</v>
      </c>
      <c r="F306" s="98">
        <f t="shared" si="435"/>
        <v>6.3144168269230763</v>
      </c>
      <c r="G306" s="124"/>
      <c r="H306" s="124"/>
      <c r="I306" s="124"/>
      <c r="J306" s="124"/>
      <c r="K306" s="124"/>
      <c r="L306" s="124"/>
      <c r="M306" s="124"/>
      <c r="N306" s="124">
        <v>100</v>
      </c>
      <c r="O306" s="124"/>
      <c r="P306" s="124"/>
      <c r="Q306" s="124"/>
      <c r="R306" s="124"/>
      <c r="S306" s="124"/>
      <c r="T306" s="124"/>
      <c r="U306" s="124"/>
      <c r="V306" s="124"/>
      <c r="W306" s="124"/>
      <c r="X306" s="124"/>
      <c r="Y306" s="124"/>
      <c r="Z306" s="124"/>
      <c r="AA306" s="98">
        <f t="shared" si="408"/>
        <v>100</v>
      </c>
      <c r="AB306" s="124">
        <v>100</v>
      </c>
      <c r="AC306" s="98">
        <f t="shared" si="436"/>
        <v>0</v>
      </c>
      <c r="AD306" s="100">
        <f t="shared" si="437"/>
        <v>0</v>
      </c>
      <c r="AE306" s="100">
        <f t="shared" si="438"/>
        <v>0</v>
      </c>
      <c r="AF306" s="100">
        <f t="shared" si="439"/>
        <v>0</v>
      </c>
      <c r="AG306" s="100">
        <f t="shared" si="440"/>
        <v>0</v>
      </c>
      <c r="AH306" s="100">
        <f t="shared" si="441"/>
        <v>0</v>
      </c>
      <c r="AI306" s="100">
        <f t="shared" si="442"/>
        <v>0</v>
      </c>
      <c r="AJ306" s="100">
        <f t="shared" si="443"/>
        <v>0</v>
      </c>
      <c r="AK306" s="100">
        <f t="shared" si="444"/>
        <v>100</v>
      </c>
      <c r="AL306" s="100">
        <f t="shared" si="445"/>
        <v>0</v>
      </c>
      <c r="AM306" s="100">
        <f t="shared" si="446"/>
        <v>0</v>
      </c>
      <c r="AN306" s="100">
        <f t="shared" si="447"/>
        <v>0</v>
      </c>
      <c r="AO306" s="100">
        <f t="shared" si="448"/>
        <v>0</v>
      </c>
      <c r="AP306" s="100">
        <f t="shared" si="449"/>
        <v>0</v>
      </c>
      <c r="AQ306" s="100">
        <f t="shared" si="450"/>
        <v>0</v>
      </c>
      <c r="AR306" s="100">
        <f t="shared" si="451"/>
        <v>0</v>
      </c>
      <c r="AS306" s="100">
        <f t="shared" si="452"/>
        <v>0</v>
      </c>
      <c r="AT306" s="100">
        <f t="shared" si="453"/>
        <v>0</v>
      </c>
      <c r="AU306" s="100">
        <f t="shared" si="454"/>
        <v>0</v>
      </c>
      <c r="AV306" s="100">
        <f t="shared" si="455"/>
        <v>0</v>
      </c>
      <c r="AW306" s="100">
        <f t="shared" si="456"/>
        <v>0</v>
      </c>
      <c r="AX306">
        <f t="shared" si="457"/>
        <v>100</v>
      </c>
      <c r="AY306" s="98">
        <f t="shared" si="458"/>
        <v>0</v>
      </c>
      <c r="AZ306" s="98">
        <f t="shared" si="459"/>
        <v>0</v>
      </c>
      <c r="BA306" s="98">
        <f t="shared" si="460"/>
        <v>0</v>
      </c>
      <c r="BB306" s="98">
        <f t="shared" si="461"/>
        <v>0</v>
      </c>
      <c r="BC306" s="98">
        <f t="shared" si="462"/>
        <v>0</v>
      </c>
      <c r="BD306" s="98">
        <f t="shared" si="463"/>
        <v>0</v>
      </c>
      <c r="BE306" s="98">
        <f t="shared" si="464"/>
        <v>0</v>
      </c>
      <c r="BF306" s="98">
        <f t="shared" si="465"/>
        <v>631.44168269230761</v>
      </c>
      <c r="BG306" s="98">
        <f t="shared" si="466"/>
        <v>0</v>
      </c>
      <c r="BH306" s="98">
        <f t="shared" si="467"/>
        <v>0</v>
      </c>
      <c r="BI306" s="98">
        <f t="shared" si="468"/>
        <v>0</v>
      </c>
      <c r="BJ306" s="98">
        <f t="shared" si="469"/>
        <v>0</v>
      </c>
      <c r="BK306" s="98">
        <f t="shared" si="470"/>
        <v>0</v>
      </c>
      <c r="BL306" s="98">
        <f t="shared" si="471"/>
        <v>0</v>
      </c>
      <c r="BM306" s="98">
        <f t="shared" si="472"/>
        <v>0</v>
      </c>
      <c r="BN306" s="98">
        <f t="shared" si="473"/>
        <v>0</v>
      </c>
      <c r="BO306" s="98">
        <f t="shared" si="474"/>
        <v>0</v>
      </c>
      <c r="BP306" s="98">
        <f t="shared" si="475"/>
        <v>0</v>
      </c>
      <c r="BQ306" s="98">
        <f t="shared" si="476"/>
        <v>0</v>
      </c>
      <c r="BR306" s="98">
        <f t="shared" si="477"/>
        <v>0</v>
      </c>
      <c r="BS306" s="124"/>
      <c r="BT306" s="124"/>
      <c r="BU306" s="124"/>
      <c r="BV306" s="124"/>
      <c r="BW306" s="124"/>
      <c r="BX306" s="124"/>
      <c r="BY306" s="124"/>
      <c r="BZ306" s="124"/>
      <c r="CA306" s="124"/>
      <c r="CB306" s="124"/>
      <c r="CC306" s="124"/>
      <c r="CD306" s="124"/>
      <c r="CE306" s="124"/>
      <c r="CF306" s="124"/>
      <c r="CG306" s="124"/>
      <c r="CH306" s="124"/>
      <c r="CI306" s="124"/>
      <c r="CJ306" s="124"/>
      <c r="CK306" s="124"/>
      <c r="CL306" s="124"/>
      <c r="CM306" s="124"/>
      <c r="CN306" s="124"/>
      <c r="CO306" s="124"/>
      <c r="CP306" s="124"/>
      <c r="CQ306" s="124"/>
      <c r="CR306" s="124"/>
      <c r="CS306" s="124"/>
      <c r="CT306" s="124"/>
      <c r="CU306" s="124"/>
      <c r="CV306" s="124"/>
      <c r="CW306" s="124"/>
      <c r="CX306" s="124"/>
      <c r="CY306" s="124"/>
      <c r="CZ306" s="124"/>
      <c r="DA306" s="124"/>
      <c r="DB306" s="124"/>
      <c r="DC306" s="124"/>
      <c r="DD306" s="124"/>
      <c r="DE306" s="124"/>
      <c r="DF306" s="124"/>
      <c r="DG306" s="124"/>
      <c r="DH306" s="124"/>
      <c r="DI306" s="124"/>
      <c r="DJ306" s="124"/>
      <c r="DK306" s="124"/>
      <c r="DL306" s="124"/>
      <c r="DM306" s="124"/>
      <c r="DN306" s="124"/>
      <c r="DO306" s="124"/>
      <c r="DP306" s="124"/>
      <c r="DQ306" s="124"/>
      <c r="DR306" s="124"/>
      <c r="DS306" s="124"/>
      <c r="DT306" s="124"/>
      <c r="DU306" s="124"/>
      <c r="DV306" s="124"/>
      <c r="DW306" s="124"/>
      <c r="DX306" s="124"/>
      <c r="DY306" s="124"/>
      <c r="DZ306" s="124"/>
      <c r="EA306" s="124"/>
      <c r="EB306" s="124"/>
      <c r="EC306" s="124"/>
      <c r="ED306" s="124"/>
      <c r="EE306" s="124"/>
      <c r="EF306" s="124"/>
      <c r="EG306" s="124"/>
      <c r="EH306" s="124"/>
      <c r="EI306" s="124"/>
      <c r="EJ306" s="124"/>
      <c r="EK306" s="124"/>
      <c r="EL306" s="124"/>
      <c r="EM306" s="124"/>
      <c r="EN306" s="124"/>
      <c r="EO306" s="124"/>
      <c r="EP306" s="124"/>
      <c r="EQ306" s="124"/>
      <c r="ER306" s="124"/>
      <c r="ES306" s="124"/>
      <c r="ET306" s="124"/>
      <c r="EU306" s="124"/>
      <c r="EV306" s="124"/>
      <c r="EW306" s="124"/>
      <c r="EX306" s="124"/>
      <c r="EY306" s="124"/>
      <c r="EZ306" s="124"/>
    </row>
    <row r="307" spans="1:156" x14ac:dyDescent="0.25">
      <c r="A307" t="s">
        <v>171</v>
      </c>
      <c r="B307" t="s">
        <v>17</v>
      </c>
      <c r="C307">
        <v>2025</v>
      </c>
      <c r="D307" s="98">
        <f>INDEX('Reference Sheet'!$G$9:$J$100, MATCH(A307,'Reference Sheet'!$F$9:$F$100,0), MATCH(C307,'Reference Sheet'!$G$8:$J$8,0))/2080</f>
        <v>4.3015913461538462</v>
      </c>
      <c r="E307" s="99">
        <f>VLOOKUP(C307,'Reference Sheet'!$A$2:$B$5,2)</f>
        <v>0.22450000000000001</v>
      </c>
      <c r="F307" s="98">
        <f t="shared" si="435"/>
        <v>5.2672986033653846</v>
      </c>
      <c r="G307" s="124"/>
      <c r="H307" s="124"/>
      <c r="I307" s="124"/>
      <c r="J307" s="124"/>
      <c r="K307" s="124"/>
      <c r="L307" s="124"/>
      <c r="M307" s="124"/>
      <c r="N307" s="124">
        <v>100</v>
      </c>
      <c r="O307" s="124"/>
      <c r="P307" s="124"/>
      <c r="Q307" s="124"/>
      <c r="R307" s="124"/>
      <c r="S307" s="124"/>
      <c r="T307" s="124"/>
      <c r="U307" s="124"/>
      <c r="V307" s="124"/>
      <c r="W307" s="124"/>
      <c r="X307" s="124"/>
      <c r="Y307" s="124"/>
      <c r="Z307" s="124"/>
      <c r="AA307" s="98">
        <f t="shared" si="408"/>
        <v>100</v>
      </c>
      <c r="AB307" s="124">
        <v>100</v>
      </c>
      <c r="AC307" s="98">
        <f t="shared" si="436"/>
        <v>0</v>
      </c>
      <c r="AD307" s="100">
        <f t="shared" si="437"/>
        <v>0</v>
      </c>
      <c r="AE307" s="100">
        <f t="shared" si="438"/>
        <v>0</v>
      </c>
      <c r="AF307" s="100">
        <f t="shared" si="439"/>
        <v>0</v>
      </c>
      <c r="AG307" s="100">
        <f t="shared" si="440"/>
        <v>0</v>
      </c>
      <c r="AH307" s="100">
        <f t="shared" si="441"/>
        <v>0</v>
      </c>
      <c r="AI307" s="100">
        <f t="shared" si="442"/>
        <v>0</v>
      </c>
      <c r="AJ307" s="100">
        <f t="shared" si="443"/>
        <v>0</v>
      </c>
      <c r="AK307" s="100">
        <f t="shared" si="444"/>
        <v>100</v>
      </c>
      <c r="AL307" s="100">
        <f t="shared" si="445"/>
        <v>0</v>
      </c>
      <c r="AM307" s="100">
        <f t="shared" si="446"/>
        <v>0</v>
      </c>
      <c r="AN307" s="100">
        <f t="shared" si="447"/>
        <v>0</v>
      </c>
      <c r="AO307" s="100">
        <f t="shared" si="448"/>
        <v>0</v>
      </c>
      <c r="AP307" s="100">
        <f t="shared" si="449"/>
        <v>0</v>
      </c>
      <c r="AQ307" s="100">
        <f t="shared" si="450"/>
        <v>0</v>
      </c>
      <c r="AR307" s="100">
        <f t="shared" si="451"/>
        <v>0</v>
      </c>
      <c r="AS307" s="100">
        <f t="shared" si="452"/>
        <v>0</v>
      </c>
      <c r="AT307" s="100">
        <f t="shared" si="453"/>
        <v>0</v>
      </c>
      <c r="AU307" s="100">
        <f t="shared" si="454"/>
        <v>0</v>
      </c>
      <c r="AV307" s="100">
        <f t="shared" si="455"/>
        <v>0</v>
      </c>
      <c r="AW307" s="100">
        <f t="shared" si="456"/>
        <v>0</v>
      </c>
      <c r="AX307">
        <f t="shared" si="457"/>
        <v>100</v>
      </c>
      <c r="AY307" s="98">
        <f t="shared" si="458"/>
        <v>0</v>
      </c>
      <c r="AZ307" s="98">
        <f t="shared" si="459"/>
        <v>0</v>
      </c>
      <c r="BA307" s="98">
        <f t="shared" si="460"/>
        <v>0</v>
      </c>
      <c r="BB307" s="98">
        <f t="shared" si="461"/>
        <v>0</v>
      </c>
      <c r="BC307" s="98">
        <f t="shared" si="462"/>
        <v>0</v>
      </c>
      <c r="BD307" s="98">
        <f t="shared" si="463"/>
        <v>0</v>
      </c>
      <c r="BE307" s="98">
        <f t="shared" si="464"/>
        <v>0</v>
      </c>
      <c r="BF307" s="98">
        <f t="shared" si="465"/>
        <v>526.72986033653842</v>
      </c>
      <c r="BG307" s="98">
        <f t="shared" si="466"/>
        <v>0</v>
      </c>
      <c r="BH307" s="98">
        <f t="shared" si="467"/>
        <v>0</v>
      </c>
      <c r="BI307" s="98">
        <f t="shared" si="468"/>
        <v>0</v>
      </c>
      <c r="BJ307" s="98">
        <f t="shared" si="469"/>
        <v>0</v>
      </c>
      <c r="BK307" s="98">
        <f t="shared" si="470"/>
        <v>0</v>
      </c>
      <c r="BL307" s="98">
        <f t="shared" si="471"/>
        <v>0</v>
      </c>
      <c r="BM307" s="98">
        <f t="shared" si="472"/>
        <v>0</v>
      </c>
      <c r="BN307" s="98">
        <f t="shared" si="473"/>
        <v>0</v>
      </c>
      <c r="BO307" s="98">
        <f t="shared" si="474"/>
        <v>0</v>
      </c>
      <c r="BP307" s="98">
        <f t="shared" si="475"/>
        <v>0</v>
      </c>
      <c r="BQ307" s="98">
        <f t="shared" si="476"/>
        <v>0</v>
      </c>
      <c r="BR307" s="98">
        <f t="shared" si="477"/>
        <v>0</v>
      </c>
      <c r="BS307" s="124"/>
      <c r="BT307" s="124"/>
      <c r="BU307" s="124"/>
      <c r="BV307" s="124"/>
      <c r="BW307" s="124"/>
      <c r="BX307" s="124"/>
      <c r="BY307" s="124"/>
      <c r="BZ307" s="124"/>
      <c r="CA307" s="124"/>
      <c r="CB307" s="124"/>
      <c r="CC307" s="124"/>
      <c r="CD307" s="124"/>
      <c r="CE307" s="124"/>
      <c r="CF307" s="124"/>
      <c r="CG307" s="124"/>
      <c r="CH307" s="124"/>
      <c r="CI307" s="124"/>
      <c r="CJ307" s="124"/>
      <c r="CK307" s="124"/>
      <c r="CL307" s="124"/>
      <c r="CM307" s="124"/>
      <c r="CN307" s="124"/>
      <c r="CO307" s="124"/>
      <c r="CP307" s="124"/>
      <c r="CQ307" s="124"/>
      <c r="CR307" s="124"/>
      <c r="CS307" s="124"/>
      <c r="CT307" s="124"/>
      <c r="CU307" s="124"/>
      <c r="CV307" s="124"/>
      <c r="CW307" s="124"/>
      <c r="CX307" s="124"/>
      <c r="CY307" s="124"/>
      <c r="CZ307" s="124"/>
      <c r="DA307" s="124"/>
      <c r="DB307" s="124"/>
      <c r="DC307" s="124"/>
      <c r="DD307" s="124"/>
      <c r="DE307" s="124"/>
      <c r="DF307" s="124"/>
      <c r="DG307" s="124"/>
      <c r="DH307" s="124"/>
      <c r="DI307" s="124"/>
      <c r="DJ307" s="124"/>
      <c r="DK307" s="124"/>
      <c r="DL307" s="124"/>
      <c r="DM307" s="124"/>
      <c r="DN307" s="124"/>
      <c r="DO307" s="124"/>
      <c r="DP307" s="124"/>
      <c r="DQ307" s="124"/>
      <c r="DR307" s="124"/>
      <c r="DS307" s="124"/>
      <c r="DT307" s="124"/>
      <c r="DU307" s="124"/>
      <c r="DV307" s="124"/>
      <c r="DW307" s="124"/>
      <c r="DX307" s="124"/>
      <c r="DY307" s="124"/>
      <c r="DZ307" s="124"/>
      <c r="EA307" s="124"/>
      <c r="EB307" s="124"/>
      <c r="EC307" s="124"/>
      <c r="ED307" s="124"/>
      <c r="EE307" s="124"/>
      <c r="EF307" s="124"/>
      <c r="EG307" s="124"/>
      <c r="EH307" s="124"/>
      <c r="EI307" s="124"/>
      <c r="EJ307" s="124"/>
      <c r="EK307" s="124"/>
      <c r="EL307" s="124"/>
      <c r="EM307" s="124"/>
      <c r="EN307" s="124"/>
      <c r="EO307" s="124"/>
      <c r="EP307" s="124"/>
      <c r="EQ307" s="124"/>
      <c r="ER307" s="124"/>
      <c r="ES307" s="124"/>
      <c r="ET307" s="124"/>
      <c r="EU307" s="124"/>
      <c r="EV307" s="124"/>
      <c r="EW307" s="124"/>
      <c r="EX307" s="124"/>
      <c r="EY307" s="124"/>
      <c r="EZ307" s="124"/>
    </row>
    <row r="308" spans="1:156" x14ac:dyDescent="0.25">
      <c r="A308" t="s">
        <v>172</v>
      </c>
      <c r="B308" t="s">
        <v>17</v>
      </c>
      <c r="C308">
        <v>2025</v>
      </c>
      <c r="D308" s="98">
        <f>INDEX('Reference Sheet'!$G$9:$J$100, MATCH(A308,'Reference Sheet'!$F$9:$F$100,0), MATCH(C308,'Reference Sheet'!$G$8:$J$8,0))/2080</f>
        <v>6.9722644230769228</v>
      </c>
      <c r="E308" s="99">
        <f>VLOOKUP(C308,'Reference Sheet'!$A$2:$B$5,2)</f>
        <v>0.22450000000000001</v>
      </c>
      <c r="F308" s="98">
        <f t="shared" si="435"/>
        <v>8.5375377860576922</v>
      </c>
      <c r="G308" s="124"/>
      <c r="H308" s="124"/>
      <c r="I308" s="124"/>
      <c r="J308" s="124"/>
      <c r="K308" s="124"/>
      <c r="L308" s="124"/>
      <c r="M308" s="124"/>
      <c r="N308" s="124">
        <v>100</v>
      </c>
      <c r="O308" s="124"/>
      <c r="P308" s="124"/>
      <c r="Q308" s="124"/>
      <c r="R308" s="124"/>
      <c r="S308" s="124"/>
      <c r="T308" s="124"/>
      <c r="U308" s="124"/>
      <c r="V308" s="124"/>
      <c r="W308" s="124"/>
      <c r="X308" s="124"/>
      <c r="Y308" s="124"/>
      <c r="Z308" s="124"/>
      <c r="AA308" s="98">
        <f t="shared" si="408"/>
        <v>100</v>
      </c>
      <c r="AB308" s="124">
        <v>100</v>
      </c>
      <c r="AC308" s="98">
        <f t="shared" si="436"/>
        <v>0</v>
      </c>
      <c r="AD308" s="100">
        <f t="shared" si="437"/>
        <v>0</v>
      </c>
      <c r="AE308" s="100">
        <f t="shared" si="438"/>
        <v>0</v>
      </c>
      <c r="AF308" s="100">
        <f t="shared" si="439"/>
        <v>0</v>
      </c>
      <c r="AG308" s="100">
        <f t="shared" si="440"/>
        <v>0</v>
      </c>
      <c r="AH308" s="100">
        <f t="shared" si="441"/>
        <v>0</v>
      </c>
      <c r="AI308" s="100">
        <f t="shared" si="442"/>
        <v>0</v>
      </c>
      <c r="AJ308" s="100">
        <f t="shared" si="443"/>
        <v>0</v>
      </c>
      <c r="AK308" s="100">
        <f t="shared" si="444"/>
        <v>100</v>
      </c>
      <c r="AL308" s="100">
        <f t="shared" si="445"/>
        <v>0</v>
      </c>
      <c r="AM308" s="100">
        <f t="shared" si="446"/>
        <v>0</v>
      </c>
      <c r="AN308" s="100">
        <f t="shared" si="447"/>
        <v>0</v>
      </c>
      <c r="AO308" s="100">
        <f t="shared" si="448"/>
        <v>0</v>
      </c>
      <c r="AP308" s="100">
        <f t="shared" si="449"/>
        <v>0</v>
      </c>
      <c r="AQ308" s="100">
        <f t="shared" si="450"/>
        <v>0</v>
      </c>
      <c r="AR308" s="100">
        <f t="shared" si="451"/>
        <v>0</v>
      </c>
      <c r="AS308" s="100">
        <f t="shared" si="452"/>
        <v>0</v>
      </c>
      <c r="AT308" s="100">
        <f t="shared" si="453"/>
        <v>0</v>
      </c>
      <c r="AU308" s="100">
        <f t="shared" si="454"/>
        <v>0</v>
      </c>
      <c r="AV308" s="100">
        <f t="shared" si="455"/>
        <v>0</v>
      </c>
      <c r="AW308" s="100">
        <f t="shared" si="456"/>
        <v>0</v>
      </c>
      <c r="AX308">
        <f t="shared" si="457"/>
        <v>100</v>
      </c>
      <c r="AY308" s="98">
        <f t="shared" si="458"/>
        <v>0</v>
      </c>
      <c r="AZ308" s="98">
        <f t="shared" si="459"/>
        <v>0</v>
      </c>
      <c r="BA308" s="98">
        <f t="shared" si="460"/>
        <v>0</v>
      </c>
      <c r="BB308" s="98">
        <f t="shared" si="461"/>
        <v>0</v>
      </c>
      <c r="BC308" s="98">
        <f t="shared" si="462"/>
        <v>0</v>
      </c>
      <c r="BD308" s="98">
        <f t="shared" si="463"/>
        <v>0</v>
      </c>
      <c r="BE308" s="98">
        <f t="shared" si="464"/>
        <v>0</v>
      </c>
      <c r="BF308" s="98">
        <f t="shared" si="465"/>
        <v>853.75377860576918</v>
      </c>
      <c r="BG308" s="98">
        <f t="shared" si="466"/>
        <v>0</v>
      </c>
      <c r="BH308" s="98">
        <f t="shared" si="467"/>
        <v>0</v>
      </c>
      <c r="BI308" s="98">
        <f t="shared" si="468"/>
        <v>0</v>
      </c>
      <c r="BJ308" s="98">
        <f t="shared" si="469"/>
        <v>0</v>
      </c>
      <c r="BK308" s="98">
        <f t="shared" si="470"/>
        <v>0</v>
      </c>
      <c r="BL308" s="98">
        <f t="shared" si="471"/>
        <v>0</v>
      </c>
      <c r="BM308" s="98">
        <f t="shared" si="472"/>
        <v>0</v>
      </c>
      <c r="BN308" s="98">
        <f t="shared" si="473"/>
        <v>0</v>
      </c>
      <c r="BO308" s="98">
        <f t="shared" si="474"/>
        <v>0</v>
      </c>
      <c r="BP308" s="98">
        <f t="shared" si="475"/>
        <v>0</v>
      </c>
      <c r="BQ308" s="98">
        <f t="shared" si="476"/>
        <v>0</v>
      </c>
      <c r="BR308" s="98">
        <f t="shared" si="477"/>
        <v>0</v>
      </c>
      <c r="BS308" s="124"/>
      <c r="BT308" s="124"/>
      <c r="BU308" s="124"/>
      <c r="BV308" s="124"/>
      <c r="BW308" s="124"/>
      <c r="BX308" s="124"/>
      <c r="BY308" s="124"/>
      <c r="BZ308" s="124"/>
      <c r="CA308" s="124"/>
      <c r="CB308" s="124"/>
      <c r="CC308" s="124"/>
      <c r="CD308" s="124"/>
      <c r="CE308" s="124"/>
      <c r="CF308" s="124"/>
      <c r="CG308" s="124"/>
      <c r="CH308" s="124"/>
      <c r="CI308" s="124"/>
      <c r="CJ308" s="124"/>
      <c r="CK308" s="124"/>
      <c r="CL308" s="124"/>
      <c r="CM308" s="124"/>
      <c r="CN308" s="124"/>
      <c r="CO308" s="124"/>
      <c r="CP308" s="124"/>
      <c r="CQ308" s="124"/>
      <c r="CR308" s="124"/>
      <c r="CS308" s="124"/>
      <c r="CT308" s="124"/>
      <c r="CU308" s="124"/>
      <c r="CV308" s="124"/>
      <c r="CW308" s="124"/>
      <c r="CX308" s="124"/>
      <c r="CY308" s="124"/>
      <c r="CZ308" s="124"/>
      <c r="DA308" s="124"/>
      <c r="DB308" s="124"/>
      <c r="DC308" s="124"/>
      <c r="DD308" s="124"/>
      <c r="DE308" s="124"/>
      <c r="DF308" s="124"/>
      <c r="DG308" s="124"/>
      <c r="DH308" s="124"/>
      <c r="DI308" s="124"/>
      <c r="DJ308" s="124"/>
      <c r="DK308" s="124"/>
      <c r="DL308" s="124"/>
      <c r="DM308" s="124"/>
      <c r="DN308" s="124"/>
      <c r="DO308" s="124"/>
      <c r="DP308" s="124"/>
      <c r="DQ308" s="124"/>
      <c r="DR308" s="124"/>
      <c r="DS308" s="124"/>
      <c r="DT308" s="124"/>
      <c r="DU308" s="124"/>
      <c r="DV308" s="124"/>
      <c r="DW308" s="124"/>
      <c r="DX308" s="124"/>
      <c r="DY308" s="124"/>
      <c r="DZ308" s="124"/>
      <c r="EA308" s="124"/>
      <c r="EB308" s="124"/>
      <c r="EC308" s="124"/>
      <c r="ED308" s="124"/>
      <c r="EE308" s="124"/>
      <c r="EF308" s="124"/>
      <c r="EG308" s="124"/>
      <c r="EH308" s="124"/>
      <c r="EI308" s="124"/>
      <c r="EJ308" s="124"/>
      <c r="EK308" s="124"/>
      <c r="EL308" s="124"/>
      <c r="EM308" s="124"/>
      <c r="EN308" s="124"/>
      <c r="EO308" s="124"/>
      <c r="EP308" s="124"/>
      <c r="EQ308" s="124"/>
      <c r="ER308" s="124"/>
      <c r="ES308" s="124"/>
      <c r="ET308" s="124"/>
      <c r="EU308" s="124"/>
      <c r="EV308" s="124"/>
      <c r="EW308" s="124"/>
      <c r="EX308" s="124"/>
      <c r="EY308" s="124"/>
      <c r="EZ308" s="124"/>
    </row>
    <row r="309" spans="1:156" x14ac:dyDescent="0.25">
      <c r="A309" t="s">
        <v>173</v>
      </c>
      <c r="B309" t="s">
        <v>17</v>
      </c>
      <c r="C309">
        <v>2025</v>
      </c>
      <c r="D309" s="98">
        <f>INDEX('Reference Sheet'!$G$9:$J$100, MATCH(A309,'Reference Sheet'!$F$9:$F$100,0), MATCH(C309,'Reference Sheet'!$G$8:$J$8,0))/2080</f>
        <v>2.4322932692307693</v>
      </c>
      <c r="E309" s="99">
        <f>VLOOKUP(C309,'Reference Sheet'!$A$2:$B$5,2)</f>
        <v>0.22450000000000001</v>
      </c>
      <c r="F309" s="98">
        <f t="shared" si="435"/>
        <v>2.9783431081730769</v>
      </c>
      <c r="G309" s="124"/>
      <c r="H309" s="124"/>
      <c r="I309" s="124"/>
      <c r="J309" s="124"/>
      <c r="K309" s="124"/>
      <c r="L309" s="124"/>
      <c r="M309" s="124"/>
      <c r="N309" s="124">
        <v>100</v>
      </c>
      <c r="O309" s="124"/>
      <c r="P309" s="124"/>
      <c r="Q309" s="124"/>
      <c r="R309" s="124"/>
      <c r="S309" s="124"/>
      <c r="T309" s="124"/>
      <c r="U309" s="124"/>
      <c r="V309" s="124"/>
      <c r="W309" s="124"/>
      <c r="X309" s="124"/>
      <c r="Y309" s="124"/>
      <c r="Z309" s="124"/>
      <c r="AA309" s="98">
        <f t="shared" si="408"/>
        <v>100</v>
      </c>
      <c r="AB309" s="124">
        <v>100</v>
      </c>
      <c r="AC309" s="98">
        <f t="shared" si="436"/>
        <v>0</v>
      </c>
      <c r="AD309" s="100">
        <f t="shared" si="437"/>
        <v>0</v>
      </c>
      <c r="AE309" s="100">
        <f t="shared" si="438"/>
        <v>0</v>
      </c>
      <c r="AF309" s="100">
        <f t="shared" si="439"/>
        <v>0</v>
      </c>
      <c r="AG309" s="100">
        <f t="shared" si="440"/>
        <v>0</v>
      </c>
      <c r="AH309" s="100">
        <f t="shared" si="441"/>
        <v>0</v>
      </c>
      <c r="AI309" s="100">
        <f t="shared" si="442"/>
        <v>0</v>
      </c>
      <c r="AJ309" s="100">
        <f t="shared" si="443"/>
        <v>0</v>
      </c>
      <c r="AK309" s="100">
        <f t="shared" si="444"/>
        <v>100</v>
      </c>
      <c r="AL309" s="100">
        <f t="shared" si="445"/>
        <v>0</v>
      </c>
      <c r="AM309" s="100">
        <f t="shared" si="446"/>
        <v>0</v>
      </c>
      <c r="AN309" s="100">
        <f t="shared" si="447"/>
        <v>0</v>
      </c>
      <c r="AO309" s="100">
        <f t="shared" si="448"/>
        <v>0</v>
      </c>
      <c r="AP309" s="100">
        <f t="shared" si="449"/>
        <v>0</v>
      </c>
      <c r="AQ309" s="100">
        <f t="shared" si="450"/>
        <v>0</v>
      </c>
      <c r="AR309" s="100">
        <f t="shared" si="451"/>
        <v>0</v>
      </c>
      <c r="AS309" s="100">
        <f t="shared" si="452"/>
        <v>0</v>
      </c>
      <c r="AT309" s="100">
        <f t="shared" si="453"/>
        <v>0</v>
      </c>
      <c r="AU309" s="100">
        <f t="shared" si="454"/>
        <v>0</v>
      </c>
      <c r="AV309" s="100">
        <f t="shared" si="455"/>
        <v>0</v>
      </c>
      <c r="AW309" s="100">
        <f t="shared" si="456"/>
        <v>0</v>
      </c>
      <c r="AX309">
        <f t="shared" si="457"/>
        <v>100</v>
      </c>
      <c r="AY309" s="98">
        <f t="shared" si="458"/>
        <v>0</v>
      </c>
      <c r="AZ309" s="98">
        <f t="shared" si="459"/>
        <v>0</v>
      </c>
      <c r="BA309" s="98">
        <f t="shared" si="460"/>
        <v>0</v>
      </c>
      <c r="BB309" s="98">
        <f t="shared" si="461"/>
        <v>0</v>
      </c>
      <c r="BC309" s="98">
        <f t="shared" si="462"/>
        <v>0</v>
      </c>
      <c r="BD309" s="98">
        <f t="shared" si="463"/>
        <v>0</v>
      </c>
      <c r="BE309" s="98">
        <f t="shared" si="464"/>
        <v>0</v>
      </c>
      <c r="BF309" s="98">
        <f t="shared" si="465"/>
        <v>297.83431081730771</v>
      </c>
      <c r="BG309" s="98">
        <f t="shared" si="466"/>
        <v>0</v>
      </c>
      <c r="BH309" s="98">
        <f t="shared" si="467"/>
        <v>0</v>
      </c>
      <c r="BI309" s="98">
        <f t="shared" si="468"/>
        <v>0</v>
      </c>
      <c r="BJ309" s="98">
        <f t="shared" si="469"/>
        <v>0</v>
      </c>
      <c r="BK309" s="98">
        <f t="shared" si="470"/>
        <v>0</v>
      </c>
      <c r="BL309" s="98">
        <f t="shared" si="471"/>
        <v>0</v>
      </c>
      <c r="BM309" s="98">
        <f t="shared" si="472"/>
        <v>0</v>
      </c>
      <c r="BN309" s="98">
        <f t="shared" si="473"/>
        <v>0</v>
      </c>
      <c r="BO309" s="98">
        <f t="shared" si="474"/>
        <v>0</v>
      </c>
      <c r="BP309" s="98">
        <f t="shared" si="475"/>
        <v>0</v>
      </c>
      <c r="BQ309" s="98">
        <f t="shared" si="476"/>
        <v>0</v>
      </c>
      <c r="BR309" s="98">
        <f t="shared" si="477"/>
        <v>0</v>
      </c>
      <c r="BS309" s="124"/>
      <c r="BT309" s="124"/>
      <c r="BU309" s="124"/>
      <c r="BV309" s="124"/>
      <c r="BW309" s="124"/>
      <c r="BX309" s="124"/>
      <c r="BY309" s="124"/>
      <c r="BZ309" s="124"/>
      <c r="CA309" s="124"/>
      <c r="CB309" s="124"/>
      <c r="CC309" s="124"/>
      <c r="CD309" s="124"/>
      <c r="CE309" s="124"/>
      <c r="CF309" s="124"/>
      <c r="CG309" s="124"/>
      <c r="CH309" s="124"/>
      <c r="CI309" s="124"/>
      <c r="CJ309" s="124"/>
      <c r="CK309" s="124"/>
      <c r="CL309" s="124"/>
      <c r="CM309" s="124"/>
      <c r="CN309" s="124"/>
      <c r="CO309" s="124"/>
      <c r="CP309" s="124"/>
      <c r="CQ309" s="124"/>
      <c r="CR309" s="124"/>
      <c r="CS309" s="124"/>
      <c r="CT309" s="124"/>
      <c r="CU309" s="124"/>
      <c r="CV309" s="124"/>
      <c r="CW309" s="124"/>
      <c r="CX309" s="124"/>
      <c r="CY309" s="124"/>
      <c r="CZ309" s="124"/>
      <c r="DA309" s="124"/>
      <c r="DB309" s="124"/>
      <c r="DC309" s="124"/>
      <c r="DD309" s="124"/>
      <c r="DE309" s="124"/>
      <c r="DF309" s="124"/>
      <c r="DG309" s="124"/>
      <c r="DH309" s="124"/>
      <c r="DI309" s="124"/>
      <c r="DJ309" s="124"/>
      <c r="DK309" s="124"/>
      <c r="DL309" s="124"/>
      <c r="DM309" s="124"/>
      <c r="DN309" s="124"/>
      <c r="DO309" s="124"/>
      <c r="DP309" s="124"/>
      <c r="DQ309" s="124"/>
      <c r="DR309" s="124"/>
      <c r="DS309" s="124"/>
      <c r="DT309" s="124"/>
      <c r="DU309" s="124"/>
      <c r="DV309" s="124"/>
      <c r="DW309" s="124"/>
      <c r="DX309" s="124"/>
      <c r="DY309" s="124"/>
      <c r="DZ309" s="124"/>
      <c r="EA309" s="124"/>
      <c r="EB309" s="124"/>
      <c r="EC309" s="124"/>
      <c r="ED309" s="124"/>
      <c r="EE309" s="124"/>
      <c r="EF309" s="124"/>
      <c r="EG309" s="124"/>
      <c r="EH309" s="124"/>
      <c r="EI309" s="124"/>
      <c r="EJ309" s="124"/>
      <c r="EK309" s="124"/>
      <c r="EL309" s="124"/>
      <c r="EM309" s="124"/>
      <c r="EN309" s="124"/>
      <c r="EO309" s="124"/>
      <c r="EP309" s="124"/>
      <c r="EQ309" s="124"/>
      <c r="ER309" s="124"/>
      <c r="ES309" s="124"/>
      <c r="ET309" s="124"/>
      <c r="EU309" s="124"/>
      <c r="EV309" s="124"/>
      <c r="EW309" s="124"/>
      <c r="EX309" s="124"/>
      <c r="EY309" s="124"/>
      <c r="EZ309" s="124"/>
    </row>
    <row r="310" spans="1:156" x14ac:dyDescent="0.25">
      <c r="A310" t="s">
        <v>174</v>
      </c>
      <c r="B310" t="s">
        <v>17</v>
      </c>
      <c r="C310">
        <v>2025</v>
      </c>
      <c r="D310" s="98">
        <f>INDEX('Reference Sheet'!$G$9:$J$100, MATCH(A310,'Reference Sheet'!$F$9:$F$100,0), MATCH(C310,'Reference Sheet'!$G$8:$J$8,0))/2080</f>
        <v>0.66141346153846159</v>
      </c>
      <c r="E310" s="99">
        <f>VLOOKUP(C310,'Reference Sheet'!$A$2:$B$5,2)</f>
        <v>0.22450000000000001</v>
      </c>
      <c r="F310" s="98">
        <f t="shared" si="435"/>
        <v>0.80990078365384621</v>
      </c>
      <c r="G310" s="124"/>
      <c r="H310" s="124"/>
      <c r="I310" s="124"/>
      <c r="J310" s="124"/>
      <c r="K310" s="124"/>
      <c r="L310" s="124"/>
      <c r="M310" s="124"/>
      <c r="N310" s="124">
        <v>100</v>
      </c>
      <c r="O310" s="124"/>
      <c r="P310" s="124"/>
      <c r="Q310" s="124"/>
      <c r="R310" s="124"/>
      <c r="S310" s="124"/>
      <c r="T310" s="124"/>
      <c r="U310" s="124"/>
      <c r="V310" s="124"/>
      <c r="W310" s="124"/>
      <c r="X310" s="124"/>
      <c r="Y310" s="124"/>
      <c r="Z310" s="124"/>
      <c r="AA310" s="98">
        <f t="shared" si="408"/>
        <v>100</v>
      </c>
      <c r="AB310" s="124">
        <v>100</v>
      </c>
      <c r="AC310" s="98">
        <f t="shared" si="436"/>
        <v>0</v>
      </c>
      <c r="AD310" s="100">
        <f t="shared" si="437"/>
        <v>0</v>
      </c>
      <c r="AE310" s="100">
        <f t="shared" si="438"/>
        <v>0</v>
      </c>
      <c r="AF310" s="100">
        <f t="shared" si="439"/>
        <v>0</v>
      </c>
      <c r="AG310" s="100">
        <f t="shared" si="440"/>
        <v>0</v>
      </c>
      <c r="AH310" s="100">
        <f t="shared" si="441"/>
        <v>0</v>
      </c>
      <c r="AI310" s="100">
        <f t="shared" si="442"/>
        <v>0</v>
      </c>
      <c r="AJ310" s="100">
        <f t="shared" si="443"/>
        <v>0</v>
      </c>
      <c r="AK310" s="100">
        <f t="shared" si="444"/>
        <v>100</v>
      </c>
      <c r="AL310" s="100">
        <f t="shared" si="445"/>
        <v>0</v>
      </c>
      <c r="AM310" s="100">
        <f t="shared" si="446"/>
        <v>0</v>
      </c>
      <c r="AN310" s="100">
        <f t="shared" si="447"/>
        <v>0</v>
      </c>
      <c r="AO310" s="100">
        <f t="shared" si="448"/>
        <v>0</v>
      </c>
      <c r="AP310" s="100">
        <f t="shared" si="449"/>
        <v>0</v>
      </c>
      <c r="AQ310" s="100">
        <f t="shared" si="450"/>
        <v>0</v>
      </c>
      <c r="AR310" s="100">
        <f t="shared" si="451"/>
        <v>0</v>
      </c>
      <c r="AS310" s="100">
        <f t="shared" si="452"/>
        <v>0</v>
      </c>
      <c r="AT310" s="100">
        <f t="shared" si="453"/>
        <v>0</v>
      </c>
      <c r="AU310" s="100">
        <f t="shared" si="454"/>
        <v>0</v>
      </c>
      <c r="AV310" s="100">
        <f t="shared" si="455"/>
        <v>0</v>
      </c>
      <c r="AW310" s="100">
        <f t="shared" si="456"/>
        <v>0</v>
      </c>
      <c r="AX310">
        <f t="shared" si="457"/>
        <v>100</v>
      </c>
      <c r="AY310" s="98">
        <f t="shared" si="458"/>
        <v>0</v>
      </c>
      <c r="AZ310" s="98">
        <f t="shared" si="459"/>
        <v>0</v>
      </c>
      <c r="BA310" s="98">
        <f t="shared" si="460"/>
        <v>0</v>
      </c>
      <c r="BB310" s="98">
        <f t="shared" si="461"/>
        <v>0</v>
      </c>
      <c r="BC310" s="98">
        <f t="shared" si="462"/>
        <v>0</v>
      </c>
      <c r="BD310" s="98">
        <f t="shared" si="463"/>
        <v>0</v>
      </c>
      <c r="BE310" s="98">
        <f t="shared" si="464"/>
        <v>0</v>
      </c>
      <c r="BF310" s="98">
        <f t="shared" si="465"/>
        <v>80.990078365384619</v>
      </c>
      <c r="BG310" s="98">
        <f t="shared" si="466"/>
        <v>0</v>
      </c>
      <c r="BH310" s="98">
        <f t="shared" si="467"/>
        <v>0</v>
      </c>
      <c r="BI310" s="98">
        <f t="shared" si="468"/>
        <v>0</v>
      </c>
      <c r="BJ310" s="98">
        <f t="shared" si="469"/>
        <v>0</v>
      </c>
      <c r="BK310" s="98">
        <f t="shared" si="470"/>
        <v>0</v>
      </c>
      <c r="BL310" s="98">
        <f t="shared" si="471"/>
        <v>0</v>
      </c>
      <c r="BM310" s="98">
        <f t="shared" si="472"/>
        <v>0</v>
      </c>
      <c r="BN310" s="98">
        <f t="shared" si="473"/>
        <v>0</v>
      </c>
      <c r="BO310" s="98">
        <f t="shared" si="474"/>
        <v>0</v>
      </c>
      <c r="BP310" s="98">
        <f t="shared" si="475"/>
        <v>0</v>
      </c>
      <c r="BQ310" s="98">
        <f t="shared" si="476"/>
        <v>0</v>
      </c>
      <c r="BR310" s="98">
        <f t="shared" si="477"/>
        <v>0</v>
      </c>
      <c r="BS310" s="124"/>
      <c r="BT310" s="124"/>
      <c r="BU310" s="124"/>
      <c r="BV310" s="124"/>
      <c r="BW310" s="124"/>
      <c r="BX310" s="124"/>
      <c r="BY310" s="124"/>
      <c r="BZ310" s="124"/>
      <c r="CA310" s="124"/>
      <c r="CB310" s="124"/>
      <c r="CC310" s="124"/>
      <c r="CD310" s="124"/>
      <c r="CE310" s="124"/>
      <c r="CF310" s="124"/>
      <c r="CG310" s="124"/>
      <c r="CH310" s="124"/>
      <c r="CI310" s="124"/>
      <c r="CJ310" s="124"/>
      <c r="CK310" s="124"/>
      <c r="CL310" s="124"/>
      <c r="CM310" s="124"/>
      <c r="CN310" s="124"/>
      <c r="CO310" s="124"/>
      <c r="CP310" s="124"/>
      <c r="CQ310" s="124"/>
      <c r="CR310" s="124"/>
      <c r="CS310" s="124"/>
      <c r="CT310" s="124"/>
      <c r="CU310" s="124"/>
      <c r="CV310" s="124"/>
      <c r="CW310" s="124"/>
      <c r="CX310" s="124"/>
      <c r="CY310" s="124"/>
      <c r="CZ310" s="124"/>
      <c r="DA310" s="124"/>
      <c r="DB310" s="124"/>
      <c r="DC310" s="124"/>
      <c r="DD310" s="124"/>
      <c r="DE310" s="124"/>
      <c r="DF310" s="124"/>
      <c r="DG310" s="124"/>
      <c r="DH310" s="124"/>
      <c r="DI310" s="124"/>
      <c r="DJ310" s="124"/>
      <c r="DK310" s="124"/>
      <c r="DL310" s="124"/>
      <c r="DM310" s="124"/>
      <c r="DN310" s="124"/>
      <c r="DO310" s="124"/>
      <c r="DP310" s="124"/>
      <c r="DQ310" s="124"/>
      <c r="DR310" s="124"/>
      <c r="DS310" s="124"/>
      <c r="DT310" s="124"/>
      <c r="DU310" s="124"/>
      <c r="DV310" s="124"/>
      <c r="DW310" s="124"/>
      <c r="DX310" s="124"/>
      <c r="DY310" s="124"/>
      <c r="DZ310" s="124"/>
      <c r="EA310" s="124"/>
      <c r="EB310" s="124"/>
      <c r="EC310" s="124"/>
      <c r="ED310" s="124"/>
      <c r="EE310" s="124"/>
      <c r="EF310" s="124"/>
      <c r="EG310" s="124"/>
      <c r="EH310" s="124"/>
      <c r="EI310" s="124"/>
      <c r="EJ310" s="124"/>
      <c r="EK310" s="124"/>
      <c r="EL310" s="124"/>
      <c r="EM310" s="124"/>
      <c r="EN310" s="124"/>
      <c r="EO310" s="124"/>
      <c r="EP310" s="124"/>
      <c r="EQ310" s="124"/>
      <c r="ER310" s="124"/>
      <c r="ES310" s="124"/>
      <c r="ET310" s="124"/>
      <c r="EU310" s="124"/>
      <c r="EV310" s="124"/>
      <c r="EW310" s="124"/>
      <c r="EX310" s="124"/>
      <c r="EY310" s="124"/>
      <c r="EZ310" s="124"/>
    </row>
    <row r="311" spans="1:156" x14ac:dyDescent="0.25">
      <c r="A311" t="s">
        <v>175</v>
      </c>
      <c r="B311" t="s">
        <v>17</v>
      </c>
      <c r="C311">
        <v>2025</v>
      </c>
      <c r="D311" s="98">
        <f>INDEX('Reference Sheet'!$G$9:$J$100, MATCH(A311,'Reference Sheet'!$F$9:$F$100,0), MATCH(C311,'Reference Sheet'!$G$8:$J$8,0))/2080</f>
        <v>19.552908653846156</v>
      </c>
      <c r="E311" s="99">
        <f>VLOOKUP(C311,'Reference Sheet'!$A$2:$B$5,2)</f>
        <v>0.22450000000000001</v>
      </c>
      <c r="F311" s="98">
        <f t="shared" si="435"/>
        <v>23.942536646634618</v>
      </c>
      <c r="G311" s="124"/>
      <c r="H311" s="124"/>
      <c r="I311" s="124"/>
      <c r="J311" s="124"/>
      <c r="K311" s="124"/>
      <c r="L311" s="124"/>
      <c r="M311" s="124"/>
      <c r="N311" s="124">
        <v>480</v>
      </c>
      <c r="O311" s="124"/>
      <c r="P311" s="124"/>
      <c r="Q311" s="124"/>
      <c r="R311" s="124"/>
      <c r="S311" s="124"/>
      <c r="T311" s="124">
        <v>12</v>
      </c>
      <c r="U311" s="124"/>
      <c r="V311" s="124"/>
      <c r="W311" s="124"/>
      <c r="X311" s="124"/>
      <c r="Y311" s="124"/>
      <c r="Z311" s="124"/>
      <c r="AA311" s="98">
        <f t="shared" si="408"/>
        <v>492</v>
      </c>
      <c r="AB311" s="124">
        <v>492</v>
      </c>
      <c r="AC311" s="98">
        <f t="shared" si="436"/>
        <v>0</v>
      </c>
      <c r="AD311" s="100">
        <f t="shared" si="437"/>
        <v>0</v>
      </c>
      <c r="AE311" s="100">
        <f t="shared" si="438"/>
        <v>0</v>
      </c>
      <c r="AF311" s="100">
        <f t="shared" si="439"/>
        <v>0</v>
      </c>
      <c r="AG311" s="100">
        <f t="shared" si="440"/>
        <v>0</v>
      </c>
      <c r="AH311" s="100">
        <f t="shared" si="441"/>
        <v>0</v>
      </c>
      <c r="AI311" s="100">
        <f t="shared" si="442"/>
        <v>0</v>
      </c>
      <c r="AJ311" s="100">
        <f t="shared" si="443"/>
        <v>0</v>
      </c>
      <c r="AK311" s="100">
        <f t="shared" si="444"/>
        <v>480</v>
      </c>
      <c r="AL311" s="100">
        <f t="shared" si="445"/>
        <v>0</v>
      </c>
      <c r="AM311" s="100">
        <f t="shared" si="446"/>
        <v>0</v>
      </c>
      <c r="AN311" s="100">
        <f t="shared" si="447"/>
        <v>0</v>
      </c>
      <c r="AO311" s="100">
        <f t="shared" si="448"/>
        <v>0</v>
      </c>
      <c r="AP311" s="100">
        <f t="shared" si="449"/>
        <v>0</v>
      </c>
      <c r="AQ311" s="100">
        <f t="shared" si="450"/>
        <v>12</v>
      </c>
      <c r="AR311" s="100">
        <f t="shared" si="451"/>
        <v>0</v>
      </c>
      <c r="AS311" s="100">
        <f t="shared" si="452"/>
        <v>0</v>
      </c>
      <c r="AT311" s="100">
        <f t="shared" si="453"/>
        <v>0</v>
      </c>
      <c r="AU311" s="100">
        <f t="shared" si="454"/>
        <v>0</v>
      </c>
      <c r="AV311" s="100">
        <f t="shared" si="455"/>
        <v>0</v>
      </c>
      <c r="AW311" s="100">
        <f t="shared" si="456"/>
        <v>0</v>
      </c>
      <c r="AX311">
        <f t="shared" si="457"/>
        <v>492</v>
      </c>
      <c r="AY311" s="98">
        <f t="shared" si="458"/>
        <v>0</v>
      </c>
      <c r="AZ311" s="98">
        <f t="shared" si="459"/>
        <v>0</v>
      </c>
      <c r="BA311" s="98">
        <f t="shared" si="460"/>
        <v>0</v>
      </c>
      <c r="BB311" s="98">
        <f t="shared" si="461"/>
        <v>0</v>
      </c>
      <c r="BC311" s="98">
        <f t="shared" si="462"/>
        <v>0</v>
      </c>
      <c r="BD311" s="98">
        <f t="shared" si="463"/>
        <v>0</v>
      </c>
      <c r="BE311" s="98">
        <f t="shared" si="464"/>
        <v>0</v>
      </c>
      <c r="BF311" s="98">
        <f t="shared" si="465"/>
        <v>11492.417590384617</v>
      </c>
      <c r="BG311" s="98">
        <f t="shared" si="466"/>
        <v>0</v>
      </c>
      <c r="BH311" s="98">
        <f t="shared" si="467"/>
        <v>0</v>
      </c>
      <c r="BI311" s="98">
        <f t="shared" si="468"/>
        <v>0</v>
      </c>
      <c r="BJ311" s="98">
        <f t="shared" si="469"/>
        <v>0</v>
      </c>
      <c r="BK311" s="98">
        <f t="shared" si="470"/>
        <v>0</v>
      </c>
      <c r="BL311" s="98">
        <f t="shared" si="471"/>
        <v>287.31043975961541</v>
      </c>
      <c r="BM311" s="98">
        <f t="shared" si="472"/>
        <v>0</v>
      </c>
      <c r="BN311" s="98">
        <f t="shared" si="473"/>
        <v>0</v>
      </c>
      <c r="BO311" s="98">
        <f t="shared" si="474"/>
        <v>0</v>
      </c>
      <c r="BP311" s="98">
        <f t="shared" si="475"/>
        <v>0</v>
      </c>
      <c r="BQ311" s="98">
        <f t="shared" si="476"/>
        <v>0</v>
      </c>
      <c r="BR311" s="98">
        <f t="shared" si="477"/>
        <v>0</v>
      </c>
      <c r="BS311" s="124"/>
      <c r="BT311" s="124"/>
      <c r="BU311" s="124"/>
      <c r="BV311" s="124"/>
      <c r="BW311" s="124"/>
      <c r="BX311" s="124"/>
      <c r="BY311" s="124"/>
      <c r="BZ311" s="124"/>
      <c r="CA311" s="124"/>
      <c r="CB311" s="124"/>
      <c r="CC311" s="124"/>
      <c r="CD311" s="124"/>
      <c r="CE311" s="124"/>
      <c r="CF311" s="124"/>
      <c r="CG311" s="124"/>
      <c r="CH311" s="124"/>
      <c r="CI311" s="124"/>
      <c r="CJ311" s="124"/>
      <c r="CK311" s="124"/>
      <c r="CL311" s="124"/>
      <c r="CM311" s="124"/>
      <c r="CN311" s="124"/>
      <c r="CO311" s="124"/>
      <c r="CP311" s="124"/>
      <c r="CQ311" s="124"/>
      <c r="CR311" s="124"/>
      <c r="CS311" s="124"/>
      <c r="CT311" s="124"/>
      <c r="CU311" s="124"/>
      <c r="CV311" s="124"/>
      <c r="CW311" s="124"/>
      <c r="CX311" s="124"/>
      <c r="CY311" s="124"/>
      <c r="CZ311" s="124"/>
      <c r="DA311" s="124"/>
      <c r="DB311" s="124"/>
      <c r="DC311" s="124"/>
      <c r="DD311" s="124"/>
      <c r="DE311" s="124"/>
      <c r="DF311" s="124"/>
      <c r="DG311" s="124"/>
      <c r="DH311" s="124"/>
      <c r="DI311" s="124"/>
      <c r="DJ311" s="124"/>
      <c r="DK311" s="124"/>
      <c r="DL311" s="124"/>
      <c r="DM311" s="124"/>
      <c r="DN311" s="124"/>
      <c r="DO311" s="124"/>
      <c r="DP311" s="124"/>
      <c r="DQ311" s="124"/>
      <c r="DR311" s="124"/>
      <c r="DS311" s="124"/>
      <c r="DT311" s="124"/>
      <c r="DU311" s="124"/>
      <c r="DV311" s="124"/>
      <c r="DW311" s="124"/>
      <c r="DX311" s="124"/>
      <c r="DY311" s="124"/>
      <c r="DZ311" s="124"/>
      <c r="EA311" s="124"/>
      <c r="EB311" s="124"/>
      <c r="EC311" s="124"/>
      <c r="ED311" s="124"/>
      <c r="EE311" s="124"/>
      <c r="EF311" s="124"/>
      <c r="EG311" s="124"/>
      <c r="EH311" s="124"/>
      <c r="EI311" s="124"/>
      <c r="EJ311" s="124"/>
      <c r="EK311" s="124"/>
      <c r="EL311" s="124"/>
      <c r="EM311" s="124"/>
      <c r="EN311" s="124"/>
      <c r="EO311" s="124"/>
      <c r="EP311" s="124"/>
      <c r="EQ311" s="124"/>
      <c r="ER311" s="124"/>
      <c r="ES311" s="124"/>
      <c r="ET311" s="124"/>
      <c r="EU311" s="124"/>
      <c r="EV311" s="124"/>
      <c r="EW311" s="124"/>
      <c r="EX311" s="124"/>
      <c r="EY311" s="124"/>
      <c r="EZ311" s="124"/>
    </row>
    <row r="312" spans="1:156" x14ac:dyDescent="0.25">
      <c r="A312" t="s">
        <v>176</v>
      </c>
      <c r="B312" t="s">
        <v>17</v>
      </c>
      <c r="C312">
        <v>2025</v>
      </c>
      <c r="D312" s="98">
        <f>INDEX('Reference Sheet'!$G$9:$J$100, MATCH(A312,'Reference Sheet'!$F$9:$F$100,0), MATCH(C312,'Reference Sheet'!$G$8:$J$8,0))/2080</f>
        <v>31.83760576923077</v>
      </c>
      <c r="E312" s="99">
        <f>VLOOKUP(C312,'Reference Sheet'!$A$2:$B$5,2)</f>
        <v>0.22450000000000001</v>
      </c>
      <c r="F312" s="98">
        <f t="shared" si="435"/>
        <v>38.985148264423074</v>
      </c>
      <c r="G312" s="124"/>
      <c r="H312" s="124"/>
      <c r="I312" s="124"/>
      <c r="J312" s="124"/>
      <c r="K312" s="124"/>
      <c r="L312" s="124"/>
      <c r="M312" s="124"/>
      <c r="N312" s="124"/>
      <c r="O312" s="124"/>
      <c r="P312" s="124"/>
      <c r="Q312" s="124"/>
      <c r="R312" s="124"/>
      <c r="S312" s="124"/>
      <c r="T312" s="124"/>
      <c r="U312" s="124"/>
      <c r="V312" s="124"/>
      <c r="W312" s="124"/>
      <c r="X312" s="124"/>
      <c r="Y312" s="124">
        <v>100</v>
      </c>
      <c r="Z312" s="124"/>
      <c r="AA312" s="98">
        <f t="shared" si="408"/>
        <v>100</v>
      </c>
      <c r="AB312" s="124">
        <v>100</v>
      </c>
      <c r="AC312" s="98">
        <f t="shared" si="436"/>
        <v>0</v>
      </c>
      <c r="AD312" s="100">
        <f t="shared" si="437"/>
        <v>0</v>
      </c>
      <c r="AE312" s="100">
        <f t="shared" si="438"/>
        <v>0</v>
      </c>
      <c r="AF312" s="100">
        <f t="shared" si="439"/>
        <v>0</v>
      </c>
      <c r="AG312" s="100">
        <f t="shared" si="440"/>
        <v>0</v>
      </c>
      <c r="AH312" s="100">
        <f t="shared" si="441"/>
        <v>0</v>
      </c>
      <c r="AI312" s="100">
        <f t="shared" si="442"/>
        <v>0</v>
      </c>
      <c r="AJ312" s="100">
        <f t="shared" si="443"/>
        <v>0</v>
      </c>
      <c r="AK312" s="100">
        <f t="shared" si="444"/>
        <v>0</v>
      </c>
      <c r="AL312" s="100">
        <f t="shared" si="445"/>
        <v>0</v>
      </c>
      <c r="AM312" s="100">
        <f t="shared" si="446"/>
        <v>0</v>
      </c>
      <c r="AN312" s="100">
        <f t="shared" si="447"/>
        <v>0</v>
      </c>
      <c r="AO312" s="100">
        <f t="shared" si="448"/>
        <v>0</v>
      </c>
      <c r="AP312" s="100">
        <f t="shared" si="449"/>
        <v>0</v>
      </c>
      <c r="AQ312" s="100">
        <f t="shared" si="450"/>
        <v>0</v>
      </c>
      <c r="AR312" s="100">
        <f t="shared" si="451"/>
        <v>0</v>
      </c>
      <c r="AS312" s="100">
        <f t="shared" si="452"/>
        <v>0</v>
      </c>
      <c r="AT312" s="100">
        <f t="shared" si="453"/>
        <v>0</v>
      </c>
      <c r="AU312" s="100">
        <f t="shared" si="454"/>
        <v>0</v>
      </c>
      <c r="AV312" s="100">
        <f t="shared" si="455"/>
        <v>100</v>
      </c>
      <c r="AW312" s="100">
        <f t="shared" si="456"/>
        <v>0</v>
      </c>
      <c r="AX312">
        <f t="shared" si="457"/>
        <v>100</v>
      </c>
      <c r="AY312" s="98">
        <f t="shared" si="458"/>
        <v>0</v>
      </c>
      <c r="AZ312" s="98">
        <f t="shared" si="459"/>
        <v>0</v>
      </c>
      <c r="BA312" s="98">
        <f t="shared" si="460"/>
        <v>0</v>
      </c>
      <c r="BB312" s="98">
        <f t="shared" si="461"/>
        <v>0</v>
      </c>
      <c r="BC312" s="98">
        <f t="shared" si="462"/>
        <v>0</v>
      </c>
      <c r="BD312" s="98">
        <f t="shared" si="463"/>
        <v>0</v>
      </c>
      <c r="BE312" s="98">
        <f t="shared" si="464"/>
        <v>0</v>
      </c>
      <c r="BF312" s="98">
        <f t="shared" si="465"/>
        <v>0</v>
      </c>
      <c r="BG312" s="98">
        <f t="shared" si="466"/>
        <v>0</v>
      </c>
      <c r="BH312" s="98">
        <f t="shared" si="467"/>
        <v>0</v>
      </c>
      <c r="BI312" s="98">
        <f t="shared" si="468"/>
        <v>0</v>
      </c>
      <c r="BJ312" s="98">
        <f t="shared" si="469"/>
        <v>0</v>
      </c>
      <c r="BK312" s="98">
        <f t="shared" si="470"/>
        <v>0</v>
      </c>
      <c r="BL312" s="98">
        <f t="shared" si="471"/>
        <v>0</v>
      </c>
      <c r="BM312" s="98">
        <f t="shared" si="472"/>
        <v>0</v>
      </c>
      <c r="BN312" s="98">
        <f t="shared" si="473"/>
        <v>0</v>
      </c>
      <c r="BO312" s="98">
        <f t="shared" si="474"/>
        <v>0</v>
      </c>
      <c r="BP312" s="98">
        <f t="shared" si="475"/>
        <v>0</v>
      </c>
      <c r="BQ312" s="98">
        <f t="shared" si="476"/>
        <v>3898.5148264423074</v>
      </c>
      <c r="BR312" s="98">
        <f t="shared" si="477"/>
        <v>0</v>
      </c>
      <c r="BS312" s="124"/>
      <c r="BT312" s="124"/>
      <c r="BU312" s="124"/>
      <c r="BV312" s="124"/>
      <c r="BW312" s="124"/>
      <c r="BX312" s="124"/>
      <c r="BY312" s="124"/>
      <c r="BZ312" s="124"/>
      <c r="CA312" s="124"/>
      <c r="CB312" s="124"/>
      <c r="CC312" s="124"/>
      <c r="CD312" s="124"/>
      <c r="CE312" s="124"/>
      <c r="CF312" s="124"/>
      <c r="CG312" s="124"/>
      <c r="CH312" s="124"/>
      <c r="CI312" s="124"/>
      <c r="CJ312" s="124"/>
      <c r="CK312" s="124"/>
      <c r="CL312" s="124"/>
      <c r="CM312" s="124"/>
      <c r="CN312" s="124"/>
      <c r="CO312" s="124"/>
      <c r="CP312" s="124"/>
      <c r="CQ312" s="124"/>
      <c r="CR312" s="124"/>
      <c r="CS312" s="124"/>
      <c r="CT312" s="124"/>
      <c r="CU312" s="124"/>
      <c r="CV312" s="124"/>
      <c r="CW312" s="124"/>
      <c r="CX312" s="124"/>
      <c r="CY312" s="124"/>
      <c r="CZ312" s="124"/>
      <c r="DA312" s="124"/>
      <c r="DB312" s="124"/>
      <c r="DC312" s="124"/>
      <c r="DD312" s="124"/>
      <c r="DE312" s="124"/>
      <c r="DF312" s="124"/>
      <c r="DG312" s="124"/>
      <c r="DH312" s="124"/>
      <c r="DI312" s="124"/>
      <c r="DJ312" s="124"/>
      <c r="DK312" s="124"/>
      <c r="DL312" s="124"/>
      <c r="DM312" s="124"/>
      <c r="DN312" s="124"/>
      <c r="DO312" s="124"/>
      <c r="DP312" s="124"/>
      <c r="DQ312" s="124"/>
      <c r="DR312" s="124"/>
      <c r="DS312" s="124"/>
      <c r="DT312" s="124"/>
      <c r="DU312" s="124"/>
      <c r="DV312" s="124"/>
      <c r="DW312" s="124"/>
      <c r="DX312" s="124"/>
      <c r="DY312" s="124"/>
      <c r="DZ312" s="124"/>
      <c r="EA312" s="124"/>
      <c r="EB312" s="124"/>
      <c r="EC312" s="124"/>
      <c r="ED312" s="124"/>
      <c r="EE312" s="124"/>
      <c r="EF312" s="124"/>
      <c r="EG312" s="124"/>
      <c r="EH312" s="124"/>
      <c r="EI312" s="124"/>
      <c r="EJ312" s="124"/>
      <c r="EK312" s="124"/>
      <c r="EL312" s="124"/>
      <c r="EM312" s="124"/>
      <c r="EN312" s="124"/>
      <c r="EO312" s="124"/>
      <c r="EP312" s="124"/>
      <c r="EQ312" s="124"/>
      <c r="ER312" s="124"/>
      <c r="ES312" s="124"/>
      <c r="ET312" s="124"/>
      <c r="EU312" s="124"/>
      <c r="EV312" s="124"/>
      <c r="EW312" s="124"/>
      <c r="EX312" s="124"/>
      <c r="EY312" s="124"/>
      <c r="EZ312" s="124"/>
    </row>
    <row r="313" spans="1:156" x14ac:dyDescent="0.25">
      <c r="A313" t="s">
        <v>177</v>
      </c>
      <c r="B313" t="s">
        <v>17</v>
      </c>
      <c r="C313">
        <v>2025</v>
      </c>
      <c r="D313" s="98">
        <f>INDEX('Reference Sheet'!$G$9:$J$100, MATCH(A313,'Reference Sheet'!$F$9:$F$100,0), MATCH(C313,'Reference Sheet'!$G$8:$J$8,0))/2080</f>
        <v>32.829230769230769</v>
      </c>
      <c r="E313" s="99">
        <f>VLOOKUP(C313,'Reference Sheet'!$A$2:$B$5,2)</f>
        <v>0.22450000000000001</v>
      </c>
      <c r="F313" s="98">
        <f t="shared" si="435"/>
        <v>40.199393076923073</v>
      </c>
      <c r="G313" s="124"/>
      <c r="H313" s="124"/>
      <c r="I313" s="124"/>
      <c r="J313" s="124"/>
      <c r="K313" s="124"/>
      <c r="L313" s="124"/>
      <c r="M313" s="124"/>
      <c r="N313" s="124">
        <v>810</v>
      </c>
      <c r="O313" s="124">
        <v>526</v>
      </c>
      <c r="P313" s="124"/>
      <c r="Q313" s="124"/>
      <c r="R313" s="124"/>
      <c r="S313" s="124"/>
      <c r="T313" s="124"/>
      <c r="U313" s="124"/>
      <c r="V313" s="124"/>
      <c r="W313" s="124"/>
      <c r="X313" s="124"/>
      <c r="Y313" s="124"/>
      <c r="Z313" s="124">
        <v>885</v>
      </c>
      <c r="AA313" s="98">
        <f t="shared" si="408"/>
        <v>2221</v>
      </c>
      <c r="AB313" s="124">
        <v>2080</v>
      </c>
      <c r="AC313" s="98">
        <f t="shared" si="436"/>
        <v>-141</v>
      </c>
      <c r="AD313" s="100">
        <f t="shared" si="437"/>
        <v>0</v>
      </c>
      <c r="AE313" s="100">
        <f t="shared" si="438"/>
        <v>0</v>
      </c>
      <c r="AF313" s="100">
        <f t="shared" si="439"/>
        <v>0</v>
      </c>
      <c r="AG313" s="100">
        <f t="shared" si="440"/>
        <v>0</v>
      </c>
      <c r="AH313" s="100">
        <f t="shared" si="441"/>
        <v>0</v>
      </c>
      <c r="AI313" s="100">
        <f t="shared" si="442"/>
        <v>0</v>
      </c>
      <c r="AJ313" s="100">
        <f t="shared" si="443"/>
        <v>0</v>
      </c>
      <c r="AK313" s="100">
        <f t="shared" si="444"/>
        <v>758.57721746960829</v>
      </c>
      <c r="AL313" s="100">
        <f t="shared" si="445"/>
        <v>492.60693381359749</v>
      </c>
      <c r="AM313" s="100">
        <f t="shared" si="446"/>
        <v>0</v>
      </c>
      <c r="AN313" s="100">
        <f t="shared" si="447"/>
        <v>0</v>
      </c>
      <c r="AO313" s="100">
        <f t="shared" si="448"/>
        <v>0</v>
      </c>
      <c r="AP313" s="100">
        <f t="shared" si="449"/>
        <v>0</v>
      </c>
      <c r="AQ313" s="100">
        <f t="shared" si="450"/>
        <v>0</v>
      </c>
      <c r="AR313" s="100">
        <f t="shared" si="451"/>
        <v>0</v>
      </c>
      <c r="AS313" s="100">
        <f t="shared" si="452"/>
        <v>0</v>
      </c>
      <c r="AT313" s="100">
        <f t="shared" si="453"/>
        <v>0</v>
      </c>
      <c r="AU313" s="100">
        <f t="shared" si="454"/>
        <v>0</v>
      </c>
      <c r="AV313" s="100">
        <f t="shared" si="455"/>
        <v>0</v>
      </c>
      <c r="AW313" s="100">
        <f t="shared" si="456"/>
        <v>828.81584871679422</v>
      </c>
      <c r="AX313">
        <f t="shared" si="457"/>
        <v>2080</v>
      </c>
      <c r="AY313" s="98">
        <f t="shared" si="458"/>
        <v>0</v>
      </c>
      <c r="AZ313" s="98">
        <f t="shared" si="459"/>
        <v>0</v>
      </c>
      <c r="BA313" s="98">
        <f t="shared" si="460"/>
        <v>0</v>
      </c>
      <c r="BB313" s="98">
        <f t="shared" si="461"/>
        <v>0</v>
      </c>
      <c r="BC313" s="98">
        <f t="shared" si="462"/>
        <v>0</v>
      </c>
      <c r="BD313" s="98">
        <f t="shared" si="463"/>
        <v>0</v>
      </c>
      <c r="BE313" s="98">
        <f t="shared" si="464"/>
        <v>0</v>
      </c>
      <c r="BF313" s="98">
        <f t="shared" si="465"/>
        <v>30494.343744259339</v>
      </c>
      <c r="BG313" s="98">
        <f t="shared" si="466"/>
        <v>19802.499764790635</v>
      </c>
      <c r="BH313" s="98">
        <f t="shared" si="467"/>
        <v>0</v>
      </c>
      <c r="BI313" s="98">
        <f t="shared" si="468"/>
        <v>0</v>
      </c>
      <c r="BJ313" s="98">
        <f t="shared" si="469"/>
        <v>0</v>
      </c>
      <c r="BK313" s="98">
        <f t="shared" si="470"/>
        <v>0</v>
      </c>
      <c r="BL313" s="98">
        <f t="shared" si="471"/>
        <v>0</v>
      </c>
      <c r="BM313" s="98">
        <f t="shared" si="472"/>
        <v>0</v>
      </c>
      <c r="BN313" s="98">
        <f t="shared" si="473"/>
        <v>0</v>
      </c>
      <c r="BO313" s="98">
        <f t="shared" si="474"/>
        <v>0</v>
      </c>
      <c r="BP313" s="98">
        <f t="shared" si="475"/>
        <v>0</v>
      </c>
      <c r="BQ313" s="98">
        <f t="shared" si="476"/>
        <v>0</v>
      </c>
      <c r="BR313" s="98">
        <f t="shared" si="477"/>
        <v>33317.894090950016</v>
      </c>
      <c r="BS313" s="124"/>
      <c r="BT313" s="124"/>
      <c r="BU313" s="124"/>
      <c r="BV313" s="124"/>
      <c r="BW313" s="124"/>
      <c r="BX313" s="124"/>
      <c r="BY313" s="124"/>
      <c r="BZ313" s="124"/>
      <c r="CA313" s="124"/>
      <c r="CB313" s="124"/>
      <c r="CC313" s="124"/>
      <c r="CD313" s="124"/>
      <c r="CE313" s="124"/>
      <c r="CF313" s="124"/>
      <c r="CG313" s="124"/>
      <c r="CH313" s="124"/>
      <c r="CI313" s="124"/>
      <c r="CJ313" s="124"/>
      <c r="CK313" s="124"/>
      <c r="CL313" s="124"/>
      <c r="CM313" s="124"/>
      <c r="CN313" s="124"/>
      <c r="CO313" s="124"/>
      <c r="CP313" s="124"/>
      <c r="CQ313" s="124"/>
      <c r="CR313" s="124"/>
      <c r="CS313" s="124"/>
      <c r="CT313" s="124"/>
      <c r="CU313" s="124"/>
      <c r="CV313" s="124"/>
      <c r="CW313" s="124"/>
      <c r="CX313" s="124"/>
      <c r="CY313" s="124"/>
      <c r="CZ313" s="124"/>
      <c r="DA313" s="124"/>
      <c r="DB313" s="124"/>
      <c r="DC313" s="124"/>
      <c r="DD313" s="124"/>
      <c r="DE313" s="124"/>
      <c r="DF313" s="124"/>
      <c r="DG313" s="124"/>
      <c r="DH313" s="124"/>
      <c r="DI313" s="124"/>
      <c r="DJ313" s="124"/>
      <c r="DK313" s="124"/>
      <c r="DL313" s="124"/>
      <c r="DM313" s="124"/>
      <c r="DN313" s="124"/>
      <c r="DO313" s="124"/>
      <c r="DP313" s="124"/>
      <c r="DQ313" s="124"/>
      <c r="DR313" s="124"/>
      <c r="DS313" s="124"/>
      <c r="DT313" s="124"/>
      <c r="DU313" s="124"/>
      <c r="DV313" s="124"/>
      <c r="DW313" s="124"/>
      <c r="DX313" s="124"/>
      <c r="DY313" s="124"/>
      <c r="DZ313" s="124"/>
      <c r="EA313" s="124"/>
      <c r="EB313" s="124"/>
      <c r="EC313" s="124"/>
      <c r="ED313" s="124"/>
      <c r="EE313" s="124"/>
      <c r="EF313" s="124"/>
      <c r="EG313" s="124"/>
      <c r="EH313" s="124"/>
      <c r="EI313" s="124"/>
      <c r="EJ313" s="124"/>
      <c r="EK313" s="124"/>
      <c r="EL313" s="124"/>
      <c r="EM313" s="124"/>
      <c r="EN313" s="124"/>
      <c r="EO313" s="124"/>
      <c r="EP313" s="124"/>
      <c r="EQ313" s="124"/>
      <c r="ER313" s="124"/>
      <c r="ES313" s="124"/>
      <c r="ET313" s="124"/>
      <c r="EU313" s="124"/>
      <c r="EV313" s="124"/>
      <c r="EW313" s="124"/>
      <c r="EX313" s="124"/>
      <c r="EY313" s="124"/>
      <c r="EZ313" s="124"/>
    </row>
    <row r="314" spans="1:156" x14ac:dyDescent="0.25">
      <c r="A314" t="s">
        <v>178</v>
      </c>
      <c r="B314" t="s">
        <v>17</v>
      </c>
      <c r="C314">
        <v>2025</v>
      </c>
      <c r="D314" s="98">
        <f>INDEX('Reference Sheet'!$G$9:$J$100, MATCH(A314,'Reference Sheet'!$F$9:$F$100,0), MATCH(C314,'Reference Sheet'!$G$8:$J$8,0))/2080</f>
        <v>1.4430528846153847</v>
      </c>
      <c r="E314" s="99">
        <f>VLOOKUP(C314,'Reference Sheet'!$A$2:$B$5,2)</f>
        <v>0.22450000000000001</v>
      </c>
      <c r="F314" s="98">
        <f t="shared" si="435"/>
        <v>1.7670182572115385</v>
      </c>
      <c r="G314" s="124"/>
      <c r="H314" s="124"/>
      <c r="I314" s="124"/>
      <c r="J314" s="124"/>
      <c r="K314" s="124"/>
      <c r="L314" s="124"/>
      <c r="M314" s="124"/>
      <c r="N314" s="124">
        <v>100</v>
      </c>
      <c r="O314" s="124"/>
      <c r="P314" s="124"/>
      <c r="Q314" s="124"/>
      <c r="R314" s="124"/>
      <c r="S314" s="124"/>
      <c r="T314" s="124"/>
      <c r="U314" s="124"/>
      <c r="V314" s="124"/>
      <c r="W314" s="124"/>
      <c r="X314" s="124"/>
      <c r="Y314" s="124"/>
      <c r="Z314" s="124"/>
      <c r="AA314" s="98">
        <f t="shared" si="408"/>
        <v>100</v>
      </c>
      <c r="AB314" s="124">
        <v>100</v>
      </c>
      <c r="AC314" s="98">
        <f t="shared" si="436"/>
        <v>0</v>
      </c>
      <c r="AD314" s="100">
        <f t="shared" si="437"/>
        <v>0</v>
      </c>
      <c r="AE314" s="100">
        <f t="shared" si="438"/>
        <v>0</v>
      </c>
      <c r="AF314" s="100">
        <f t="shared" si="439"/>
        <v>0</v>
      </c>
      <c r="AG314" s="100">
        <f t="shared" si="440"/>
        <v>0</v>
      </c>
      <c r="AH314" s="100">
        <f t="shared" si="441"/>
        <v>0</v>
      </c>
      <c r="AI314" s="100">
        <f t="shared" si="442"/>
        <v>0</v>
      </c>
      <c r="AJ314" s="100">
        <f t="shared" si="443"/>
        <v>0</v>
      </c>
      <c r="AK314" s="100">
        <f t="shared" si="444"/>
        <v>100</v>
      </c>
      <c r="AL314" s="100">
        <f t="shared" si="445"/>
        <v>0</v>
      </c>
      <c r="AM314" s="100">
        <f t="shared" si="446"/>
        <v>0</v>
      </c>
      <c r="AN314" s="100">
        <f t="shared" si="447"/>
        <v>0</v>
      </c>
      <c r="AO314" s="100">
        <f t="shared" si="448"/>
        <v>0</v>
      </c>
      <c r="AP314" s="100">
        <f t="shared" si="449"/>
        <v>0</v>
      </c>
      <c r="AQ314" s="100">
        <f t="shared" si="450"/>
        <v>0</v>
      </c>
      <c r="AR314" s="100">
        <f t="shared" si="451"/>
        <v>0</v>
      </c>
      <c r="AS314" s="100">
        <f t="shared" si="452"/>
        <v>0</v>
      </c>
      <c r="AT314" s="100">
        <f t="shared" si="453"/>
        <v>0</v>
      </c>
      <c r="AU314" s="100">
        <f t="shared" si="454"/>
        <v>0</v>
      </c>
      <c r="AV314" s="100">
        <f t="shared" si="455"/>
        <v>0</v>
      </c>
      <c r="AW314" s="100">
        <f t="shared" si="456"/>
        <v>0</v>
      </c>
      <c r="AX314">
        <f t="shared" si="457"/>
        <v>100</v>
      </c>
      <c r="AY314" s="98">
        <f t="shared" si="458"/>
        <v>0</v>
      </c>
      <c r="AZ314" s="98">
        <f t="shared" si="459"/>
        <v>0</v>
      </c>
      <c r="BA314" s="98">
        <f t="shared" si="460"/>
        <v>0</v>
      </c>
      <c r="BB314" s="98">
        <f t="shared" si="461"/>
        <v>0</v>
      </c>
      <c r="BC314" s="98">
        <f t="shared" si="462"/>
        <v>0</v>
      </c>
      <c r="BD314" s="98">
        <f t="shared" si="463"/>
        <v>0</v>
      </c>
      <c r="BE314" s="98">
        <f t="shared" si="464"/>
        <v>0</v>
      </c>
      <c r="BF314" s="98">
        <f t="shared" si="465"/>
        <v>176.70182572115385</v>
      </c>
      <c r="BG314" s="98">
        <f t="shared" si="466"/>
        <v>0</v>
      </c>
      <c r="BH314" s="98">
        <f t="shared" si="467"/>
        <v>0</v>
      </c>
      <c r="BI314" s="98">
        <f t="shared" si="468"/>
        <v>0</v>
      </c>
      <c r="BJ314" s="98">
        <f t="shared" si="469"/>
        <v>0</v>
      </c>
      <c r="BK314" s="98">
        <f t="shared" si="470"/>
        <v>0</v>
      </c>
      <c r="BL314" s="98">
        <f t="shared" si="471"/>
        <v>0</v>
      </c>
      <c r="BM314" s="98">
        <f t="shared" si="472"/>
        <v>0</v>
      </c>
      <c r="BN314" s="98">
        <f t="shared" si="473"/>
        <v>0</v>
      </c>
      <c r="BO314" s="98">
        <f t="shared" si="474"/>
        <v>0</v>
      </c>
      <c r="BP314" s="98">
        <f t="shared" si="475"/>
        <v>0</v>
      </c>
      <c r="BQ314" s="98">
        <f t="shared" si="476"/>
        <v>0</v>
      </c>
      <c r="BR314" s="98">
        <f t="shared" si="477"/>
        <v>0</v>
      </c>
      <c r="BS314" s="124"/>
      <c r="BT314" s="124"/>
      <c r="BU314" s="124"/>
      <c r="BV314" s="124"/>
      <c r="BW314" s="124"/>
      <c r="BX314" s="124"/>
      <c r="BY314" s="124"/>
      <c r="BZ314" s="124"/>
      <c r="CA314" s="124"/>
      <c r="CB314" s="124"/>
      <c r="CC314" s="124"/>
      <c r="CD314" s="124"/>
      <c r="CE314" s="124"/>
      <c r="CF314" s="124"/>
      <c r="CG314" s="124"/>
      <c r="CH314" s="124"/>
      <c r="CI314" s="124"/>
      <c r="CJ314" s="124"/>
      <c r="CK314" s="124"/>
      <c r="CL314" s="124"/>
      <c r="CM314" s="124"/>
      <c r="CN314" s="124"/>
      <c r="CO314" s="124"/>
      <c r="CP314" s="124"/>
      <c r="CQ314" s="124"/>
      <c r="CR314" s="124"/>
      <c r="CS314" s="124"/>
      <c r="CT314" s="124"/>
      <c r="CU314" s="124"/>
      <c r="CV314" s="124"/>
      <c r="CW314" s="124"/>
      <c r="CX314" s="124"/>
      <c r="CY314" s="124"/>
      <c r="CZ314" s="124"/>
      <c r="DA314" s="124"/>
      <c r="DB314" s="124"/>
      <c r="DC314" s="124"/>
      <c r="DD314" s="124"/>
      <c r="DE314" s="124"/>
      <c r="DF314" s="124"/>
      <c r="DG314" s="124"/>
      <c r="DH314" s="124"/>
      <c r="DI314" s="124"/>
      <c r="DJ314" s="124"/>
      <c r="DK314" s="124"/>
      <c r="DL314" s="124"/>
      <c r="DM314" s="124"/>
      <c r="DN314" s="124"/>
      <c r="DO314" s="124"/>
      <c r="DP314" s="124"/>
      <c r="DQ314" s="124"/>
      <c r="DR314" s="124"/>
      <c r="DS314" s="124"/>
      <c r="DT314" s="124"/>
      <c r="DU314" s="124"/>
      <c r="DV314" s="124"/>
      <c r="DW314" s="124"/>
      <c r="DX314" s="124"/>
      <c r="DY314" s="124"/>
      <c r="DZ314" s="124"/>
      <c r="EA314" s="124"/>
      <c r="EB314" s="124"/>
      <c r="EC314" s="124"/>
      <c r="ED314" s="124"/>
      <c r="EE314" s="124"/>
      <c r="EF314" s="124"/>
      <c r="EG314" s="124"/>
      <c r="EH314" s="124"/>
      <c r="EI314" s="124"/>
      <c r="EJ314" s="124"/>
      <c r="EK314" s="124"/>
      <c r="EL314" s="124"/>
      <c r="EM314" s="124"/>
      <c r="EN314" s="124"/>
      <c r="EO314" s="124"/>
      <c r="EP314" s="124"/>
      <c r="EQ314" s="124"/>
      <c r="ER314" s="124"/>
      <c r="ES314" s="124"/>
      <c r="ET314" s="124"/>
      <c r="EU314" s="124"/>
      <c r="EV314" s="124"/>
      <c r="EW314" s="124"/>
      <c r="EX314" s="124"/>
      <c r="EY314" s="124"/>
      <c r="EZ314" s="124"/>
    </row>
    <row r="315" spans="1:156" x14ac:dyDescent="0.25">
      <c r="A315" t="s">
        <v>179</v>
      </c>
      <c r="B315" t="s">
        <v>17</v>
      </c>
      <c r="C315">
        <v>2025</v>
      </c>
      <c r="D315" s="98">
        <f>INDEX('Reference Sheet'!$G$9:$J$100, MATCH(A315,'Reference Sheet'!$F$9:$F$100,0), MATCH(C315,'Reference Sheet'!$G$8:$J$8,0))/2080</f>
        <v>4.321596153846154</v>
      </c>
      <c r="E315" s="99">
        <f>VLOOKUP(C315,'Reference Sheet'!$A$2:$B$5,2)</f>
        <v>0.22450000000000001</v>
      </c>
      <c r="F315" s="98">
        <f t="shared" si="435"/>
        <v>5.291794490384615</v>
      </c>
      <c r="G315" s="124"/>
      <c r="H315" s="124"/>
      <c r="I315" s="124"/>
      <c r="J315" s="124"/>
      <c r="K315" s="124"/>
      <c r="L315" s="124"/>
      <c r="M315" s="124"/>
      <c r="N315" s="124">
        <v>100</v>
      </c>
      <c r="O315" s="124"/>
      <c r="P315" s="124"/>
      <c r="Q315" s="124"/>
      <c r="R315" s="124"/>
      <c r="S315" s="124"/>
      <c r="T315" s="124"/>
      <c r="U315" s="124"/>
      <c r="V315" s="124"/>
      <c r="W315" s="124"/>
      <c r="X315" s="124"/>
      <c r="Y315" s="124"/>
      <c r="Z315" s="124"/>
      <c r="AA315" s="98">
        <f t="shared" si="408"/>
        <v>100</v>
      </c>
      <c r="AB315" s="124">
        <v>100</v>
      </c>
      <c r="AC315" s="98">
        <f t="shared" si="436"/>
        <v>0</v>
      </c>
      <c r="AD315" s="100">
        <f t="shared" si="437"/>
        <v>0</v>
      </c>
      <c r="AE315" s="100">
        <f t="shared" si="438"/>
        <v>0</v>
      </c>
      <c r="AF315" s="100">
        <f t="shared" si="439"/>
        <v>0</v>
      </c>
      <c r="AG315" s="100">
        <f t="shared" si="440"/>
        <v>0</v>
      </c>
      <c r="AH315" s="100">
        <f t="shared" si="441"/>
        <v>0</v>
      </c>
      <c r="AI315" s="100">
        <f t="shared" si="442"/>
        <v>0</v>
      </c>
      <c r="AJ315" s="100">
        <f t="shared" si="443"/>
        <v>0</v>
      </c>
      <c r="AK315" s="100">
        <f t="shared" si="444"/>
        <v>100</v>
      </c>
      <c r="AL315" s="100">
        <f t="shared" si="445"/>
        <v>0</v>
      </c>
      <c r="AM315" s="100">
        <f t="shared" si="446"/>
        <v>0</v>
      </c>
      <c r="AN315" s="100">
        <f t="shared" si="447"/>
        <v>0</v>
      </c>
      <c r="AO315" s="100">
        <f t="shared" si="448"/>
        <v>0</v>
      </c>
      <c r="AP315" s="100">
        <f t="shared" si="449"/>
        <v>0</v>
      </c>
      <c r="AQ315" s="100">
        <f t="shared" si="450"/>
        <v>0</v>
      </c>
      <c r="AR315" s="100">
        <f t="shared" si="451"/>
        <v>0</v>
      </c>
      <c r="AS315" s="100">
        <f t="shared" si="452"/>
        <v>0</v>
      </c>
      <c r="AT315" s="100">
        <f t="shared" si="453"/>
        <v>0</v>
      </c>
      <c r="AU315" s="100">
        <f t="shared" si="454"/>
        <v>0</v>
      </c>
      <c r="AV315" s="100">
        <f t="shared" si="455"/>
        <v>0</v>
      </c>
      <c r="AW315" s="100">
        <f t="shared" si="456"/>
        <v>0</v>
      </c>
      <c r="AX315">
        <f t="shared" si="457"/>
        <v>100</v>
      </c>
      <c r="AY315" s="98">
        <f t="shared" si="458"/>
        <v>0</v>
      </c>
      <c r="AZ315" s="98">
        <f t="shared" si="459"/>
        <v>0</v>
      </c>
      <c r="BA315" s="98">
        <f t="shared" si="460"/>
        <v>0</v>
      </c>
      <c r="BB315" s="98">
        <f t="shared" si="461"/>
        <v>0</v>
      </c>
      <c r="BC315" s="98">
        <f t="shared" si="462"/>
        <v>0</v>
      </c>
      <c r="BD315" s="98">
        <f t="shared" si="463"/>
        <v>0</v>
      </c>
      <c r="BE315" s="98">
        <f t="shared" si="464"/>
        <v>0</v>
      </c>
      <c r="BF315" s="98">
        <f t="shared" si="465"/>
        <v>529.17944903846148</v>
      </c>
      <c r="BG315" s="98">
        <f t="shared" si="466"/>
        <v>0</v>
      </c>
      <c r="BH315" s="98">
        <f t="shared" si="467"/>
        <v>0</v>
      </c>
      <c r="BI315" s="98">
        <f t="shared" si="468"/>
        <v>0</v>
      </c>
      <c r="BJ315" s="98">
        <f t="shared" si="469"/>
        <v>0</v>
      </c>
      <c r="BK315" s="98">
        <f t="shared" si="470"/>
        <v>0</v>
      </c>
      <c r="BL315" s="98">
        <f t="shared" si="471"/>
        <v>0</v>
      </c>
      <c r="BM315" s="98">
        <f t="shared" si="472"/>
        <v>0</v>
      </c>
      <c r="BN315" s="98">
        <f t="shared" si="473"/>
        <v>0</v>
      </c>
      <c r="BO315" s="98">
        <f t="shared" si="474"/>
        <v>0</v>
      </c>
      <c r="BP315" s="98">
        <f t="shared" si="475"/>
        <v>0</v>
      </c>
      <c r="BQ315" s="98">
        <f t="shared" si="476"/>
        <v>0</v>
      </c>
      <c r="BR315" s="98">
        <f t="shared" si="477"/>
        <v>0</v>
      </c>
      <c r="BS315" s="124"/>
      <c r="BT315" s="124"/>
      <c r="BU315" s="124"/>
      <c r="BV315" s="124"/>
      <c r="BW315" s="124"/>
      <c r="BX315" s="124"/>
      <c r="BY315" s="124"/>
      <c r="BZ315" s="124"/>
      <c r="CA315" s="124"/>
      <c r="CB315" s="124"/>
      <c r="CC315" s="124"/>
      <c r="CD315" s="124"/>
      <c r="CE315" s="124"/>
      <c r="CF315" s="124"/>
      <c r="CG315" s="124"/>
      <c r="CH315" s="124"/>
      <c r="CI315" s="124"/>
      <c r="CJ315" s="124"/>
      <c r="CK315" s="124"/>
      <c r="CL315" s="124"/>
      <c r="CM315" s="124"/>
      <c r="CN315" s="124"/>
      <c r="CO315" s="124"/>
      <c r="CP315" s="124"/>
      <c r="CQ315" s="124"/>
      <c r="CR315" s="124"/>
      <c r="CS315" s="124"/>
      <c r="CT315" s="124"/>
      <c r="CU315" s="124"/>
      <c r="CV315" s="124"/>
      <c r="CW315" s="124"/>
      <c r="CX315" s="124"/>
      <c r="CY315" s="124"/>
      <c r="CZ315" s="124"/>
      <c r="DA315" s="124"/>
      <c r="DB315" s="124"/>
      <c r="DC315" s="124"/>
      <c r="DD315" s="124"/>
      <c r="DE315" s="124"/>
      <c r="DF315" s="124"/>
      <c r="DG315" s="124"/>
      <c r="DH315" s="124"/>
      <c r="DI315" s="124"/>
      <c r="DJ315" s="124"/>
      <c r="DK315" s="124"/>
      <c r="DL315" s="124"/>
      <c r="DM315" s="124"/>
      <c r="DN315" s="124"/>
      <c r="DO315" s="124"/>
      <c r="DP315" s="124"/>
      <c r="DQ315" s="124"/>
      <c r="DR315" s="124"/>
      <c r="DS315" s="124"/>
      <c r="DT315" s="124"/>
      <c r="DU315" s="124"/>
      <c r="DV315" s="124"/>
      <c r="DW315" s="124"/>
      <c r="DX315" s="124"/>
      <c r="DY315" s="124"/>
      <c r="DZ315" s="124"/>
      <c r="EA315" s="124"/>
      <c r="EB315" s="124"/>
      <c r="EC315" s="124"/>
      <c r="ED315" s="124"/>
      <c r="EE315" s="124"/>
      <c r="EF315" s="124"/>
      <c r="EG315" s="124"/>
      <c r="EH315" s="124"/>
      <c r="EI315" s="124"/>
      <c r="EJ315" s="124"/>
      <c r="EK315" s="124"/>
      <c r="EL315" s="124"/>
      <c r="EM315" s="124"/>
      <c r="EN315" s="124"/>
      <c r="EO315" s="124"/>
      <c r="EP315" s="124"/>
      <c r="EQ315" s="124"/>
      <c r="ER315" s="124"/>
      <c r="ES315" s="124"/>
      <c r="ET315" s="124"/>
      <c r="EU315" s="124"/>
      <c r="EV315" s="124"/>
      <c r="EW315" s="124"/>
      <c r="EX315" s="124"/>
      <c r="EY315" s="124"/>
      <c r="EZ315" s="124"/>
    </row>
    <row r="316" spans="1:156" x14ac:dyDescent="0.25">
      <c r="A316" t="s">
        <v>180</v>
      </c>
      <c r="B316" t="s">
        <v>17</v>
      </c>
      <c r="C316">
        <v>2025</v>
      </c>
      <c r="D316" s="98">
        <f>INDEX('Reference Sheet'!$G$9:$J$100, MATCH(A316,'Reference Sheet'!$F$9:$F$100,0), MATCH(C316,'Reference Sheet'!$G$8:$J$8,0))/2080</f>
        <v>11.316557692307692</v>
      </c>
      <c r="E316" s="99">
        <f>VLOOKUP(C316,'Reference Sheet'!$A$2:$B$5,2)</f>
        <v>0.22450000000000001</v>
      </c>
      <c r="F316" s="98">
        <f t="shared" si="435"/>
        <v>13.857124894230768</v>
      </c>
      <c r="G316" s="124"/>
      <c r="H316" s="124"/>
      <c r="I316" s="124"/>
      <c r="J316" s="124"/>
      <c r="K316" s="124"/>
      <c r="L316" s="124"/>
      <c r="M316" s="124"/>
      <c r="N316" s="124">
        <v>93.42</v>
      </c>
      <c r="O316" s="124"/>
      <c r="P316" s="124"/>
      <c r="Q316" s="124"/>
      <c r="R316" s="124"/>
      <c r="S316" s="124"/>
      <c r="T316" s="124">
        <v>0.85</v>
      </c>
      <c r="U316" s="124"/>
      <c r="V316" s="124"/>
      <c r="W316" s="124"/>
      <c r="X316" s="124"/>
      <c r="Y316" s="124"/>
      <c r="Z316" s="124">
        <v>5.73</v>
      </c>
      <c r="AA316" s="98">
        <f t="shared" si="408"/>
        <v>100</v>
      </c>
      <c r="AB316" s="124">
        <v>100</v>
      </c>
      <c r="AC316" s="98">
        <f t="shared" si="436"/>
        <v>0</v>
      </c>
      <c r="AD316" s="100">
        <f t="shared" si="437"/>
        <v>0</v>
      </c>
      <c r="AE316" s="100">
        <f t="shared" si="438"/>
        <v>0</v>
      </c>
      <c r="AF316" s="100">
        <f t="shared" si="439"/>
        <v>0</v>
      </c>
      <c r="AG316" s="100">
        <f t="shared" si="440"/>
        <v>0</v>
      </c>
      <c r="AH316" s="100">
        <f t="shared" si="441"/>
        <v>0</v>
      </c>
      <c r="AI316" s="100">
        <f t="shared" si="442"/>
        <v>0</v>
      </c>
      <c r="AJ316" s="100">
        <f t="shared" si="443"/>
        <v>0</v>
      </c>
      <c r="AK316" s="100">
        <f t="shared" si="444"/>
        <v>93.42</v>
      </c>
      <c r="AL316" s="100">
        <f t="shared" si="445"/>
        <v>0</v>
      </c>
      <c r="AM316" s="100">
        <f t="shared" si="446"/>
        <v>0</v>
      </c>
      <c r="AN316" s="100">
        <f t="shared" si="447"/>
        <v>0</v>
      </c>
      <c r="AO316" s="100">
        <f t="shared" si="448"/>
        <v>0</v>
      </c>
      <c r="AP316" s="100">
        <f t="shared" si="449"/>
        <v>0</v>
      </c>
      <c r="AQ316" s="100">
        <f t="shared" si="450"/>
        <v>0.85000000000000009</v>
      </c>
      <c r="AR316" s="100">
        <f t="shared" si="451"/>
        <v>0</v>
      </c>
      <c r="AS316" s="100">
        <f t="shared" si="452"/>
        <v>0</v>
      </c>
      <c r="AT316" s="100">
        <f t="shared" si="453"/>
        <v>0</v>
      </c>
      <c r="AU316" s="100">
        <f t="shared" si="454"/>
        <v>0</v>
      </c>
      <c r="AV316" s="100">
        <f t="shared" si="455"/>
        <v>0</v>
      </c>
      <c r="AW316" s="100">
        <f t="shared" si="456"/>
        <v>5.73</v>
      </c>
      <c r="AX316">
        <f t="shared" si="457"/>
        <v>100</v>
      </c>
      <c r="AY316" s="98">
        <f t="shared" si="458"/>
        <v>0</v>
      </c>
      <c r="AZ316" s="98">
        <f t="shared" si="459"/>
        <v>0</v>
      </c>
      <c r="BA316" s="98">
        <f t="shared" si="460"/>
        <v>0</v>
      </c>
      <c r="BB316" s="98">
        <f t="shared" si="461"/>
        <v>0</v>
      </c>
      <c r="BC316" s="98">
        <f t="shared" si="462"/>
        <v>0</v>
      </c>
      <c r="BD316" s="98">
        <f t="shared" si="463"/>
        <v>0</v>
      </c>
      <c r="BE316" s="98">
        <f t="shared" si="464"/>
        <v>0</v>
      </c>
      <c r="BF316" s="98">
        <f t="shared" si="465"/>
        <v>1294.5326076190383</v>
      </c>
      <c r="BG316" s="98">
        <f t="shared" si="466"/>
        <v>0</v>
      </c>
      <c r="BH316" s="98">
        <f t="shared" si="467"/>
        <v>0</v>
      </c>
      <c r="BI316" s="98">
        <f t="shared" si="468"/>
        <v>0</v>
      </c>
      <c r="BJ316" s="98">
        <f t="shared" si="469"/>
        <v>0</v>
      </c>
      <c r="BK316" s="98">
        <f t="shared" si="470"/>
        <v>0</v>
      </c>
      <c r="BL316" s="98">
        <f t="shared" si="471"/>
        <v>11.778556160096155</v>
      </c>
      <c r="BM316" s="98">
        <f t="shared" si="472"/>
        <v>0</v>
      </c>
      <c r="BN316" s="98">
        <f t="shared" si="473"/>
        <v>0</v>
      </c>
      <c r="BO316" s="98">
        <f t="shared" si="474"/>
        <v>0</v>
      </c>
      <c r="BP316" s="98">
        <f t="shared" si="475"/>
        <v>0</v>
      </c>
      <c r="BQ316" s="98">
        <f t="shared" si="476"/>
        <v>0</v>
      </c>
      <c r="BR316" s="98">
        <f t="shared" si="477"/>
        <v>79.401325643942315</v>
      </c>
      <c r="BS316" s="124"/>
      <c r="BT316" s="124"/>
      <c r="BU316" s="124"/>
      <c r="BV316" s="124"/>
      <c r="BW316" s="124"/>
      <c r="BX316" s="124"/>
      <c r="BY316" s="124"/>
      <c r="BZ316" s="124"/>
      <c r="CA316" s="124"/>
      <c r="CB316" s="124"/>
      <c r="CC316" s="124"/>
      <c r="CD316" s="124"/>
      <c r="CE316" s="124"/>
      <c r="CF316" s="124"/>
      <c r="CG316" s="124"/>
      <c r="CH316" s="124"/>
      <c r="CI316" s="124"/>
      <c r="CJ316" s="124"/>
      <c r="CK316" s="124"/>
      <c r="CL316" s="124"/>
      <c r="CM316" s="124"/>
      <c r="CN316" s="124"/>
      <c r="CO316" s="124"/>
      <c r="CP316" s="124"/>
      <c r="CQ316" s="124"/>
      <c r="CR316" s="124"/>
      <c r="CS316" s="124"/>
      <c r="CT316" s="124"/>
      <c r="CU316" s="124"/>
      <c r="CV316" s="124"/>
      <c r="CW316" s="124"/>
      <c r="CX316" s="124"/>
      <c r="CY316" s="124"/>
      <c r="CZ316" s="124"/>
      <c r="DA316" s="124"/>
      <c r="DB316" s="124"/>
      <c r="DC316" s="124"/>
      <c r="DD316" s="124"/>
      <c r="DE316" s="124"/>
      <c r="DF316" s="124"/>
      <c r="DG316" s="124"/>
      <c r="DH316" s="124"/>
      <c r="DI316" s="124"/>
      <c r="DJ316" s="124"/>
      <c r="DK316" s="124"/>
      <c r="DL316" s="124"/>
      <c r="DM316" s="124"/>
      <c r="DN316" s="124"/>
      <c r="DO316" s="124"/>
      <c r="DP316" s="124"/>
      <c r="DQ316" s="124"/>
      <c r="DR316" s="124"/>
      <c r="DS316" s="124"/>
      <c r="DT316" s="124"/>
      <c r="DU316" s="124"/>
      <c r="DV316" s="124"/>
      <c r="DW316" s="124"/>
      <c r="DX316" s="124"/>
      <c r="DY316" s="124"/>
      <c r="DZ316" s="124"/>
      <c r="EA316" s="124"/>
      <c r="EB316" s="124"/>
      <c r="EC316" s="124"/>
      <c r="ED316" s="124"/>
      <c r="EE316" s="124"/>
      <c r="EF316" s="124"/>
      <c r="EG316" s="124"/>
      <c r="EH316" s="124"/>
      <c r="EI316" s="124"/>
      <c r="EJ316" s="124"/>
      <c r="EK316" s="124"/>
      <c r="EL316" s="124"/>
      <c r="EM316" s="124"/>
      <c r="EN316" s="124"/>
      <c r="EO316" s="124"/>
      <c r="EP316" s="124"/>
      <c r="EQ316" s="124"/>
      <c r="ER316" s="124"/>
      <c r="ES316" s="124"/>
      <c r="ET316" s="124"/>
      <c r="EU316" s="124"/>
      <c r="EV316" s="124"/>
      <c r="EW316" s="124"/>
      <c r="EX316" s="124"/>
      <c r="EY316" s="124"/>
      <c r="EZ316" s="124"/>
    </row>
    <row r="317" spans="1:156" x14ac:dyDescent="0.25">
      <c r="A317" t="s">
        <v>181</v>
      </c>
      <c r="B317" t="s">
        <v>17</v>
      </c>
      <c r="C317">
        <v>2025</v>
      </c>
      <c r="D317" s="98">
        <f>INDEX('Reference Sheet'!$G$9:$J$100, MATCH(A317,'Reference Sheet'!$F$9:$F$100,0), MATCH(C317,'Reference Sheet'!$G$8:$J$8,0))/2080</f>
        <v>8.9245961538461529</v>
      </c>
      <c r="E317" s="99">
        <f>VLOOKUP(C317,'Reference Sheet'!$A$2:$B$5,2)</f>
        <v>0.22450000000000001</v>
      </c>
      <c r="F317" s="98">
        <f t="shared" si="435"/>
        <v>10.928167990384614</v>
      </c>
      <c r="G317" s="124"/>
      <c r="H317" s="124"/>
      <c r="I317" s="124"/>
      <c r="J317" s="124"/>
      <c r="K317" s="124"/>
      <c r="L317" s="124"/>
      <c r="M317" s="124"/>
      <c r="N317" s="124">
        <v>100</v>
      </c>
      <c r="O317" s="124"/>
      <c r="P317" s="124"/>
      <c r="Q317" s="124"/>
      <c r="R317" s="124"/>
      <c r="S317" s="124"/>
      <c r="T317" s="124"/>
      <c r="U317" s="124"/>
      <c r="V317" s="124"/>
      <c r="W317" s="124"/>
      <c r="X317" s="124"/>
      <c r="Y317" s="124"/>
      <c r="Z317" s="124"/>
      <c r="AA317" s="98">
        <f t="shared" si="408"/>
        <v>100</v>
      </c>
      <c r="AB317" s="124">
        <v>100</v>
      </c>
      <c r="AC317" s="98">
        <f t="shared" si="436"/>
        <v>0</v>
      </c>
      <c r="AD317" s="100">
        <f t="shared" si="437"/>
        <v>0</v>
      </c>
      <c r="AE317" s="100">
        <f t="shared" si="438"/>
        <v>0</v>
      </c>
      <c r="AF317" s="100">
        <f t="shared" si="439"/>
        <v>0</v>
      </c>
      <c r="AG317" s="100">
        <f t="shared" si="440"/>
        <v>0</v>
      </c>
      <c r="AH317" s="100">
        <f t="shared" si="441"/>
        <v>0</v>
      </c>
      <c r="AI317" s="100">
        <f t="shared" si="442"/>
        <v>0</v>
      </c>
      <c r="AJ317" s="100">
        <f t="shared" si="443"/>
        <v>0</v>
      </c>
      <c r="AK317" s="100">
        <f t="shared" si="444"/>
        <v>100</v>
      </c>
      <c r="AL317" s="100">
        <f t="shared" si="445"/>
        <v>0</v>
      </c>
      <c r="AM317" s="100">
        <f t="shared" si="446"/>
        <v>0</v>
      </c>
      <c r="AN317" s="100">
        <f t="shared" si="447"/>
        <v>0</v>
      </c>
      <c r="AO317" s="100">
        <f t="shared" si="448"/>
        <v>0</v>
      </c>
      <c r="AP317" s="100">
        <f t="shared" si="449"/>
        <v>0</v>
      </c>
      <c r="AQ317" s="100">
        <f t="shared" si="450"/>
        <v>0</v>
      </c>
      <c r="AR317" s="100">
        <f t="shared" si="451"/>
        <v>0</v>
      </c>
      <c r="AS317" s="100">
        <f t="shared" si="452"/>
        <v>0</v>
      </c>
      <c r="AT317" s="100">
        <f t="shared" si="453"/>
        <v>0</v>
      </c>
      <c r="AU317" s="100">
        <f t="shared" si="454"/>
        <v>0</v>
      </c>
      <c r="AV317" s="100">
        <f t="shared" si="455"/>
        <v>0</v>
      </c>
      <c r="AW317" s="100">
        <f t="shared" si="456"/>
        <v>0</v>
      </c>
      <c r="AX317">
        <f t="shared" si="457"/>
        <v>100</v>
      </c>
      <c r="AY317" s="98">
        <f t="shared" si="458"/>
        <v>0</v>
      </c>
      <c r="AZ317" s="98">
        <f t="shared" si="459"/>
        <v>0</v>
      </c>
      <c r="BA317" s="98">
        <f t="shared" si="460"/>
        <v>0</v>
      </c>
      <c r="BB317" s="98">
        <f t="shared" si="461"/>
        <v>0</v>
      </c>
      <c r="BC317" s="98">
        <f t="shared" si="462"/>
        <v>0</v>
      </c>
      <c r="BD317" s="98">
        <f t="shared" si="463"/>
        <v>0</v>
      </c>
      <c r="BE317" s="98">
        <f t="shared" si="464"/>
        <v>0</v>
      </c>
      <c r="BF317" s="98">
        <f t="shared" si="465"/>
        <v>1092.8167990384613</v>
      </c>
      <c r="BG317" s="98">
        <f t="shared" si="466"/>
        <v>0</v>
      </c>
      <c r="BH317" s="98">
        <f t="shared" si="467"/>
        <v>0</v>
      </c>
      <c r="BI317" s="98">
        <f t="shared" si="468"/>
        <v>0</v>
      </c>
      <c r="BJ317" s="98">
        <f t="shared" si="469"/>
        <v>0</v>
      </c>
      <c r="BK317" s="98">
        <f t="shared" si="470"/>
        <v>0</v>
      </c>
      <c r="BL317" s="98">
        <f t="shared" si="471"/>
        <v>0</v>
      </c>
      <c r="BM317" s="98">
        <f t="shared" si="472"/>
        <v>0</v>
      </c>
      <c r="BN317" s="98">
        <f t="shared" si="473"/>
        <v>0</v>
      </c>
      <c r="BO317" s="98">
        <f t="shared" si="474"/>
        <v>0</v>
      </c>
      <c r="BP317" s="98">
        <f t="shared" si="475"/>
        <v>0</v>
      </c>
      <c r="BQ317" s="98">
        <f t="shared" si="476"/>
        <v>0</v>
      </c>
      <c r="BR317" s="98">
        <f t="shared" si="477"/>
        <v>0</v>
      </c>
      <c r="BS317" s="124"/>
      <c r="BT317" s="124"/>
      <c r="BU317" s="124"/>
      <c r="BV317" s="124"/>
      <c r="BW317" s="124"/>
      <c r="BX317" s="124"/>
      <c r="BY317" s="124"/>
      <c r="BZ317" s="124"/>
      <c r="CA317" s="124"/>
      <c r="CB317" s="124"/>
      <c r="CC317" s="124"/>
      <c r="CD317" s="124"/>
      <c r="CE317" s="124"/>
      <c r="CF317" s="124"/>
      <c r="CG317" s="124"/>
      <c r="CH317" s="124"/>
      <c r="CI317" s="124"/>
      <c r="CJ317" s="124"/>
      <c r="CK317" s="124"/>
      <c r="CL317" s="124"/>
      <c r="CM317" s="124"/>
      <c r="CN317" s="124"/>
      <c r="CO317" s="124"/>
      <c r="CP317" s="124"/>
      <c r="CQ317" s="124"/>
      <c r="CR317" s="124"/>
      <c r="CS317" s="124"/>
      <c r="CT317" s="124"/>
      <c r="CU317" s="124"/>
      <c r="CV317" s="124"/>
      <c r="CW317" s="124"/>
      <c r="CX317" s="124"/>
      <c r="CY317" s="124"/>
      <c r="CZ317" s="124"/>
      <c r="DA317" s="124"/>
      <c r="DB317" s="124"/>
      <c r="DC317" s="124"/>
      <c r="DD317" s="124"/>
      <c r="DE317" s="124"/>
      <c r="DF317" s="124"/>
      <c r="DG317" s="124"/>
      <c r="DH317" s="124"/>
      <c r="DI317" s="124"/>
      <c r="DJ317" s="124"/>
      <c r="DK317" s="124"/>
      <c r="DL317" s="124"/>
      <c r="DM317" s="124"/>
      <c r="DN317" s="124"/>
      <c r="DO317" s="124"/>
      <c r="DP317" s="124"/>
      <c r="DQ317" s="124"/>
      <c r="DR317" s="124"/>
      <c r="DS317" s="124"/>
      <c r="DT317" s="124"/>
      <c r="DU317" s="124"/>
      <c r="DV317" s="124"/>
      <c r="DW317" s="124"/>
      <c r="DX317" s="124"/>
      <c r="DY317" s="124"/>
      <c r="DZ317" s="124"/>
      <c r="EA317" s="124"/>
      <c r="EB317" s="124"/>
      <c r="EC317" s="124"/>
      <c r="ED317" s="124"/>
      <c r="EE317" s="124"/>
      <c r="EF317" s="124"/>
      <c r="EG317" s="124"/>
      <c r="EH317" s="124"/>
      <c r="EI317" s="124"/>
      <c r="EJ317" s="124"/>
      <c r="EK317" s="124"/>
      <c r="EL317" s="124"/>
      <c r="EM317" s="124"/>
      <c r="EN317" s="124"/>
      <c r="EO317" s="124"/>
      <c r="EP317" s="124"/>
      <c r="EQ317" s="124"/>
      <c r="ER317" s="124"/>
      <c r="ES317" s="124"/>
      <c r="ET317" s="124"/>
      <c r="EU317" s="124"/>
      <c r="EV317" s="124"/>
      <c r="EW317" s="124"/>
      <c r="EX317" s="124"/>
      <c r="EY317" s="124"/>
      <c r="EZ317" s="124"/>
    </row>
    <row r="318" spans="1:156" x14ac:dyDescent="0.25">
      <c r="A318" t="s">
        <v>182</v>
      </c>
      <c r="B318" t="s">
        <v>17</v>
      </c>
      <c r="C318">
        <v>2025</v>
      </c>
      <c r="D318" s="98">
        <f>INDEX('Reference Sheet'!$G$9:$J$100, MATCH(A318,'Reference Sheet'!$F$9:$F$100,0), MATCH(C318,'Reference Sheet'!$G$8:$J$8,0))/2080</f>
        <v>54.070875000000001</v>
      </c>
      <c r="E318" s="99">
        <f>VLOOKUP(C318,'Reference Sheet'!$A$2:$B$5,2)</f>
        <v>0.22450000000000001</v>
      </c>
      <c r="F318" s="98">
        <f t="shared" si="435"/>
        <v>66.2097864375</v>
      </c>
      <c r="G318" s="124"/>
      <c r="H318" s="124">
        <v>6</v>
      </c>
      <c r="I318" s="124"/>
      <c r="J318" s="124"/>
      <c r="K318" s="124"/>
      <c r="L318" s="124"/>
      <c r="M318" s="124"/>
      <c r="N318" s="124">
        <v>494.5</v>
      </c>
      <c r="O318" s="124"/>
      <c r="P318" s="124">
        <v>605</v>
      </c>
      <c r="Q318" s="124"/>
      <c r="R318" s="124"/>
      <c r="S318" s="124"/>
      <c r="T318" s="124">
        <v>26</v>
      </c>
      <c r="U318" s="124"/>
      <c r="V318" s="124"/>
      <c r="W318" s="124"/>
      <c r="X318" s="124"/>
      <c r="Y318" s="124"/>
      <c r="Z318" s="124">
        <v>1005.5</v>
      </c>
      <c r="AA318" s="98">
        <f>SUM(G318:Z318)</f>
        <v>2137</v>
      </c>
      <c r="AB318" s="124">
        <v>2080</v>
      </c>
      <c r="AC318" s="98">
        <f t="shared" si="436"/>
        <v>-57</v>
      </c>
      <c r="AD318" s="100">
        <f t="shared" si="437"/>
        <v>0</v>
      </c>
      <c r="AE318" s="100">
        <f t="shared" si="438"/>
        <v>5.8399625643425361</v>
      </c>
      <c r="AF318" s="100">
        <f t="shared" si="439"/>
        <v>0</v>
      </c>
      <c r="AG318" s="100">
        <f t="shared" si="440"/>
        <v>0</v>
      </c>
      <c r="AH318" s="100">
        <f t="shared" si="441"/>
        <v>0</v>
      </c>
      <c r="AI318" s="100">
        <f t="shared" si="442"/>
        <v>0</v>
      </c>
      <c r="AJ318" s="100">
        <f t="shared" si="443"/>
        <v>0</v>
      </c>
      <c r="AK318" s="100">
        <f t="shared" si="444"/>
        <v>481.31024801123067</v>
      </c>
      <c r="AL318" s="100">
        <f t="shared" si="445"/>
        <v>0</v>
      </c>
      <c r="AM318" s="100">
        <f t="shared" si="446"/>
        <v>588.86289190453908</v>
      </c>
      <c r="AN318" s="100">
        <f t="shared" si="447"/>
        <v>0</v>
      </c>
      <c r="AO318" s="100">
        <f t="shared" si="448"/>
        <v>0</v>
      </c>
      <c r="AP318" s="100">
        <f t="shared" si="449"/>
        <v>0</v>
      </c>
      <c r="AQ318" s="100">
        <f t="shared" si="450"/>
        <v>25.306504445484325</v>
      </c>
      <c r="AR318" s="100">
        <f t="shared" si="451"/>
        <v>0</v>
      </c>
      <c r="AS318" s="100">
        <f t="shared" si="452"/>
        <v>0</v>
      </c>
      <c r="AT318" s="100">
        <f t="shared" si="453"/>
        <v>0</v>
      </c>
      <c r="AU318" s="100">
        <f t="shared" si="454"/>
        <v>0</v>
      </c>
      <c r="AV318" s="100">
        <f t="shared" si="455"/>
        <v>0</v>
      </c>
      <c r="AW318" s="100">
        <f t="shared" si="456"/>
        <v>978.68039307440336</v>
      </c>
      <c r="AX318">
        <f t="shared" si="457"/>
        <v>2074.1600374356576</v>
      </c>
      <c r="AY318" s="98">
        <f t="shared" si="458"/>
        <v>0</v>
      </c>
      <c r="AZ318" s="98">
        <f t="shared" si="459"/>
        <v>386.66267418811418</v>
      </c>
      <c r="BA318" s="98">
        <f t="shared" si="460"/>
        <v>0</v>
      </c>
      <c r="BB318" s="98">
        <f t="shared" si="461"/>
        <v>0</v>
      </c>
      <c r="BC318" s="98">
        <f t="shared" si="462"/>
        <v>0</v>
      </c>
      <c r="BD318" s="98">
        <f t="shared" si="463"/>
        <v>0</v>
      </c>
      <c r="BE318" s="98">
        <f t="shared" si="464"/>
        <v>0</v>
      </c>
      <c r="BF318" s="98">
        <f t="shared" si="465"/>
        <v>31867.44873100374</v>
      </c>
      <c r="BG318" s="98">
        <f t="shared" si="466"/>
        <v>0</v>
      </c>
      <c r="BH318" s="98">
        <f t="shared" si="467"/>
        <v>38988.486313968184</v>
      </c>
      <c r="BI318" s="98">
        <f t="shared" si="468"/>
        <v>0</v>
      </c>
      <c r="BJ318" s="98">
        <f t="shared" si="469"/>
        <v>0</v>
      </c>
      <c r="BK318" s="98">
        <f t="shared" si="470"/>
        <v>0</v>
      </c>
      <c r="BL318" s="98">
        <f t="shared" si="471"/>
        <v>1675.5382548151615</v>
      </c>
      <c r="BM318" s="98">
        <f t="shared" si="472"/>
        <v>0</v>
      </c>
      <c r="BN318" s="98">
        <f t="shared" si="473"/>
        <v>0</v>
      </c>
      <c r="BO318" s="98">
        <f t="shared" si="474"/>
        <v>0</v>
      </c>
      <c r="BP318" s="98">
        <f t="shared" si="475"/>
        <v>0</v>
      </c>
      <c r="BQ318" s="98">
        <f t="shared" si="476"/>
        <v>0</v>
      </c>
      <c r="BR318" s="98">
        <f t="shared" si="477"/>
        <v>64798.219816024801</v>
      </c>
      <c r="BS318" s="124"/>
      <c r="BT318" s="124"/>
      <c r="BU318" s="124"/>
      <c r="BV318" s="124"/>
      <c r="BW318" s="124"/>
      <c r="BX318" s="124"/>
      <c r="BY318" s="124"/>
      <c r="BZ318" s="124"/>
      <c r="CA318" s="124"/>
      <c r="CB318" s="124"/>
      <c r="CC318" s="124"/>
      <c r="CD318" s="124"/>
      <c r="CE318" s="124"/>
      <c r="CF318" s="124"/>
      <c r="CG318" s="124"/>
      <c r="CH318" s="124"/>
      <c r="CI318" s="124"/>
      <c r="CJ318" s="124"/>
      <c r="CK318" s="124"/>
      <c r="CL318" s="124"/>
      <c r="CM318" s="124"/>
      <c r="CN318" s="124"/>
      <c r="CO318" s="124"/>
      <c r="CP318" s="124"/>
      <c r="CQ318" s="124"/>
      <c r="CR318" s="124"/>
      <c r="CS318" s="124"/>
      <c r="CT318" s="124"/>
      <c r="CU318" s="124"/>
      <c r="CV318" s="124"/>
      <c r="CW318" s="124"/>
      <c r="CX318" s="124"/>
      <c r="CY318" s="124"/>
      <c r="CZ318" s="124"/>
      <c r="DA318" s="124"/>
      <c r="DB318" s="124"/>
      <c r="DC318" s="124"/>
      <c r="DD318" s="124"/>
      <c r="DE318" s="124"/>
      <c r="DF318" s="124"/>
      <c r="DG318" s="124"/>
      <c r="DH318" s="124"/>
      <c r="DI318" s="124"/>
      <c r="DJ318" s="124"/>
      <c r="DK318" s="124"/>
      <c r="DL318" s="124"/>
      <c r="DM318" s="124"/>
      <c r="DN318" s="124"/>
      <c r="DO318" s="124"/>
      <c r="DP318" s="124"/>
      <c r="DQ318" s="124"/>
      <c r="DR318" s="124"/>
      <c r="DS318" s="124"/>
      <c r="DT318" s="124"/>
      <c r="DU318" s="124"/>
      <c r="DV318" s="124"/>
      <c r="DW318" s="124"/>
      <c r="DX318" s="124"/>
      <c r="DY318" s="124"/>
      <c r="DZ318" s="124"/>
      <c r="EA318" s="124"/>
      <c r="EB318" s="124"/>
      <c r="EC318" s="124"/>
      <c r="ED318" s="124"/>
      <c r="EE318" s="124"/>
      <c r="EF318" s="124"/>
      <c r="EG318" s="124"/>
      <c r="EH318" s="124"/>
      <c r="EI318" s="124"/>
      <c r="EJ318" s="124"/>
      <c r="EK318" s="124"/>
      <c r="EL318" s="124"/>
      <c r="EM318" s="124"/>
      <c r="EN318" s="124"/>
      <c r="EO318" s="124"/>
      <c r="EP318" s="124"/>
      <c r="EQ318" s="124"/>
      <c r="ER318" s="124"/>
      <c r="ES318" s="124"/>
      <c r="ET318" s="124"/>
      <c r="EU318" s="124"/>
      <c r="EV318" s="124"/>
      <c r="EW318" s="124"/>
      <c r="EX318" s="124"/>
      <c r="EY318" s="124"/>
      <c r="EZ318" s="124"/>
    </row>
    <row r="319" spans="1:156" x14ac:dyDescent="0.25">
      <c r="A319" t="s">
        <v>183</v>
      </c>
      <c r="B319" t="s">
        <v>17</v>
      </c>
      <c r="C319">
        <v>2025</v>
      </c>
      <c r="D319" s="98">
        <f>INDEX('Reference Sheet'!$G$9:$J$100, MATCH(A319,'Reference Sheet'!$F$9:$F$100,0), MATCH(C319,'Reference Sheet'!$G$8:$J$8,0))/2080</f>
        <v>19.803975961538459</v>
      </c>
      <c r="E319" s="99">
        <f>VLOOKUP(C319,'Reference Sheet'!$A$2:$B$5,2)</f>
        <v>0.22450000000000001</v>
      </c>
      <c r="F319" s="98">
        <f t="shared" si="435"/>
        <v>24.249968564903842</v>
      </c>
      <c r="G319" s="124"/>
      <c r="H319" s="124"/>
      <c r="I319" s="124"/>
      <c r="J319" s="124"/>
      <c r="K319" s="124"/>
      <c r="L319" s="124"/>
      <c r="M319" s="124"/>
      <c r="N319" s="124">
        <v>1.26</v>
      </c>
      <c r="O319" s="124"/>
      <c r="P319" s="124"/>
      <c r="Q319" s="124"/>
      <c r="R319" s="124"/>
      <c r="S319" s="124"/>
      <c r="T319" s="124"/>
      <c r="U319" s="124"/>
      <c r="V319" s="124"/>
      <c r="W319" s="124"/>
      <c r="X319" s="124"/>
      <c r="Y319" s="124"/>
      <c r="Z319" s="124">
        <v>98.74</v>
      </c>
      <c r="AA319" s="98">
        <f t="shared" ref="AA319:AA323" si="478">SUM(G319:Z319)</f>
        <v>100</v>
      </c>
      <c r="AB319" s="124">
        <v>100</v>
      </c>
      <c r="AC319" s="98">
        <f t="shared" si="436"/>
        <v>0</v>
      </c>
      <c r="AD319" s="100">
        <f t="shared" si="437"/>
        <v>0</v>
      </c>
      <c r="AE319" s="100">
        <f t="shared" si="438"/>
        <v>0</v>
      </c>
      <c r="AF319" s="100">
        <f t="shared" si="439"/>
        <v>0</v>
      </c>
      <c r="AG319" s="100">
        <f t="shared" si="440"/>
        <v>0</v>
      </c>
      <c r="AH319" s="100">
        <f t="shared" si="441"/>
        <v>0</v>
      </c>
      <c r="AI319" s="100">
        <f t="shared" si="442"/>
        <v>0</v>
      </c>
      <c r="AJ319" s="100">
        <f t="shared" si="443"/>
        <v>0</v>
      </c>
      <c r="AK319" s="100">
        <f t="shared" si="444"/>
        <v>1.26</v>
      </c>
      <c r="AL319" s="100">
        <f t="shared" si="445"/>
        <v>0</v>
      </c>
      <c r="AM319" s="100">
        <f t="shared" si="446"/>
        <v>0</v>
      </c>
      <c r="AN319" s="100">
        <f t="shared" si="447"/>
        <v>0</v>
      </c>
      <c r="AO319" s="100">
        <f t="shared" si="448"/>
        <v>0</v>
      </c>
      <c r="AP319" s="100">
        <f t="shared" si="449"/>
        <v>0</v>
      </c>
      <c r="AQ319" s="100">
        <f t="shared" si="450"/>
        <v>0</v>
      </c>
      <c r="AR319" s="100">
        <f t="shared" si="451"/>
        <v>0</v>
      </c>
      <c r="AS319" s="100">
        <f t="shared" si="452"/>
        <v>0</v>
      </c>
      <c r="AT319" s="100">
        <f t="shared" si="453"/>
        <v>0</v>
      </c>
      <c r="AU319" s="100">
        <f t="shared" si="454"/>
        <v>0</v>
      </c>
      <c r="AV319" s="100">
        <f t="shared" si="455"/>
        <v>0</v>
      </c>
      <c r="AW319" s="100">
        <f t="shared" si="456"/>
        <v>98.74</v>
      </c>
      <c r="AX319">
        <f t="shared" si="457"/>
        <v>100</v>
      </c>
      <c r="AY319" s="98">
        <f t="shared" si="458"/>
        <v>0</v>
      </c>
      <c r="AZ319" s="98">
        <f t="shared" si="459"/>
        <v>0</v>
      </c>
      <c r="BA319" s="98">
        <f t="shared" si="460"/>
        <v>0</v>
      </c>
      <c r="BB319" s="98">
        <f t="shared" si="461"/>
        <v>0</v>
      </c>
      <c r="BC319" s="98">
        <f t="shared" si="462"/>
        <v>0</v>
      </c>
      <c r="BD319" s="98">
        <f t="shared" si="463"/>
        <v>0</v>
      </c>
      <c r="BE319" s="98">
        <f t="shared" si="464"/>
        <v>0</v>
      </c>
      <c r="BF319" s="98">
        <f t="shared" si="465"/>
        <v>30.554960391778842</v>
      </c>
      <c r="BG319" s="98">
        <f t="shared" si="466"/>
        <v>0</v>
      </c>
      <c r="BH319" s="98">
        <f t="shared" si="467"/>
        <v>0</v>
      </c>
      <c r="BI319" s="98">
        <f t="shared" si="468"/>
        <v>0</v>
      </c>
      <c r="BJ319" s="98">
        <f t="shared" si="469"/>
        <v>0</v>
      </c>
      <c r="BK319" s="98">
        <f t="shared" si="470"/>
        <v>0</v>
      </c>
      <c r="BL319" s="98">
        <f t="shared" si="471"/>
        <v>0</v>
      </c>
      <c r="BM319" s="98">
        <f t="shared" si="472"/>
        <v>0</v>
      </c>
      <c r="BN319" s="98">
        <f t="shared" si="473"/>
        <v>0</v>
      </c>
      <c r="BO319" s="98">
        <f t="shared" si="474"/>
        <v>0</v>
      </c>
      <c r="BP319" s="98">
        <f t="shared" si="475"/>
        <v>0</v>
      </c>
      <c r="BQ319" s="98">
        <f t="shared" si="476"/>
        <v>0</v>
      </c>
      <c r="BR319" s="98">
        <f t="shared" si="477"/>
        <v>2394.4418960986054</v>
      </c>
      <c r="BS319" s="124"/>
      <c r="BT319" s="124"/>
      <c r="BU319" s="124"/>
      <c r="BV319" s="124"/>
      <c r="BW319" s="124"/>
      <c r="BX319" s="124"/>
      <c r="BY319" s="124"/>
      <c r="BZ319" s="124"/>
      <c r="CA319" s="124"/>
      <c r="CB319" s="124"/>
      <c r="CC319" s="124"/>
      <c r="CD319" s="124"/>
      <c r="CE319" s="124"/>
      <c r="CF319" s="124"/>
      <c r="CG319" s="124"/>
      <c r="CH319" s="124"/>
      <c r="CI319" s="124"/>
      <c r="CJ319" s="124"/>
      <c r="CK319" s="124"/>
      <c r="CL319" s="124"/>
      <c r="CM319" s="124"/>
      <c r="CN319" s="124"/>
      <c r="CO319" s="124"/>
      <c r="CP319" s="124"/>
      <c r="CQ319" s="124"/>
      <c r="CR319" s="124"/>
      <c r="CS319" s="124"/>
      <c r="CT319" s="124"/>
      <c r="CU319" s="124"/>
      <c r="CV319" s="124"/>
      <c r="CW319" s="124"/>
      <c r="CX319" s="124"/>
      <c r="CY319" s="124"/>
      <c r="CZ319" s="124"/>
      <c r="DA319" s="124"/>
      <c r="DB319" s="124"/>
      <c r="DC319" s="124"/>
      <c r="DD319" s="124"/>
      <c r="DE319" s="124"/>
      <c r="DF319" s="124"/>
      <c r="DG319" s="124"/>
      <c r="DH319" s="124"/>
      <c r="DI319" s="124"/>
      <c r="DJ319" s="124"/>
      <c r="DK319" s="124"/>
      <c r="DL319" s="124"/>
      <c r="DM319" s="124"/>
      <c r="DN319" s="124"/>
      <c r="DO319" s="124"/>
      <c r="DP319" s="124"/>
      <c r="DQ319" s="124"/>
      <c r="DR319" s="124"/>
      <c r="DS319" s="124"/>
      <c r="DT319" s="124"/>
      <c r="DU319" s="124"/>
      <c r="DV319" s="124"/>
      <c r="DW319" s="124"/>
      <c r="DX319" s="124"/>
      <c r="DY319" s="124"/>
      <c r="DZ319" s="124"/>
      <c r="EA319" s="124"/>
      <c r="EB319" s="124"/>
      <c r="EC319" s="124"/>
      <c r="ED319" s="124"/>
      <c r="EE319" s="124"/>
      <c r="EF319" s="124"/>
      <c r="EG319" s="124"/>
      <c r="EH319" s="124"/>
      <c r="EI319" s="124"/>
      <c r="EJ319" s="124"/>
      <c r="EK319" s="124"/>
      <c r="EL319" s="124"/>
      <c r="EM319" s="124"/>
      <c r="EN319" s="124"/>
      <c r="EO319" s="124"/>
      <c r="EP319" s="124"/>
      <c r="EQ319" s="124"/>
      <c r="ER319" s="124"/>
      <c r="ES319" s="124"/>
      <c r="ET319" s="124"/>
      <c r="EU319" s="124"/>
      <c r="EV319" s="124"/>
      <c r="EW319" s="124"/>
      <c r="EX319" s="124"/>
      <c r="EY319" s="124"/>
      <c r="EZ319" s="124"/>
    </row>
    <row r="320" spans="1:156" x14ac:dyDescent="0.25">
      <c r="A320" t="s">
        <v>184</v>
      </c>
      <c r="B320" t="s">
        <v>17</v>
      </c>
      <c r="C320">
        <v>2025</v>
      </c>
      <c r="D320" s="98">
        <f>INDEX('Reference Sheet'!$G$9:$J$100, MATCH(A320,'Reference Sheet'!$F$9:$F$100,0), MATCH(C320,'Reference Sheet'!$G$8:$J$8,0))/2080</f>
        <v>6.7143990384615391</v>
      </c>
      <c r="E320" s="99">
        <f>VLOOKUP(C320,'Reference Sheet'!$A$2:$B$5,2)</f>
        <v>0.22450000000000001</v>
      </c>
      <c r="F320" s="98">
        <f t="shared" si="435"/>
        <v>8.2217816225961542</v>
      </c>
      <c r="G320" s="124"/>
      <c r="H320" s="124"/>
      <c r="I320" s="124"/>
      <c r="J320" s="124"/>
      <c r="K320" s="124"/>
      <c r="L320" s="124"/>
      <c r="M320" s="124"/>
      <c r="N320" s="124">
        <v>100</v>
      </c>
      <c r="O320" s="124"/>
      <c r="P320" s="124"/>
      <c r="Q320" s="124"/>
      <c r="R320" s="124"/>
      <c r="S320" s="124"/>
      <c r="T320" s="124"/>
      <c r="U320" s="124"/>
      <c r="V320" s="124"/>
      <c r="W320" s="124"/>
      <c r="X320" s="124"/>
      <c r="Y320" s="124"/>
      <c r="Z320" s="124"/>
      <c r="AA320" s="98">
        <f t="shared" si="478"/>
        <v>100</v>
      </c>
      <c r="AB320" s="124">
        <v>100</v>
      </c>
      <c r="AC320" s="98">
        <f t="shared" si="436"/>
        <v>0</v>
      </c>
      <c r="AD320" s="100">
        <f t="shared" si="437"/>
        <v>0</v>
      </c>
      <c r="AE320" s="100">
        <f t="shared" si="438"/>
        <v>0</v>
      </c>
      <c r="AF320" s="100">
        <f t="shared" si="439"/>
        <v>0</v>
      </c>
      <c r="AG320" s="100">
        <f t="shared" si="440"/>
        <v>0</v>
      </c>
      <c r="AH320" s="100">
        <f t="shared" si="441"/>
        <v>0</v>
      </c>
      <c r="AI320" s="100">
        <f t="shared" si="442"/>
        <v>0</v>
      </c>
      <c r="AJ320" s="100">
        <f t="shared" si="443"/>
        <v>0</v>
      </c>
      <c r="AK320" s="100">
        <f t="shared" si="444"/>
        <v>100</v>
      </c>
      <c r="AL320" s="100">
        <f t="shared" si="445"/>
        <v>0</v>
      </c>
      <c r="AM320" s="100">
        <f t="shared" si="446"/>
        <v>0</v>
      </c>
      <c r="AN320" s="100">
        <f t="shared" si="447"/>
        <v>0</v>
      </c>
      <c r="AO320" s="100">
        <f t="shared" si="448"/>
        <v>0</v>
      </c>
      <c r="AP320" s="100">
        <f t="shared" si="449"/>
        <v>0</v>
      </c>
      <c r="AQ320" s="100">
        <f t="shared" si="450"/>
        <v>0</v>
      </c>
      <c r="AR320" s="100">
        <f t="shared" si="451"/>
        <v>0</v>
      </c>
      <c r="AS320" s="100">
        <f t="shared" si="452"/>
        <v>0</v>
      </c>
      <c r="AT320" s="100">
        <f t="shared" si="453"/>
        <v>0</v>
      </c>
      <c r="AU320" s="100">
        <f t="shared" si="454"/>
        <v>0</v>
      </c>
      <c r="AV320" s="100">
        <f t="shared" si="455"/>
        <v>0</v>
      </c>
      <c r="AW320" s="100">
        <f t="shared" si="456"/>
        <v>0</v>
      </c>
      <c r="AX320">
        <f t="shared" si="457"/>
        <v>100</v>
      </c>
      <c r="AY320" s="98">
        <f t="shared" si="458"/>
        <v>0</v>
      </c>
      <c r="AZ320" s="98">
        <f t="shared" si="459"/>
        <v>0</v>
      </c>
      <c r="BA320" s="98">
        <f t="shared" si="460"/>
        <v>0</v>
      </c>
      <c r="BB320" s="98">
        <f t="shared" si="461"/>
        <v>0</v>
      </c>
      <c r="BC320" s="98">
        <f t="shared" si="462"/>
        <v>0</v>
      </c>
      <c r="BD320" s="98">
        <f t="shared" si="463"/>
        <v>0</v>
      </c>
      <c r="BE320" s="98">
        <f t="shared" si="464"/>
        <v>0</v>
      </c>
      <c r="BF320" s="98">
        <f t="shared" si="465"/>
        <v>822.17816225961542</v>
      </c>
      <c r="BG320" s="98">
        <f t="shared" si="466"/>
        <v>0</v>
      </c>
      <c r="BH320" s="98">
        <f t="shared" si="467"/>
        <v>0</v>
      </c>
      <c r="BI320" s="98">
        <f t="shared" si="468"/>
        <v>0</v>
      </c>
      <c r="BJ320" s="98">
        <f t="shared" si="469"/>
        <v>0</v>
      </c>
      <c r="BK320" s="98">
        <f t="shared" si="470"/>
        <v>0</v>
      </c>
      <c r="BL320" s="98">
        <f t="shared" si="471"/>
        <v>0</v>
      </c>
      <c r="BM320" s="98">
        <f t="shared" si="472"/>
        <v>0</v>
      </c>
      <c r="BN320" s="98">
        <f t="shared" si="473"/>
        <v>0</v>
      </c>
      <c r="BO320" s="98">
        <f t="shared" si="474"/>
        <v>0</v>
      </c>
      <c r="BP320" s="98">
        <f t="shared" si="475"/>
        <v>0</v>
      </c>
      <c r="BQ320" s="98">
        <f t="shared" si="476"/>
        <v>0</v>
      </c>
      <c r="BR320" s="98">
        <f t="shared" si="477"/>
        <v>0</v>
      </c>
      <c r="BS320" s="124"/>
      <c r="BT320" s="124"/>
      <c r="BU320" s="124"/>
      <c r="BV320" s="124"/>
      <c r="BW320" s="124"/>
      <c r="BX320" s="124"/>
      <c r="BY320" s="124"/>
      <c r="BZ320" s="124"/>
      <c r="CA320" s="124"/>
      <c r="CB320" s="124"/>
      <c r="CC320" s="124"/>
      <c r="CD320" s="124"/>
      <c r="CE320" s="124"/>
      <c r="CF320" s="124"/>
      <c r="CG320" s="124"/>
      <c r="CH320" s="124"/>
      <c r="CI320" s="124"/>
      <c r="CJ320" s="124"/>
      <c r="CK320" s="124"/>
      <c r="CL320" s="124"/>
      <c r="CM320" s="124"/>
      <c r="CN320" s="124"/>
      <c r="CO320" s="124"/>
      <c r="CP320" s="124"/>
      <c r="CQ320" s="124"/>
      <c r="CR320" s="124"/>
      <c r="CS320" s="124"/>
      <c r="CT320" s="124"/>
      <c r="CU320" s="124"/>
      <c r="CV320" s="124"/>
      <c r="CW320" s="124"/>
      <c r="CX320" s="124"/>
      <c r="CY320" s="124"/>
      <c r="CZ320" s="124"/>
      <c r="DA320" s="124"/>
      <c r="DB320" s="124"/>
      <c r="DC320" s="124"/>
      <c r="DD320" s="124"/>
      <c r="DE320" s="124"/>
      <c r="DF320" s="124"/>
      <c r="DG320" s="124"/>
      <c r="DH320" s="124"/>
      <c r="DI320" s="124"/>
      <c r="DJ320" s="124"/>
      <c r="DK320" s="124"/>
      <c r="DL320" s="124"/>
      <c r="DM320" s="124"/>
      <c r="DN320" s="124"/>
      <c r="DO320" s="124"/>
      <c r="DP320" s="124"/>
      <c r="DQ320" s="124"/>
      <c r="DR320" s="124"/>
      <c r="DS320" s="124"/>
      <c r="DT320" s="124"/>
      <c r="DU320" s="124"/>
      <c r="DV320" s="124"/>
      <c r="DW320" s="124"/>
      <c r="DX320" s="124"/>
      <c r="DY320" s="124"/>
      <c r="DZ320" s="124"/>
      <c r="EA320" s="124"/>
      <c r="EB320" s="124"/>
      <c r="EC320" s="124"/>
      <c r="ED320" s="124"/>
      <c r="EE320" s="124"/>
      <c r="EF320" s="124"/>
      <c r="EG320" s="124"/>
      <c r="EH320" s="124"/>
      <c r="EI320" s="124"/>
      <c r="EJ320" s="124"/>
      <c r="EK320" s="124"/>
      <c r="EL320" s="124"/>
      <c r="EM320" s="124"/>
      <c r="EN320" s="124"/>
      <c r="EO320" s="124"/>
      <c r="EP320" s="124"/>
      <c r="EQ320" s="124"/>
      <c r="ER320" s="124"/>
      <c r="ES320" s="124"/>
      <c r="ET320" s="124"/>
      <c r="EU320" s="124"/>
      <c r="EV320" s="124"/>
      <c r="EW320" s="124"/>
      <c r="EX320" s="124"/>
      <c r="EY320" s="124"/>
      <c r="EZ320" s="124"/>
    </row>
    <row r="321" spans="1:156" x14ac:dyDescent="0.25">
      <c r="A321" t="s">
        <v>185</v>
      </c>
      <c r="B321" t="s">
        <v>17</v>
      </c>
      <c r="C321">
        <v>2025</v>
      </c>
      <c r="D321" s="98">
        <f>INDEX('Reference Sheet'!$G$9:$J$100, MATCH(A321,'Reference Sheet'!$F$9:$F$100,0), MATCH(C321,'Reference Sheet'!$G$8:$J$8,0))/2080</f>
        <v>2.9259134615384612</v>
      </c>
      <c r="E321" s="99">
        <f>VLOOKUP(C321,'Reference Sheet'!$A$2:$B$5,2)</f>
        <v>0.22450000000000001</v>
      </c>
      <c r="F321" s="98">
        <f t="shared" si="435"/>
        <v>3.5827810336538457</v>
      </c>
      <c r="G321" s="124"/>
      <c r="H321" s="124"/>
      <c r="I321" s="124"/>
      <c r="J321" s="124"/>
      <c r="K321" s="124"/>
      <c r="L321" s="124"/>
      <c r="M321" s="124"/>
      <c r="N321" s="124">
        <v>100</v>
      </c>
      <c r="O321" s="124"/>
      <c r="P321" s="124"/>
      <c r="Q321" s="124"/>
      <c r="R321" s="124"/>
      <c r="S321" s="124"/>
      <c r="T321" s="124"/>
      <c r="U321" s="124"/>
      <c r="V321" s="124"/>
      <c r="W321" s="124"/>
      <c r="X321" s="124"/>
      <c r="Y321" s="124"/>
      <c r="Z321" s="124"/>
      <c r="AA321" s="98">
        <f t="shared" si="478"/>
        <v>100</v>
      </c>
      <c r="AB321" s="124">
        <v>100</v>
      </c>
      <c r="AC321" s="98">
        <f t="shared" si="436"/>
        <v>0</v>
      </c>
      <c r="AD321" s="100">
        <f t="shared" si="437"/>
        <v>0</v>
      </c>
      <c r="AE321" s="100">
        <f t="shared" si="438"/>
        <v>0</v>
      </c>
      <c r="AF321" s="100">
        <f t="shared" si="439"/>
        <v>0</v>
      </c>
      <c r="AG321" s="100">
        <f t="shared" si="440"/>
        <v>0</v>
      </c>
      <c r="AH321" s="100">
        <f t="shared" si="441"/>
        <v>0</v>
      </c>
      <c r="AI321" s="100">
        <f t="shared" si="442"/>
        <v>0</v>
      </c>
      <c r="AJ321" s="100">
        <f t="shared" si="443"/>
        <v>0</v>
      </c>
      <c r="AK321" s="100">
        <f t="shared" si="444"/>
        <v>100</v>
      </c>
      <c r="AL321" s="100">
        <f t="shared" si="445"/>
        <v>0</v>
      </c>
      <c r="AM321" s="100">
        <f t="shared" si="446"/>
        <v>0</v>
      </c>
      <c r="AN321" s="100">
        <f t="shared" si="447"/>
        <v>0</v>
      </c>
      <c r="AO321" s="100">
        <f t="shared" si="448"/>
        <v>0</v>
      </c>
      <c r="AP321" s="100">
        <f t="shared" si="449"/>
        <v>0</v>
      </c>
      <c r="AQ321" s="100">
        <f t="shared" si="450"/>
        <v>0</v>
      </c>
      <c r="AR321" s="100">
        <f t="shared" si="451"/>
        <v>0</v>
      </c>
      <c r="AS321" s="100">
        <f t="shared" si="452"/>
        <v>0</v>
      </c>
      <c r="AT321" s="100">
        <f t="shared" si="453"/>
        <v>0</v>
      </c>
      <c r="AU321" s="100">
        <f t="shared" si="454"/>
        <v>0</v>
      </c>
      <c r="AV321" s="100">
        <f t="shared" si="455"/>
        <v>0</v>
      </c>
      <c r="AW321" s="100">
        <f t="shared" si="456"/>
        <v>0</v>
      </c>
      <c r="AX321">
        <f t="shared" si="457"/>
        <v>100</v>
      </c>
      <c r="AY321" s="98">
        <f t="shared" si="458"/>
        <v>0</v>
      </c>
      <c r="AZ321" s="98">
        <f t="shared" si="459"/>
        <v>0</v>
      </c>
      <c r="BA321" s="98">
        <f t="shared" si="460"/>
        <v>0</v>
      </c>
      <c r="BB321" s="98">
        <f t="shared" si="461"/>
        <v>0</v>
      </c>
      <c r="BC321" s="98">
        <f t="shared" si="462"/>
        <v>0</v>
      </c>
      <c r="BD321" s="98">
        <f t="shared" si="463"/>
        <v>0</v>
      </c>
      <c r="BE321" s="98">
        <f t="shared" si="464"/>
        <v>0</v>
      </c>
      <c r="BF321" s="98">
        <f t="shared" si="465"/>
        <v>358.2781033653846</v>
      </c>
      <c r="BG321" s="98">
        <f t="shared" si="466"/>
        <v>0</v>
      </c>
      <c r="BH321" s="98">
        <f t="shared" si="467"/>
        <v>0</v>
      </c>
      <c r="BI321" s="98">
        <f t="shared" si="468"/>
        <v>0</v>
      </c>
      <c r="BJ321" s="98">
        <f t="shared" si="469"/>
        <v>0</v>
      </c>
      <c r="BK321" s="98">
        <f t="shared" si="470"/>
        <v>0</v>
      </c>
      <c r="BL321" s="98">
        <f t="shared" si="471"/>
        <v>0</v>
      </c>
      <c r="BM321" s="98">
        <f t="shared" si="472"/>
        <v>0</v>
      </c>
      <c r="BN321" s="98">
        <f t="shared" si="473"/>
        <v>0</v>
      </c>
      <c r="BO321" s="98">
        <f t="shared" si="474"/>
        <v>0</v>
      </c>
      <c r="BP321" s="98">
        <f t="shared" si="475"/>
        <v>0</v>
      </c>
      <c r="BQ321" s="98">
        <f t="shared" si="476"/>
        <v>0</v>
      </c>
      <c r="BR321" s="98">
        <f t="shared" si="477"/>
        <v>0</v>
      </c>
      <c r="BS321" s="124"/>
      <c r="BT321" s="124"/>
      <c r="BU321" s="124"/>
      <c r="BV321" s="124"/>
      <c r="BW321" s="124"/>
      <c r="BX321" s="124"/>
      <c r="BY321" s="124"/>
      <c r="BZ321" s="124"/>
      <c r="CA321" s="124"/>
      <c r="CB321" s="124"/>
      <c r="CC321" s="124"/>
      <c r="CD321" s="124"/>
      <c r="CE321" s="124"/>
      <c r="CF321" s="124"/>
      <c r="CG321" s="124"/>
      <c r="CH321" s="124"/>
      <c r="CI321" s="124"/>
      <c r="CJ321" s="124"/>
      <c r="CK321" s="124"/>
      <c r="CL321" s="124"/>
      <c r="CM321" s="124"/>
      <c r="CN321" s="124"/>
      <c r="CO321" s="124"/>
      <c r="CP321" s="124"/>
      <c r="CQ321" s="124"/>
      <c r="CR321" s="124"/>
      <c r="CS321" s="124"/>
      <c r="CT321" s="124"/>
      <c r="CU321" s="124"/>
      <c r="CV321" s="124"/>
      <c r="CW321" s="124"/>
      <c r="CX321" s="124"/>
      <c r="CY321" s="124"/>
      <c r="CZ321" s="124"/>
      <c r="DA321" s="124"/>
      <c r="DB321" s="124"/>
      <c r="DC321" s="124"/>
      <c r="DD321" s="124"/>
      <c r="DE321" s="124"/>
      <c r="DF321" s="124"/>
      <c r="DG321" s="124"/>
      <c r="DH321" s="124"/>
      <c r="DI321" s="124"/>
      <c r="DJ321" s="124"/>
      <c r="DK321" s="124"/>
      <c r="DL321" s="124"/>
      <c r="DM321" s="124"/>
      <c r="DN321" s="124"/>
      <c r="DO321" s="124"/>
      <c r="DP321" s="124"/>
      <c r="DQ321" s="124"/>
      <c r="DR321" s="124"/>
      <c r="DS321" s="124"/>
      <c r="DT321" s="124"/>
      <c r="DU321" s="124"/>
      <c r="DV321" s="124"/>
      <c r="DW321" s="124"/>
      <c r="DX321" s="124"/>
      <c r="DY321" s="124"/>
      <c r="DZ321" s="124"/>
      <c r="EA321" s="124"/>
      <c r="EB321" s="124"/>
      <c r="EC321" s="124"/>
      <c r="ED321" s="124"/>
      <c r="EE321" s="124"/>
      <c r="EF321" s="124"/>
      <c r="EG321" s="124"/>
      <c r="EH321" s="124"/>
      <c r="EI321" s="124"/>
      <c r="EJ321" s="124"/>
      <c r="EK321" s="124"/>
      <c r="EL321" s="124"/>
      <c r="EM321" s="124"/>
      <c r="EN321" s="124"/>
      <c r="EO321" s="124"/>
      <c r="EP321" s="124"/>
      <c r="EQ321" s="124"/>
      <c r="ER321" s="124"/>
      <c r="ES321" s="124"/>
      <c r="ET321" s="124"/>
      <c r="EU321" s="124"/>
      <c r="EV321" s="124"/>
      <c r="EW321" s="124"/>
      <c r="EX321" s="124"/>
      <c r="EY321" s="124"/>
      <c r="EZ321" s="124"/>
    </row>
    <row r="322" spans="1:156" x14ac:dyDescent="0.25">
      <c r="A322" t="s">
        <v>186</v>
      </c>
      <c r="B322" t="s">
        <v>17</v>
      </c>
      <c r="C322">
        <v>2025</v>
      </c>
      <c r="D322" s="98">
        <f>INDEX('Reference Sheet'!$G$9:$J$100, MATCH(A322,'Reference Sheet'!$F$9:$F$100,0), MATCH(C322,'Reference Sheet'!$G$8:$J$8,0))/2080</f>
        <v>0</v>
      </c>
      <c r="E322" s="99">
        <f>VLOOKUP(C322,'Reference Sheet'!$A$2:$B$5,2)</f>
        <v>0.22450000000000001</v>
      </c>
      <c r="F322" s="98">
        <f t="shared" si="435"/>
        <v>0</v>
      </c>
      <c r="G322" s="124"/>
      <c r="H322" s="124"/>
      <c r="I322" s="124"/>
      <c r="J322" s="124"/>
      <c r="K322" s="124"/>
      <c r="L322" s="124"/>
      <c r="M322" s="124"/>
      <c r="N322" s="124">
        <v>100</v>
      </c>
      <c r="O322" s="124"/>
      <c r="P322" s="124"/>
      <c r="Q322" s="124"/>
      <c r="R322" s="124"/>
      <c r="S322" s="124"/>
      <c r="T322" s="124"/>
      <c r="U322" s="124"/>
      <c r="V322" s="124"/>
      <c r="W322" s="124"/>
      <c r="X322" s="124"/>
      <c r="Y322" s="124"/>
      <c r="Z322" s="124"/>
      <c r="AA322" s="98">
        <f t="shared" si="478"/>
        <v>100</v>
      </c>
      <c r="AB322" s="124">
        <v>100</v>
      </c>
      <c r="AC322" s="98">
        <f t="shared" si="436"/>
        <v>0</v>
      </c>
      <c r="AD322" s="100">
        <f t="shared" si="437"/>
        <v>0</v>
      </c>
      <c r="AE322" s="100">
        <f t="shared" si="438"/>
        <v>0</v>
      </c>
      <c r="AF322" s="100">
        <f t="shared" si="439"/>
        <v>0</v>
      </c>
      <c r="AG322" s="100">
        <f t="shared" si="440"/>
        <v>0</v>
      </c>
      <c r="AH322" s="100">
        <f t="shared" si="441"/>
        <v>0</v>
      </c>
      <c r="AI322" s="100">
        <f t="shared" si="442"/>
        <v>0</v>
      </c>
      <c r="AJ322" s="100">
        <f t="shared" si="443"/>
        <v>0</v>
      </c>
      <c r="AK322" s="100">
        <f t="shared" si="444"/>
        <v>100</v>
      </c>
      <c r="AL322" s="100">
        <f t="shared" si="445"/>
        <v>0</v>
      </c>
      <c r="AM322" s="100">
        <f t="shared" si="446"/>
        <v>0</v>
      </c>
      <c r="AN322" s="100">
        <f t="shared" si="447"/>
        <v>0</v>
      </c>
      <c r="AO322" s="100">
        <f t="shared" si="448"/>
        <v>0</v>
      </c>
      <c r="AP322" s="100">
        <f t="shared" si="449"/>
        <v>0</v>
      </c>
      <c r="AQ322" s="100">
        <f t="shared" si="450"/>
        <v>0</v>
      </c>
      <c r="AR322" s="100">
        <f t="shared" si="451"/>
        <v>0</v>
      </c>
      <c r="AS322" s="100">
        <f t="shared" si="452"/>
        <v>0</v>
      </c>
      <c r="AT322" s="100">
        <f t="shared" si="453"/>
        <v>0</v>
      </c>
      <c r="AU322" s="100">
        <f t="shared" si="454"/>
        <v>0</v>
      </c>
      <c r="AV322" s="100">
        <f t="shared" si="455"/>
        <v>0</v>
      </c>
      <c r="AW322" s="100">
        <f t="shared" si="456"/>
        <v>0</v>
      </c>
      <c r="AX322">
        <f t="shared" si="457"/>
        <v>100</v>
      </c>
      <c r="AY322" s="98">
        <f t="shared" si="458"/>
        <v>0</v>
      </c>
      <c r="AZ322" s="98">
        <f t="shared" si="459"/>
        <v>0</v>
      </c>
      <c r="BA322" s="98">
        <f t="shared" si="460"/>
        <v>0</v>
      </c>
      <c r="BB322" s="98">
        <f t="shared" si="461"/>
        <v>0</v>
      </c>
      <c r="BC322" s="98">
        <f t="shared" si="462"/>
        <v>0</v>
      </c>
      <c r="BD322" s="98">
        <f t="shared" si="463"/>
        <v>0</v>
      </c>
      <c r="BE322" s="98">
        <f t="shared" si="464"/>
        <v>0</v>
      </c>
      <c r="BF322" s="98">
        <f t="shared" si="465"/>
        <v>0</v>
      </c>
      <c r="BG322" s="98">
        <f t="shared" si="466"/>
        <v>0</v>
      </c>
      <c r="BH322" s="98">
        <f t="shared" si="467"/>
        <v>0</v>
      </c>
      <c r="BI322" s="98">
        <f t="shared" si="468"/>
        <v>0</v>
      </c>
      <c r="BJ322" s="98">
        <f t="shared" si="469"/>
        <v>0</v>
      </c>
      <c r="BK322" s="98">
        <f t="shared" si="470"/>
        <v>0</v>
      </c>
      <c r="BL322" s="98">
        <f t="shared" si="471"/>
        <v>0</v>
      </c>
      <c r="BM322" s="98">
        <f t="shared" si="472"/>
        <v>0</v>
      </c>
      <c r="BN322" s="98">
        <f t="shared" si="473"/>
        <v>0</v>
      </c>
      <c r="BO322" s="98">
        <f t="shared" si="474"/>
        <v>0</v>
      </c>
      <c r="BP322" s="98">
        <f t="shared" si="475"/>
        <v>0</v>
      </c>
      <c r="BQ322" s="98">
        <f t="shared" si="476"/>
        <v>0</v>
      </c>
      <c r="BR322" s="98">
        <f t="shared" si="477"/>
        <v>0</v>
      </c>
      <c r="BS322" s="124"/>
      <c r="BT322" s="124"/>
      <c r="BU322" s="124"/>
      <c r="BV322" s="124"/>
      <c r="BW322" s="124"/>
      <c r="BX322" s="124"/>
      <c r="BY322" s="124"/>
      <c r="BZ322" s="124"/>
      <c r="CA322" s="124"/>
      <c r="CB322" s="124"/>
      <c r="CC322" s="124"/>
      <c r="CD322" s="124"/>
      <c r="CE322" s="124"/>
      <c r="CF322" s="124"/>
      <c r="CG322" s="124"/>
      <c r="CH322" s="124"/>
      <c r="CI322" s="124"/>
      <c r="CJ322" s="124"/>
      <c r="CK322" s="124"/>
      <c r="CL322" s="124"/>
      <c r="CM322" s="124"/>
      <c r="CN322" s="124"/>
      <c r="CO322" s="124"/>
      <c r="CP322" s="124"/>
      <c r="CQ322" s="124"/>
      <c r="CR322" s="124"/>
      <c r="CS322" s="124"/>
      <c r="CT322" s="124"/>
      <c r="CU322" s="124"/>
      <c r="CV322" s="124"/>
      <c r="CW322" s="124"/>
      <c r="CX322" s="124"/>
      <c r="CY322" s="124"/>
      <c r="CZ322" s="124"/>
      <c r="DA322" s="124"/>
      <c r="DB322" s="124"/>
      <c r="DC322" s="124"/>
      <c r="DD322" s="124"/>
      <c r="DE322" s="124"/>
      <c r="DF322" s="124"/>
      <c r="DG322" s="124"/>
      <c r="DH322" s="124"/>
      <c r="DI322" s="124"/>
      <c r="DJ322" s="124"/>
      <c r="DK322" s="124"/>
      <c r="DL322" s="124"/>
      <c r="DM322" s="124"/>
      <c r="DN322" s="124"/>
      <c r="DO322" s="124"/>
      <c r="DP322" s="124"/>
      <c r="DQ322" s="124"/>
      <c r="DR322" s="124"/>
      <c r="DS322" s="124"/>
      <c r="DT322" s="124"/>
      <c r="DU322" s="124"/>
      <c r="DV322" s="124"/>
      <c r="DW322" s="124"/>
      <c r="DX322" s="124"/>
      <c r="DY322" s="124"/>
      <c r="DZ322" s="124"/>
      <c r="EA322" s="124"/>
      <c r="EB322" s="124"/>
      <c r="EC322" s="124"/>
      <c r="ED322" s="124"/>
      <c r="EE322" s="124"/>
      <c r="EF322" s="124"/>
      <c r="EG322" s="124"/>
      <c r="EH322" s="124"/>
      <c r="EI322" s="124"/>
      <c r="EJ322" s="124"/>
      <c r="EK322" s="124"/>
      <c r="EL322" s="124"/>
      <c r="EM322" s="124"/>
      <c r="EN322" s="124"/>
      <c r="EO322" s="124"/>
      <c r="EP322" s="124"/>
      <c r="EQ322" s="124"/>
      <c r="ER322" s="124"/>
      <c r="ES322" s="124"/>
      <c r="ET322" s="124"/>
      <c r="EU322" s="124"/>
      <c r="EV322" s="124"/>
      <c r="EW322" s="124"/>
      <c r="EX322" s="124"/>
      <c r="EY322" s="124"/>
      <c r="EZ322" s="124"/>
    </row>
    <row r="323" spans="1:156" x14ac:dyDescent="0.25">
      <c r="A323" t="s">
        <v>187</v>
      </c>
      <c r="B323" t="s">
        <v>17</v>
      </c>
      <c r="C323">
        <v>2025</v>
      </c>
      <c r="D323" s="98">
        <f>INDEX('Reference Sheet'!$G$9:$J$100, MATCH(A323,'Reference Sheet'!$F$9:$F$100,0), MATCH(C323,'Reference Sheet'!$G$8:$J$8,0))/2080</f>
        <v>40.056197115384613</v>
      </c>
      <c r="E323" s="99">
        <f>VLOOKUP(C323,'Reference Sheet'!$A$2:$B$5,2)</f>
        <v>0.22450000000000001</v>
      </c>
      <c r="F323" s="98">
        <f t="shared" si="435"/>
        <v>49.048813367788455</v>
      </c>
      <c r="T323" s="21">
        <v>100</v>
      </c>
      <c r="AA323" s="98">
        <f t="shared" si="478"/>
        <v>100</v>
      </c>
      <c r="AB323" s="124">
        <v>100</v>
      </c>
      <c r="AC323" s="98">
        <f t="shared" si="436"/>
        <v>0</v>
      </c>
      <c r="AD323" s="100">
        <f t="shared" si="437"/>
        <v>0</v>
      </c>
      <c r="AE323" s="100">
        <f t="shared" si="438"/>
        <v>0</v>
      </c>
      <c r="AF323" s="100">
        <f t="shared" si="439"/>
        <v>0</v>
      </c>
      <c r="AG323" s="100">
        <f t="shared" si="440"/>
        <v>0</v>
      </c>
      <c r="AH323" s="100">
        <f t="shared" si="441"/>
        <v>0</v>
      </c>
      <c r="AI323" s="100">
        <f t="shared" si="442"/>
        <v>0</v>
      </c>
      <c r="AJ323" s="100">
        <f t="shared" si="443"/>
        <v>0</v>
      </c>
      <c r="AK323" s="100">
        <f t="shared" si="444"/>
        <v>0</v>
      </c>
      <c r="AL323" s="100">
        <f t="shared" si="445"/>
        <v>0</v>
      </c>
      <c r="AM323" s="100">
        <f t="shared" si="446"/>
        <v>0</v>
      </c>
      <c r="AN323" s="100">
        <f t="shared" si="447"/>
        <v>0</v>
      </c>
      <c r="AO323" s="100">
        <f t="shared" si="448"/>
        <v>0</v>
      </c>
      <c r="AP323" s="100">
        <f t="shared" si="449"/>
        <v>0</v>
      </c>
      <c r="AQ323" s="100">
        <f t="shared" si="450"/>
        <v>100</v>
      </c>
      <c r="AR323" s="100">
        <f t="shared" si="451"/>
        <v>0</v>
      </c>
      <c r="AS323" s="100">
        <f t="shared" si="452"/>
        <v>0</v>
      </c>
      <c r="AT323" s="100">
        <f t="shared" si="453"/>
        <v>0</v>
      </c>
      <c r="AU323" s="100">
        <f t="shared" si="454"/>
        <v>0</v>
      </c>
      <c r="AV323" s="100">
        <f t="shared" si="455"/>
        <v>0</v>
      </c>
      <c r="AW323" s="100">
        <f t="shared" si="456"/>
        <v>0</v>
      </c>
      <c r="AX323">
        <f t="shared" si="457"/>
        <v>100</v>
      </c>
      <c r="AY323" s="98">
        <f t="shared" si="458"/>
        <v>0</v>
      </c>
      <c r="AZ323" s="98">
        <f t="shared" si="459"/>
        <v>0</v>
      </c>
      <c r="BA323" s="98">
        <f t="shared" si="460"/>
        <v>0</v>
      </c>
      <c r="BB323" s="98">
        <f t="shared" si="461"/>
        <v>0</v>
      </c>
      <c r="BC323" s="98">
        <f t="shared" si="462"/>
        <v>0</v>
      </c>
      <c r="BD323" s="98">
        <f t="shared" si="463"/>
        <v>0</v>
      </c>
      <c r="BE323" s="98">
        <f t="shared" si="464"/>
        <v>0</v>
      </c>
      <c r="BF323" s="98">
        <f t="shared" si="465"/>
        <v>0</v>
      </c>
      <c r="BG323" s="98">
        <f t="shared" si="466"/>
        <v>0</v>
      </c>
      <c r="BH323" s="98">
        <f t="shared" si="467"/>
        <v>0</v>
      </c>
      <c r="BI323" s="98">
        <f t="shared" si="468"/>
        <v>0</v>
      </c>
      <c r="BJ323" s="98">
        <f t="shared" si="469"/>
        <v>0</v>
      </c>
      <c r="BK323" s="98">
        <f t="shared" si="470"/>
        <v>0</v>
      </c>
      <c r="BL323" s="98">
        <f t="shared" si="471"/>
        <v>4904.8813367788453</v>
      </c>
      <c r="BM323" s="98">
        <f t="shared" si="472"/>
        <v>0</v>
      </c>
      <c r="BN323" s="98">
        <f t="shared" si="473"/>
        <v>0</v>
      </c>
      <c r="BO323" s="98">
        <f t="shared" si="474"/>
        <v>0</v>
      </c>
      <c r="BP323" s="98">
        <f t="shared" si="475"/>
        <v>0</v>
      </c>
      <c r="BQ323" s="98">
        <f t="shared" si="476"/>
        <v>0</v>
      </c>
      <c r="BR323" s="98">
        <f t="shared" si="477"/>
        <v>0</v>
      </c>
    </row>
  </sheetData>
  <autoFilter ref="A1:BR323" xr:uid="{4F7D54ED-2933-4049-9431-ABA4281982DD}"/>
  <sortState xmlns:xlrd2="http://schemas.microsoft.com/office/spreadsheetml/2017/richdata2" ref="A258:BR287">
    <sortCondition ref="C1:C287"/>
  </sortState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54F22D-2E28-4933-818A-6117970FFC20}">
  <dimension ref="A1:N54"/>
  <sheetViews>
    <sheetView topLeftCell="A24" workbookViewId="0">
      <selection activeCell="I9" activeCellId="1" sqref="I38:I54 I9:I36"/>
    </sheetView>
  </sheetViews>
  <sheetFormatPr defaultRowHeight="15" x14ac:dyDescent="0.25"/>
  <cols>
    <col min="2" max="3" width="10.28515625" bestFit="1" customWidth="1"/>
    <col min="4" max="4" width="11" bestFit="1" customWidth="1"/>
    <col min="6" max="6" width="10" bestFit="1" customWidth="1"/>
    <col min="7" max="8" width="11.5703125" bestFit="1" customWidth="1"/>
    <col min="9" max="9" width="12.85546875" bestFit="1" customWidth="1"/>
    <col min="10" max="10" width="11.5703125" bestFit="1" customWidth="1"/>
    <col min="13" max="13" width="10.28515625" bestFit="1" customWidth="1"/>
    <col min="14" max="14" width="11.5703125" bestFit="1" customWidth="1"/>
  </cols>
  <sheetData>
    <row r="1" spans="1:14" x14ac:dyDescent="0.25">
      <c r="A1" s="129" t="s">
        <v>69</v>
      </c>
      <c r="B1" s="130"/>
    </row>
    <row r="2" spans="1:14" x14ac:dyDescent="0.25">
      <c r="A2" s="66">
        <v>2023</v>
      </c>
      <c r="B2" s="85">
        <v>0.21360000000000001</v>
      </c>
    </row>
    <row r="3" spans="1:14" x14ac:dyDescent="0.25">
      <c r="A3" s="66">
        <v>2024</v>
      </c>
      <c r="B3" s="85">
        <v>0.1913</v>
      </c>
    </row>
    <row r="4" spans="1:14" x14ac:dyDescent="0.25">
      <c r="A4" s="66">
        <v>2025</v>
      </c>
      <c r="B4" s="85">
        <v>0.22450000000000001</v>
      </c>
    </row>
    <row r="5" spans="1:14" x14ac:dyDescent="0.25">
      <c r="A5" s="70">
        <v>2026</v>
      </c>
      <c r="B5" s="86">
        <v>0.23630000000000001</v>
      </c>
    </row>
    <row r="7" spans="1:14" x14ac:dyDescent="0.25">
      <c r="A7" s="131" t="s">
        <v>71</v>
      </c>
      <c r="B7" s="132"/>
      <c r="C7" s="132"/>
      <c r="D7" s="133"/>
      <c r="F7" s="129" t="s">
        <v>73</v>
      </c>
      <c r="G7" s="134"/>
      <c r="H7" s="134"/>
      <c r="I7" s="134"/>
      <c r="J7" s="130"/>
      <c r="L7" s="129" t="s">
        <v>101</v>
      </c>
      <c r="M7" s="134"/>
      <c r="N7" s="130"/>
    </row>
    <row r="8" spans="1:14" x14ac:dyDescent="0.25">
      <c r="A8" s="90" t="s">
        <v>67</v>
      </c>
      <c r="B8" s="91" t="s">
        <v>66</v>
      </c>
      <c r="C8" s="91" t="s">
        <v>59</v>
      </c>
      <c r="D8" s="92" t="s">
        <v>72</v>
      </c>
      <c r="F8" s="90" t="s">
        <v>3</v>
      </c>
      <c r="G8" s="91">
        <v>2023</v>
      </c>
      <c r="H8" s="91">
        <v>2024</v>
      </c>
      <c r="I8" s="91">
        <v>2025</v>
      </c>
      <c r="J8" s="92">
        <v>2026</v>
      </c>
      <c r="L8" s="90" t="s">
        <v>67</v>
      </c>
      <c r="M8" s="91" t="s">
        <v>66</v>
      </c>
      <c r="N8" s="92" t="s">
        <v>68</v>
      </c>
    </row>
    <row r="9" spans="1:14" x14ac:dyDescent="0.25">
      <c r="A9" s="71">
        <v>2023</v>
      </c>
      <c r="B9" s="9" t="s">
        <v>15</v>
      </c>
      <c r="C9" s="9">
        <v>22</v>
      </c>
      <c r="D9" s="81">
        <f>C9*8</f>
        <v>176</v>
      </c>
      <c r="F9" s="93" t="s">
        <v>151</v>
      </c>
      <c r="G9" s="122"/>
      <c r="H9" s="122"/>
      <c r="I9" s="94">
        <v>-53.2</v>
      </c>
      <c r="J9" s="123"/>
      <c r="L9" s="71">
        <v>2023</v>
      </c>
      <c r="M9" s="9" t="s">
        <v>15</v>
      </c>
      <c r="N9" s="101">
        <v>90.415913200723324</v>
      </c>
    </row>
    <row r="10" spans="1:14" x14ac:dyDescent="0.25">
      <c r="A10" s="71">
        <v>2023</v>
      </c>
      <c r="B10" s="9" t="s">
        <v>16</v>
      </c>
      <c r="C10" s="9">
        <v>22</v>
      </c>
      <c r="D10" s="81">
        <f t="shared" ref="D10:D43" si="0">C10*8</f>
        <v>176</v>
      </c>
      <c r="F10" s="68" t="s">
        <v>152</v>
      </c>
      <c r="I10" s="95">
        <v>61232</v>
      </c>
      <c r="J10" s="65"/>
      <c r="L10" s="71">
        <v>2023</v>
      </c>
      <c r="M10" s="9" t="s">
        <v>16</v>
      </c>
      <c r="N10" s="101">
        <v>113.21531494442158</v>
      </c>
    </row>
    <row r="11" spans="1:14" x14ac:dyDescent="0.25">
      <c r="A11" s="71">
        <v>2023</v>
      </c>
      <c r="B11" s="9" t="s">
        <v>17</v>
      </c>
      <c r="C11" s="9">
        <v>21</v>
      </c>
      <c r="D11" s="81">
        <f t="shared" si="0"/>
        <v>168</v>
      </c>
      <c r="F11" s="68" t="s">
        <v>153</v>
      </c>
      <c r="I11" s="110">
        <v>10805.36</v>
      </c>
      <c r="J11" s="65"/>
      <c r="L11" s="71">
        <v>2023</v>
      </c>
      <c r="M11" s="9" t="s">
        <v>17</v>
      </c>
      <c r="N11" s="101">
        <v>103.87157695939565</v>
      </c>
    </row>
    <row r="12" spans="1:14" x14ac:dyDescent="0.25">
      <c r="A12" s="71">
        <v>2024</v>
      </c>
      <c r="B12" s="9" t="s">
        <v>6</v>
      </c>
      <c r="C12" s="9">
        <v>23</v>
      </c>
      <c r="D12" s="81">
        <f t="shared" si="0"/>
        <v>184</v>
      </c>
      <c r="F12" s="68" t="s">
        <v>154</v>
      </c>
      <c r="I12" s="110">
        <v>2412.3000000000002</v>
      </c>
      <c r="J12" s="65"/>
      <c r="L12" s="71">
        <v>2024</v>
      </c>
      <c r="M12" s="9" t="s">
        <v>6</v>
      </c>
      <c r="N12" s="102">
        <v>92.019407729630245</v>
      </c>
    </row>
    <row r="13" spans="1:14" x14ac:dyDescent="0.25">
      <c r="A13" s="71">
        <v>2024</v>
      </c>
      <c r="B13" s="9" t="s">
        <v>7</v>
      </c>
      <c r="C13" s="9">
        <v>21</v>
      </c>
      <c r="D13" s="81">
        <f t="shared" si="0"/>
        <v>168</v>
      </c>
      <c r="F13" s="68" t="s">
        <v>155</v>
      </c>
      <c r="I13" s="110">
        <v>20280.45</v>
      </c>
      <c r="J13" s="65"/>
      <c r="L13" s="71">
        <v>2024</v>
      </c>
      <c r="M13" s="9" t="s">
        <v>7</v>
      </c>
      <c r="N13" s="102">
        <v>87.301587301587304</v>
      </c>
    </row>
    <row r="14" spans="1:14" x14ac:dyDescent="0.25">
      <c r="A14" s="71">
        <v>2024</v>
      </c>
      <c r="B14" s="9" t="s">
        <v>8</v>
      </c>
      <c r="C14" s="9">
        <v>21</v>
      </c>
      <c r="D14" s="81">
        <f t="shared" si="0"/>
        <v>168</v>
      </c>
      <c r="F14" s="68" t="s">
        <v>156</v>
      </c>
      <c r="I14" s="110">
        <v>9608.44</v>
      </c>
      <c r="J14" s="65"/>
      <c r="L14" s="71">
        <v>2024</v>
      </c>
      <c r="M14" s="9" t="s">
        <v>8</v>
      </c>
      <c r="N14" s="102">
        <v>84.942084942084946</v>
      </c>
    </row>
    <row r="15" spans="1:14" x14ac:dyDescent="0.25">
      <c r="A15" s="71">
        <v>2024</v>
      </c>
      <c r="B15" s="9" t="s">
        <v>9</v>
      </c>
      <c r="C15" s="9">
        <v>22</v>
      </c>
      <c r="D15" s="81">
        <f t="shared" si="0"/>
        <v>176</v>
      </c>
      <c r="F15" s="68" t="s">
        <v>157</v>
      </c>
      <c r="I15" s="110">
        <v>1430.65</v>
      </c>
      <c r="J15" s="65"/>
      <c r="L15" s="71">
        <v>2024</v>
      </c>
      <c r="M15" s="9" t="s">
        <v>9</v>
      </c>
      <c r="N15" s="102">
        <v>98.619329388560146</v>
      </c>
    </row>
    <row r="16" spans="1:14" x14ac:dyDescent="0.25">
      <c r="A16" s="71">
        <v>2024</v>
      </c>
      <c r="B16" s="9" t="s">
        <v>10</v>
      </c>
      <c r="C16" s="9">
        <v>23</v>
      </c>
      <c r="D16" s="81">
        <f t="shared" si="0"/>
        <v>184</v>
      </c>
      <c r="F16" s="68" t="s">
        <v>158</v>
      </c>
      <c r="I16" s="110">
        <v>56212.62</v>
      </c>
      <c r="J16" s="65"/>
      <c r="L16" s="71">
        <v>2024</v>
      </c>
      <c r="M16" s="9" t="s">
        <v>10</v>
      </c>
      <c r="N16" s="102">
        <v>80.586080586080584</v>
      </c>
    </row>
    <row r="17" spans="1:14" x14ac:dyDescent="0.25">
      <c r="A17" s="71">
        <v>2024</v>
      </c>
      <c r="B17" s="9" t="s">
        <v>11</v>
      </c>
      <c r="C17" s="9">
        <v>20</v>
      </c>
      <c r="D17" s="81">
        <f t="shared" si="0"/>
        <v>160</v>
      </c>
      <c r="F17" s="68" t="s">
        <v>159</v>
      </c>
      <c r="I17" s="110">
        <v>12715.75</v>
      </c>
      <c r="J17" s="65"/>
      <c r="L17" s="71">
        <v>2024</v>
      </c>
      <c r="M17" s="9" t="s">
        <v>11</v>
      </c>
      <c r="N17" s="102">
        <v>95.835511413138178</v>
      </c>
    </row>
    <row r="18" spans="1:14" x14ac:dyDescent="0.25">
      <c r="A18" s="71">
        <v>2024</v>
      </c>
      <c r="B18" s="9" t="s">
        <v>12</v>
      </c>
      <c r="C18" s="9">
        <v>23</v>
      </c>
      <c r="D18" s="81">
        <f t="shared" si="0"/>
        <v>184</v>
      </c>
      <c r="F18" s="68" t="s">
        <v>160</v>
      </c>
      <c r="I18" s="110">
        <v>2782.9</v>
      </c>
      <c r="J18" s="65"/>
      <c r="L18" s="71">
        <v>2024</v>
      </c>
      <c r="M18" s="9" t="s">
        <v>12</v>
      </c>
      <c r="N18" s="102">
        <v>79.034344014944665</v>
      </c>
    </row>
    <row r="19" spans="1:14" x14ac:dyDescent="0.25">
      <c r="A19" s="71">
        <v>2024</v>
      </c>
      <c r="B19" s="9" t="s">
        <v>13</v>
      </c>
      <c r="C19" s="9">
        <v>22</v>
      </c>
      <c r="D19" s="81">
        <f t="shared" si="0"/>
        <v>176</v>
      </c>
      <c r="F19" s="68" t="s">
        <v>76</v>
      </c>
      <c r="G19" s="95">
        <v>0</v>
      </c>
      <c r="H19" s="95">
        <f>(58028.52/(9.5/12))</f>
        <v>73299.183157894731</v>
      </c>
      <c r="I19" s="95">
        <v>78307.73</v>
      </c>
      <c r="J19" s="96">
        <v>81000</v>
      </c>
      <c r="L19" s="71">
        <v>2024</v>
      </c>
      <c r="M19" s="9" t="s">
        <v>13</v>
      </c>
      <c r="N19" s="102">
        <v>104.16666666666667</v>
      </c>
    </row>
    <row r="20" spans="1:14" x14ac:dyDescent="0.25">
      <c r="A20" s="71">
        <v>2024</v>
      </c>
      <c r="B20" s="9" t="s">
        <v>14</v>
      </c>
      <c r="C20" s="9">
        <v>21</v>
      </c>
      <c r="D20" s="81">
        <f t="shared" si="0"/>
        <v>168</v>
      </c>
      <c r="F20" s="68" t="s">
        <v>57</v>
      </c>
      <c r="G20" s="95">
        <v>148286.24</v>
      </c>
      <c r="H20" s="95">
        <v>168670.09</v>
      </c>
      <c r="I20" s="95">
        <v>192087.13</v>
      </c>
      <c r="J20" s="96">
        <v>210000</v>
      </c>
      <c r="L20" s="71">
        <v>2024</v>
      </c>
      <c r="M20" s="9" t="s">
        <v>14</v>
      </c>
      <c r="N20" s="102">
        <v>149.65986394557822</v>
      </c>
    </row>
    <row r="21" spans="1:14" x14ac:dyDescent="0.25">
      <c r="A21" s="71">
        <v>2024</v>
      </c>
      <c r="B21" s="9" t="s">
        <v>15</v>
      </c>
      <c r="C21" s="9">
        <v>23</v>
      </c>
      <c r="D21" s="81">
        <f t="shared" si="0"/>
        <v>184</v>
      </c>
      <c r="F21" s="68" t="s">
        <v>161</v>
      </c>
      <c r="I21" s="110">
        <v>83316.89</v>
      </c>
      <c r="J21" s="65"/>
      <c r="L21" s="71">
        <v>2024</v>
      </c>
      <c r="M21" s="9" t="s">
        <v>15</v>
      </c>
      <c r="N21" s="102">
        <v>152.4390243902439</v>
      </c>
    </row>
    <row r="22" spans="1:14" x14ac:dyDescent="0.25">
      <c r="A22" s="71">
        <v>2024</v>
      </c>
      <c r="B22" s="9" t="s">
        <v>16</v>
      </c>
      <c r="C22" s="9">
        <v>21</v>
      </c>
      <c r="D22" s="81">
        <f t="shared" si="0"/>
        <v>168</v>
      </c>
      <c r="F22" s="68" t="s">
        <v>162</v>
      </c>
      <c r="I22" s="110">
        <v>4526.1899999999996</v>
      </c>
      <c r="J22" s="65"/>
      <c r="L22" s="71">
        <v>2024</v>
      </c>
      <c r="M22" s="9" t="s">
        <v>16</v>
      </c>
      <c r="N22" s="102">
        <v>119.12497292614252</v>
      </c>
    </row>
    <row r="23" spans="1:14" x14ac:dyDescent="0.25">
      <c r="A23" s="71">
        <v>2024</v>
      </c>
      <c r="B23" s="9" t="s">
        <v>17</v>
      </c>
      <c r="C23" s="9">
        <v>22</v>
      </c>
      <c r="D23" s="81">
        <f t="shared" si="0"/>
        <v>176</v>
      </c>
      <c r="F23" s="68" t="s">
        <v>54</v>
      </c>
      <c r="G23" s="95">
        <v>118989.26</v>
      </c>
      <c r="H23" s="95">
        <v>134499.99</v>
      </c>
      <c r="I23" s="95">
        <v>171799.06</v>
      </c>
      <c r="J23" s="96">
        <v>189625</v>
      </c>
      <c r="L23" s="71">
        <v>2024</v>
      </c>
      <c r="M23" s="9" t="s">
        <v>17</v>
      </c>
      <c r="N23" s="102">
        <v>97.777777777777771</v>
      </c>
    </row>
    <row r="24" spans="1:14" x14ac:dyDescent="0.25">
      <c r="A24" s="71">
        <v>2025</v>
      </c>
      <c r="B24" s="9" t="s">
        <v>6</v>
      </c>
      <c r="C24" s="9">
        <v>23</v>
      </c>
      <c r="D24" s="81">
        <f t="shared" si="0"/>
        <v>184</v>
      </c>
      <c r="F24" s="68" t="s">
        <v>163</v>
      </c>
      <c r="I24" s="110">
        <v>4533.22</v>
      </c>
      <c r="J24" s="65"/>
      <c r="L24" s="71">
        <v>2025</v>
      </c>
      <c r="M24" s="9" t="s">
        <v>6</v>
      </c>
      <c r="N24" s="102">
        <v>99.547511312217196</v>
      </c>
    </row>
    <row r="25" spans="1:14" x14ac:dyDescent="0.25">
      <c r="A25" s="71">
        <v>2025</v>
      </c>
      <c r="B25" s="9" t="s">
        <v>7</v>
      </c>
      <c r="C25" s="9">
        <v>20</v>
      </c>
      <c r="D25" s="81">
        <f t="shared" si="0"/>
        <v>160</v>
      </c>
      <c r="F25" s="68" t="s">
        <v>164</v>
      </c>
      <c r="I25" s="110">
        <v>65247.29</v>
      </c>
      <c r="J25" s="65"/>
      <c r="L25" s="71">
        <v>2025</v>
      </c>
      <c r="M25" s="9" t="s">
        <v>7</v>
      </c>
      <c r="N25" s="102">
        <v>73.627844712182053</v>
      </c>
    </row>
    <row r="26" spans="1:14" x14ac:dyDescent="0.25">
      <c r="A26" s="71">
        <v>2025</v>
      </c>
      <c r="B26" s="9" t="s">
        <v>8</v>
      </c>
      <c r="C26" s="9">
        <v>21</v>
      </c>
      <c r="D26" s="81">
        <f t="shared" si="0"/>
        <v>168</v>
      </c>
      <c r="F26" s="68" t="s">
        <v>165</v>
      </c>
      <c r="I26" s="110">
        <v>220.59</v>
      </c>
      <c r="J26" s="65"/>
      <c r="L26" s="71">
        <v>2025</v>
      </c>
      <c r="M26" s="9" t="s">
        <v>8</v>
      </c>
      <c r="N26" s="102">
        <v>79.42238267148015</v>
      </c>
    </row>
    <row r="27" spans="1:14" x14ac:dyDescent="0.25">
      <c r="A27" s="71">
        <v>2025</v>
      </c>
      <c r="B27" s="9" t="s">
        <v>9</v>
      </c>
      <c r="C27" s="9">
        <v>22</v>
      </c>
      <c r="D27" s="81">
        <f t="shared" si="0"/>
        <v>176</v>
      </c>
      <c r="F27" s="68" t="s">
        <v>166</v>
      </c>
      <c r="I27" s="110">
        <v>19807.72</v>
      </c>
      <c r="J27" s="65"/>
      <c r="L27" s="71">
        <v>2025</v>
      </c>
      <c r="M27" s="9" t="s">
        <v>9</v>
      </c>
      <c r="N27" s="102">
        <v>108.91089108910892</v>
      </c>
    </row>
    <row r="28" spans="1:14" x14ac:dyDescent="0.25">
      <c r="A28" s="71">
        <v>2025</v>
      </c>
      <c r="B28" s="9" t="s">
        <v>10</v>
      </c>
      <c r="C28" s="9">
        <v>22</v>
      </c>
      <c r="D28" s="81">
        <f t="shared" si="0"/>
        <v>176</v>
      </c>
      <c r="F28" s="68" t="s">
        <v>167</v>
      </c>
      <c r="I28" s="110">
        <v>11359.63</v>
      </c>
      <c r="J28" s="65"/>
      <c r="L28" s="71">
        <v>2025</v>
      </c>
      <c r="M28" s="9" t="s">
        <v>10</v>
      </c>
      <c r="N28" s="102">
        <v>90.415913200723324</v>
      </c>
    </row>
    <row r="29" spans="1:14" x14ac:dyDescent="0.25">
      <c r="A29" s="71">
        <v>2025</v>
      </c>
      <c r="B29" s="9" t="s">
        <v>11</v>
      </c>
      <c r="C29" s="9">
        <v>21</v>
      </c>
      <c r="D29" s="81">
        <f t="shared" si="0"/>
        <v>168</v>
      </c>
      <c r="F29" s="68" t="s">
        <v>168</v>
      </c>
      <c r="I29" s="110">
        <v>4599.01</v>
      </c>
      <c r="J29" s="65"/>
      <c r="L29" s="71">
        <v>2025</v>
      </c>
      <c r="M29" s="9" t="s">
        <v>11</v>
      </c>
      <c r="N29" s="102">
        <v>73.450854700854705</v>
      </c>
    </row>
    <row r="30" spans="1:14" x14ac:dyDescent="0.25">
      <c r="A30" s="71">
        <v>2025</v>
      </c>
      <c r="B30" s="9" t="s">
        <v>12</v>
      </c>
      <c r="C30" s="9">
        <v>23</v>
      </c>
      <c r="D30" s="81">
        <f t="shared" si="0"/>
        <v>184</v>
      </c>
      <c r="F30" s="68" t="s">
        <v>55</v>
      </c>
      <c r="G30" s="95">
        <v>67634.460000000006</v>
      </c>
      <c r="H30" s="95">
        <v>78771.67</v>
      </c>
      <c r="I30" s="95">
        <v>78492.759999999995</v>
      </c>
      <c r="J30" s="96">
        <v>80000</v>
      </c>
      <c r="L30" s="71">
        <v>2025</v>
      </c>
      <c r="M30" s="9" t="s">
        <v>12</v>
      </c>
      <c r="N30" s="102">
        <v>81.541882876204596</v>
      </c>
    </row>
    <row r="31" spans="1:14" x14ac:dyDescent="0.25">
      <c r="A31" s="71">
        <v>2025</v>
      </c>
      <c r="B31" s="9" t="s">
        <v>13</v>
      </c>
      <c r="C31" s="9">
        <v>21</v>
      </c>
      <c r="D31" s="81">
        <f t="shared" si="0"/>
        <v>168</v>
      </c>
      <c r="F31" s="68" t="s">
        <v>74</v>
      </c>
      <c r="G31" s="95">
        <v>0</v>
      </c>
      <c r="H31" s="95">
        <v>49157.16</v>
      </c>
      <c r="I31" s="95">
        <v>59850</v>
      </c>
      <c r="J31" s="96">
        <v>65000</v>
      </c>
      <c r="L31" s="71">
        <v>2025</v>
      </c>
      <c r="M31" s="9" t="s">
        <v>13</v>
      </c>
      <c r="N31" s="102">
        <v>79.159470351180204</v>
      </c>
    </row>
    <row r="32" spans="1:14" x14ac:dyDescent="0.25">
      <c r="A32" s="71">
        <v>2025</v>
      </c>
      <c r="B32" s="9" t="s">
        <v>14</v>
      </c>
      <c r="C32" s="9">
        <v>22</v>
      </c>
      <c r="D32" s="81">
        <f t="shared" si="0"/>
        <v>176</v>
      </c>
      <c r="F32" s="68" t="s">
        <v>169</v>
      </c>
      <c r="I32" s="110">
        <v>117507.73</v>
      </c>
      <c r="J32" s="65"/>
      <c r="L32" s="71">
        <v>2025</v>
      </c>
      <c r="M32" s="9" t="s">
        <v>14</v>
      </c>
      <c r="N32" s="102">
        <v>76.762037683182129</v>
      </c>
    </row>
    <row r="33" spans="1:14" x14ac:dyDescent="0.25">
      <c r="A33" s="71">
        <v>2025</v>
      </c>
      <c r="B33" s="9" t="s">
        <v>15</v>
      </c>
      <c r="C33" s="9">
        <v>23</v>
      </c>
      <c r="D33" s="81">
        <f t="shared" si="0"/>
        <v>184</v>
      </c>
      <c r="F33" s="68" t="s">
        <v>170</v>
      </c>
      <c r="I33" s="110">
        <v>10726</v>
      </c>
      <c r="J33" s="65"/>
      <c r="L33" s="71">
        <v>2025</v>
      </c>
      <c r="M33" s="9" t="s">
        <v>15</v>
      </c>
      <c r="N33" s="102">
        <v>80.093199359254399</v>
      </c>
    </row>
    <row r="34" spans="1:14" x14ac:dyDescent="0.25">
      <c r="A34" s="71">
        <v>2025</v>
      </c>
      <c r="B34" s="9" t="s">
        <v>16</v>
      </c>
      <c r="C34" s="9">
        <v>20</v>
      </c>
      <c r="D34" s="81">
        <f t="shared" si="0"/>
        <v>160</v>
      </c>
      <c r="F34" s="68" t="s">
        <v>171</v>
      </c>
      <c r="I34" s="110">
        <v>8947.31</v>
      </c>
      <c r="J34" s="65"/>
      <c r="L34" s="71">
        <v>2025</v>
      </c>
      <c r="M34" s="9" t="s">
        <v>16</v>
      </c>
      <c r="N34" s="102">
        <v>86.614173228346459</v>
      </c>
    </row>
    <row r="35" spans="1:14" x14ac:dyDescent="0.25">
      <c r="A35" s="71">
        <v>2025</v>
      </c>
      <c r="B35" s="9" t="s">
        <v>17</v>
      </c>
      <c r="C35" s="9">
        <v>23</v>
      </c>
      <c r="D35" s="81">
        <f t="shared" si="0"/>
        <v>184</v>
      </c>
      <c r="F35" s="68" t="s">
        <v>172</v>
      </c>
      <c r="I35" s="110">
        <v>14502.31</v>
      </c>
      <c r="J35" s="65"/>
      <c r="L35" s="71">
        <v>2025</v>
      </c>
      <c r="M35" s="9" t="s">
        <v>17</v>
      </c>
      <c r="N35" s="102">
        <v>118.93203883495146</v>
      </c>
    </row>
    <row r="36" spans="1:14" x14ac:dyDescent="0.25">
      <c r="A36" s="71">
        <v>2026</v>
      </c>
      <c r="B36" s="9" t="s">
        <v>6</v>
      </c>
      <c r="C36" s="9">
        <v>22</v>
      </c>
      <c r="D36" s="81">
        <f t="shared" si="0"/>
        <v>176</v>
      </c>
      <c r="F36" s="68" t="s">
        <v>56</v>
      </c>
      <c r="G36" s="95">
        <v>70134.600000000006</v>
      </c>
      <c r="H36" s="95">
        <v>89403.83</v>
      </c>
      <c r="I36" s="95">
        <v>91374.399999999994</v>
      </c>
      <c r="J36" s="96">
        <v>96000</v>
      </c>
      <c r="L36" s="71">
        <v>2026</v>
      </c>
      <c r="M36" s="9" t="s">
        <v>6</v>
      </c>
      <c r="N36" s="102">
        <v>100.82150858849887</v>
      </c>
    </row>
    <row r="37" spans="1:14" x14ac:dyDescent="0.25">
      <c r="A37" s="71">
        <v>2026</v>
      </c>
      <c r="B37" s="9" t="s">
        <v>7</v>
      </c>
      <c r="C37" s="9">
        <v>20</v>
      </c>
      <c r="D37" s="81">
        <f t="shared" si="0"/>
        <v>160</v>
      </c>
      <c r="F37" s="68" t="s">
        <v>75</v>
      </c>
      <c r="G37" s="95">
        <f>2750*24</f>
        <v>66000</v>
      </c>
      <c r="H37" s="95">
        <f>2750*24</f>
        <v>66000</v>
      </c>
      <c r="I37" s="95">
        <f>(3000*23)+3375</f>
        <v>72375</v>
      </c>
      <c r="J37" s="96">
        <f>3375*24</f>
        <v>81000</v>
      </c>
      <c r="L37" s="71">
        <v>2026</v>
      </c>
      <c r="M37" s="9" t="s">
        <v>7</v>
      </c>
      <c r="N37" s="102">
        <v>99.206349206349202</v>
      </c>
    </row>
    <row r="38" spans="1:14" x14ac:dyDescent="0.25">
      <c r="A38" s="71">
        <v>2026</v>
      </c>
      <c r="B38" s="9" t="s">
        <v>8</v>
      </c>
      <c r="C38" s="9">
        <v>22</v>
      </c>
      <c r="D38" s="81">
        <f t="shared" si="0"/>
        <v>176</v>
      </c>
      <c r="F38" s="68" t="s">
        <v>173</v>
      </c>
      <c r="I38" s="110">
        <v>5059.17</v>
      </c>
      <c r="J38" s="65"/>
      <c r="L38" s="71">
        <v>2026</v>
      </c>
      <c r="M38" s="9" t="s">
        <v>8</v>
      </c>
      <c r="N38" s="102">
        <v>89.689077863406851</v>
      </c>
    </row>
    <row r="39" spans="1:14" x14ac:dyDescent="0.25">
      <c r="A39" s="71">
        <v>2026</v>
      </c>
      <c r="B39" s="9" t="s">
        <v>9</v>
      </c>
      <c r="C39" s="9">
        <v>22</v>
      </c>
      <c r="D39" s="81">
        <f t="shared" si="0"/>
        <v>176</v>
      </c>
      <c r="F39" s="68" t="s">
        <v>174</v>
      </c>
      <c r="I39" s="110">
        <v>1375.74</v>
      </c>
      <c r="J39" s="65"/>
      <c r="L39" s="71">
        <v>2026</v>
      </c>
      <c r="M39" s="9" t="s">
        <v>9</v>
      </c>
      <c r="N39" s="102">
        <v>99.896403729465746</v>
      </c>
    </row>
    <row r="40" spans="1:14" x14ac:dyDescent="0.25">
      <c r="A40" s="71">
        <v>2026</v>
      </c>
      <c r="B40" s="9" t="s">
        <v>10</v>
      </c>
      <c r="C40" s="9">
        <v>21</v>
      </c>
      <c r="D40" s="81">
        <f t="shared" si="0"/>
        <v>168</v>
      </c>
      <c r="F40" s="68" t="s">
        <v>61</v>
      </c>
      <c r="G40" s="95">
        <v>54586.61</v>
      </c>
      <c r="H40" s="95">
        <v>68442.31</v>
      </c>
      <c r="I40" s="95">
        <v>76312.09</v>
      </c>
      <c r="J40" s="96">
        <v>80000</v>
      </c>
      <c r="L40" s="71">
        <v>2026</v>
      </c>
      <c r="M40" s="9" t="s">
        <v>10</v>
      </c>
      <c r="N40" s="102">
        <v>95.460330929147204</v>
      </c>
    </row>
    <row r="41" spans="1:14" x14ac:dyDescent="0.25">
      <c r="A41" s="71">
        <v>2026</v>
      </c>
      <c r="B41" s="9" t="s">
        <v>11</v>
      </c>
      <c r="C41" s="9">
        <v>22</v>
      </c>
      <c r="D41" s="81">
        <f t="shared" si="0"/>
        <v>176</v>
      </c>
      <c r="F41" s="68" t="s">
        <v>175</v>
      </c>
      <c r="I41" s="110">
        <v>40670.050000000003</v>
      </c>
      <c r="J41" s="65"/>
      <c r="L41" s="71">
        <v>2026</v>
      </c>
      <c r="M41" s="9" t="s">
        <v>11</v>
      </c>
      <c r="N41" s="102">
        <v>142.85714285714286</v>
      </c>
    </row>
    <row r="42" spans="1:14" x14ac:dyDescent="0.25">
      <c r="A42" s="71">
        <v>2026</v>
      </c>
      <c r="B42" s="9" t="s">
        <v>12</v>
      </c>
      <c r="C42" s="9">
        <v>23</v>
      </c>
      <c r="D42" s="81">
        <f t="shared" si="0"/>
        <v>184</v>
      </c>
      <c r="F42" s="68" t="s">
        <v>176</v>
      </c>
      <c r="I42" s="110">
        <v>66222.22</v>
      </c>
      <c r="J42" s="65"/>
      <c r="L42" s="71">
        <v>2026</v>
      </c>
      <c r="M42" s="9" t="s">
        <v>12</v>
      </c>
      <c r="N42" s="102">
        <v>108.88853040813034</v>
      </c>
    </row>
    <row r="43" spans="1:14" x14ac:dyDescent="0.25">
      <c r="A43" s="71">
        <v>2026</v>
      </c>
      <c r="B43" s="9" t="s">
        <v>13</v>
      </c>
      <c r="C43" s="9">
        <v>22</v>
      </c>
      <c r="D43" s="81">
        <f t="shared" si="0"/>
        <v>176</v>
      </c>
      <c r="F43" s="68" t="s">
        <v>177</v>
      </c>
      <c r="I43" s="110">
        <v>68284.800000000003</v>
      </c>
      <c r="J43" s="65"/>
      <c r="L43" s="68"/>
      <c r="N43" s="65"/>
    </row>
    <row r="44" spans="1:14" x14ac:dyDescent="0.25">
      <c r="A44" s="118"/>
      <c r="B44" s="119"/>
      <c r="C44" s="119"/>
      <c r="D44" s="120"/>
      <c r="F44" s="68" t="s">
        <v>178</v>
      </c>
      <c r="I44" s="110">
        <v>3001.55</v>
      </c>
      <c r="J44" s="65"/>
      <c r="L44" s="87"/>
      <c r="M44" s="88"/>
      <c r="N44" s="89"/>
    </row>
    <row r="45" spans="1:14" x14ac:dyDescent="0.25">
      <c r="F45" s="68" t="s">
        <v>179</v>
      </c>
      <c r="I45" s="110">
        <v>8988.92</v>
      </c>
      <c r="J45" s="65"/>
    </row>
    <row r="46" spans="1:14" x14ac:dyDescent="0.25">
      <c r="F46" s="68" t="s">
        <v>180</v>
      </c>
      <c r="I46" s="110">
        <v>23538.44</v>
      </c>
      <c r="J46" s="65"/>
    </row>
    <row r="47" spans="1:14" x14ac:dyDescent="0.25">
      <c r="F47" s="68" t="s">
        <v>181</v>
      </c>
      <c r="I47" s="110">
        <v>18563.16</v>
      </c>
      <c r="J47" s="65"/>
    </row>
    <row r="48" spans="1:14" x14ac:dyDescent="0.25">
      <c r="F48" s="68" t="s">
        <v>182</v>
      </c>
      <c r="I48" s="110">
        <v>112467.42</v>
      </c>
      <c r="J48" s="65"/>
    </row>
    <row r="49" spans="6:10" x14ac:dyDescent="0.25">
      <c r="F49" s="68" t="s">
        <v>183</v>
      </c>
      <c r="I49" s="110">
        <v>41192.269999999997</v>
      </c>
      <c r="J49" s="65"/>
    </row>
    <row r="50" spans="6:10" x14ac:dyDescent="0.25">
      <c r="F50" s="68" t="s">
        <v>58</v>
      </c>
      <c r="G50" s="95">
        <f>(49250/(9.5/12))</f>
        <v>62210.526315789473</v>
      </c>
      <c r="H50" s="95">
        <v>71346.13</v>
      </c>
      <c r="I50" s="95">
        <v>71317.16</v>
      </c>
      <c r="J50" s="96">
        <v>77000</v>
      </c>
    </row>
    <row r="51" spans="6:10" x14ac:dyDescent="0.25">
      <c r="F51" s="68" t="s">
        <v>184</v>
      </c>
      <c r="I51" s="110">
        <v>13965.95</v>
      </c>
      <c r="J51" s="65"/>
    </row>
    <row r="52" spans="6:10" x14ac:dyDescent="0.25">
      <c r="F52" s="68" t="s">
        <v>185</v>
      </c>
      <c r="I52" s="110">
        <v>6085.9</v>
      </c>
      <c r="J52" s="65"/>
    </row>
    <row r="53" spans="6:10" x14ac:dyDescent="0.25">
      <c r="F53" s="68" t="s">
        <v>186</v>
      </c>
      <c r="G53" s="95"/>
      <c r="H53" s="95"/>
      <c r="I53" s="95">
        <v>0</v>
      </c>
      <c r="J53" s="96"/>
    </row>
    <row r="54" spans="6:10" x14ac:dyDescent="0.25">
      <c r="F54" s="87" t="s">
        <v>187</v>
      </c>
      <c r="G54" s="88"/>
      <c r="H54" s="88"/>
      <c r="I54" s="97">
        <v>83316.89</v>
      </c>
      <c r="J54" s="89"/>
    </row>
  </sheetData>
  <mergeCells count="4">
    <mergeCell ref="A1:B1"/>
    <mergeCell ref="A7:D7"/>
    <mergeCell ref="F7:J7"/>
    <mergeCell ref="L7:N7"/>
  </mergeCells>
  <phoneticPr fontId="3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8E6D7-3F1F-4887-9BB2-DC8CA38C2548}">
  <dimension ref="A1:D7"/>
  <sheetViews>
    <sheetView workbookViewId="0">
      <selection activeCell="D5" sqref="D5"/>
    </sheetView>
  </sheetViews>
  <sheetFormatPr defaultRowHeight="15" x14ac:dyDescent="0.25"/>
  <cols>
    <col min="2" max="3" width="11.5703125" bestFit="1" customWidth="1"/>
    <col min="4" max="4" width="13.42578125" bestFit="1" customWidth="1"/>
  </cols>
  <sheetData>
    <row r="1" spans="1:4" x14ac:dyDescent="0.25">
      <c r="A1" s="10" t="s">
        <v>0</v>
      </c>
      <c r="B1" s="10" t="s">
        <v>102</v>
      </c>
      <c r="C1" s="10" t="s">
        <v>97</v>
      </c>
      <c r="D1" s="10" t="s">
        <v>100</v>
      </c>
    </row>
    <row r="2" spans="1:4" x14ac:dyDescent="0.25">
      <c r="A2" s="61" t="s">
        <v>21</v>
      </c>
      <c r="B2" s="98">
        <f>SUM('D-AM'!B11:AF11)</f>
        <v>668909.02000000014</v>
      </c>
      <c r="C2" s="98">
        <f>SUM('D-AM'!B10:AF10)</f>
        <v>506630.93772485771</v>
      </c>
      <c r="D2" s="98">
        <f>C2-B2</f>
        <v>-162278.08227514243</v>
      </c>
    </row>
    <row r="3" spans="1:4" x14ac:dyDescent="0.25">
      <c r="A3" s="61" t="s">
        <v>18</v>
      </c>
      <c r="B3" s="98">
        <f>SUM(Hybrid!B28:AH28)</f>
        <v>512509.12000000005</v>
      </c>
      <c r="C3" s="98">
        <f>SUM(Hybrid!B27:AH27)</f>
        <v>253639.055804045</v>
      </c>
      <c r="D3" s="98">
        <f t="shared" ref="D3:D4" si="0">C3-B3</f>
        <v>-258870.06419595506</v>
      </c>
    </row>
    <row r="4" spans="1:4" x14ac:dyDescent="0.25">
      <c r="A4" s="61" t="s">
        <v>22</v>
      </c>
      <c r="B4" s="98">
        <f>SUM(LTM!B11:W11)</f>
        <v>164857.44</v>
      </c>
      <c r="C4" s="98">
        <f>SUM(LTM!B10:W10)</f>
        <v>142280.20255634456</v>
      </c>
      <c r="D4" s="98">
        <f t="shared" si="0"/>
        <v>-22577.237443655438</v>
      </c>
    </row>
    <row r="5" spans="1:4" x14ac:dyDescent="0.25">
      <c r="C5" s="121"/>
      <c r="D5" s="114">
        <f>SUM(D2:D4)</f>
        <v>-443725.38391475292</v>
      </c>
    </row>
    <row r="7" spans="1:4" x14ac:dyDescent="0.25">
      <c r="B7" s="9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85B38-53DE-46F3-988F-CB7B1F64199F}">
  <dimension ref="A1:AG14"/>
  <sheetViews>
    <sheetView topLeftCell="B1" workbookViewId="0"/>
  </sheetViews>
  <sheetFormatPr defaultRowHeight="15" x14ac:dyDescent="0.25"/>
  <cols>
    <col min="1" max="1" width="17" bestFit="1" customWidth="1"/>
    <col min="2" max="22" width="11.28515625" bestFit="1" customWidth="1"/>
    <col min="23" max="23" width="10.5703125" bestFit="1" customWidth="1"/>
    <col min="24" max="25" width="10.42578125" bestFit="1" customWidth="1"/>
    <col min="26" max="28" width="10.5703125" bestFit="1" customWidth="1"/>
    <col min="29" max="29" width="11.28515625" bestFit="1" customWidth="1"/>
    <col min="30" max="30" width="10.5703125" bestFit="1" customWidth="1"/>
    <col min="31" max="31" width="11.28515625" bestFit="1" customWidth="1"/>
    <col min="32" max="32" width="10.5703125" bestFit="1" customWidth="1"/>
    <col min="33" max="33" width="12.28515625" bestFit="1" customWidth="1"/>
  </cols>
  <sheetData>
    <row r="1" spans="1:33" s="61" customFormat="1" x14ac:dyDescent="0.25">
      <c r="B1" s="135">
        <v>2024</v>
      </c>
      <c r="C1" s="128"/>
      <c r="D1" s="128"/>
      <c r="E1" s="128"/>
      <c r="F1" s="128"/>
      <c r="G1" s="128"/>
      <c r="H1" s="128"/>
      <c r="I1" s="128"/>
      <c r="J1" s="128"/>
      <c r="K1" s="128"/>
      <c r="L1" s="128"/>
      <c r="M1" s="136"/>
      <c r="N1" s="135">
        <v>2025</v>
      </c>
      <c r="O1" s="128"/>
      <c r="P1" s="128"/>
      <c r="Q1" s="128"/>
      <c r="R1" s="128"/>
      <c r="S1" s="128"/>
      <c r="T1" s="128"/>
      <c r="U1" s="128"/>
      <c r="V1" s="128"/>
      <c r="W1" s="128"/>
      <c r="X1" s="128"/>
      <c r="Y1" s="136"/>
      <c r="Z1" s="128">
        <v>2026</v>
      </c>
      <c r="AA1" s="128"/>
      <c r="AB1" s="128"/>
      <c r="AC1" s="128"/>
      <c r="AD1" s="128"/>
      <c r="AE1" s="128"/>
      <c r="AF1" s="128"/>
    </row>
    <row r="2" spans="1:33" s="61" customFormat="1" x14ac:dyDescent="0.25">
      <c r="A2" s="62" t="s">
        <v>3</v>
      </c>
      <c r="B2" s="70" t="s">
        <v>6</v>
      </c>
      <c r="C2" s="10" t="s">
        <v>7</v>
      </c>
      <c r="D2" s="10" t="s">
        <v>8</v>
      </c>
      <c r="E2" s="10" t="s">
        <v>9</v>
      </c>
      <c r="F2" s="10" t="s">
        <v>10</v>
      </c>
      <c r="G2" s="10" t="s">
        <v>11</v>
      </c>
      <c r="H2" s="10" t="s">
        <v>12</v>
      </c>
      <c r="I2" s="10" t="s">
        <v>13</v>
      </c>
      <c r="J2" s="10" t="s">
        <v>14</v>
      </c>
      <c r="K2" s="10" t="s">
        <v>15</v>
      </c>
      <c r="L2" s="10" t="s">
        <v>16</v>
      </c>
      <c r="M2" s="117" t="s">
        <v>17</v>
      </c>
      <c r="N2" s="70" t="s">
        <v>6</v>
      </c>
      <c r="O2" s="10" t="s">
        <v>7</v>
      </c>
      <c r="P2" s="10" t="s">
        <v>8</v>
      </c>
      <c r="Q2" s="10" t="s">
        <v>9</v>
      </c>
      <c r="R2" s="10" t="s">
        <v>10</v>
      </c>
      <c r="S2" s="10" t="s">
        <v>11</v>
      </c>
      <c r="T2" s="10" t="s">
        <v>12</v>
      </c>
      <c r="U2" s="10" t="s">
        <v>13</v>
      </c>
      <c r="V2" s="10" t="s">
        <v>14</v>
      </c>
      <c r="W2" s="10" t="s">
        <v>15</v>
      </c>
      <c r="X2" s="10" t="s">
        <v>16</v>
      </c>
      <c r="Y2" s="117" t="s">
        <v>17</v>
      </c>
      <c r="Z2" s="10" t="s">
        <v>6</v>
      </c>
      <c r="AA2" s="10" t="s">
        <v>7</v>
      </c>
      <c r="AB2" s="10" t="s">
        <v>8</v>
      </c>
      <c r="AC2" s="10" t="s">
        <v>9</v>
      </c>
      <c r="AD2" s="10" t="s">
        <v>10</v>
      </c>
      <c r="AE2" s="10" t="s">
        <v>11</v>
      </c>
      <c r="AF2" s="10" t="s">
        <v>12</v>
      </c>
    </row>
    <row r="3" spans="1:33" x14ac:dyDescent="0.25">
      <c r="A3" t="s">
        <v>76</v>
      </c>
      <c r="B3" s="112" cm="1">
        <f t="array" ref="B3">SUMPRODUCT(('Hours Log'!$A$2:$A$980=$A3)*('Hours Log'!$B$2:$B$980=B$2)*('Hours Log'!$C$2:$C$980=LOOKUP(2,1/($A$1:B$1&lt;&gt;""),$A$1:B$1))*'Hours Log'!$F$2:$F$980*'Hours Log'!$AJ$2:$AJ$980)</f>
        <v>0</v>
      </c>
      <c r="C3" s="110" cm="1">
        <f t="array" ref="C3">SUMPRODUCT(('Hours Log'!$A$2:$A$980=$A3)*('Hours Log'!$B$2:$B$980=C$2)*('Hours Log'!$C$2:$C$980=LOOKUP(2,1/($A$1:C$1&lt;&gt;""),$A$1:C$1))*'Hours Log'!$F$2:$F$980*'Hours Log'!$AJ$2:$AJ$980)</f>
        <v>0</v>
      </c>
      <c r="D3" s="110" cm="1">
        <f t="array" ref="D3">SUMPRODUCT(('Hours Log'!$A$2:$A$980=$A3)*('Hours Log'!$B$2:$B$980=D$2)*('Hours Log'!$C$2:$C$980=LOOKUP(2,1/($A$1:D$1&lt;&gt;""),$A$1:D$1))*'Hours Log'!$F$2:$F$980*'Hours Log'!$AJ$2:$AJ$980)</f>
        <v>3358.5121883076918</v>
      </c>
      <c r="E3" s="110" cm="1">
        <f t="array" ref="E3">SUMPRODUCT(('Hours Log'!$A$2:$A$980=$A3)*('Hours Log'!$B$2:$B$980=E$2)*('Hours Log'!$C$2:$C$980=LOOKUP(2,1/($A$1:E$1&lt;&gt;""),$A$1:E$1))*'Hours Log'!$F$2:$F$980*'Hours Log'!$AJ$2:$AJ$980)</f>
        <v>7388.7268142769226</v>
      </c>
      <c r="F3" s="110" cm="1">
        <f t="array" ref="F3">SUMPRODUCT(('Hours Log'!$A$2:$A$980=$A3)*('Hours Log'!$B$2:$B$980=F$2)*('Hours Log'!$C$2:$C$980=LOOKUP(2,1/($A$1:F$1&lt;&gt;""),$A$1:F$1))*'Hours Log'!$F$2:$F$980*'Hours Log'!$AJ$2:$AJ$980)</f>
        <v>7724.5780331076912</v>
      </c>
      <c r="G3" s="110" cm="1">
        <f t="array" ref="G3">SUMPRODUCT(('Hours Log'!$A$2:$A$980=$A3)*('Hours Log'!$B$2:$B$980=G$2)*('Hours Log'!$C$2:$C$980=LOOKUP(2,1/($A$1:G$1&lt;&gt;""),$A$1:G$1))*'Hours Log'!$F$2:$F$980*'Hours Log'!$AJ$2:$AJ$980)</f>
        <v>6717.0243766153835</v>
      </c>
      <c r="H3" s="110" cm="1">
        <f t="array" ref="H3">SUMPRODUCT(('Hours Log'!$A$2:$A$980=$A3)*('Hours Log'!$B$2:$B$980=H$2)*('Hours Log'!$C$2:$C$980=LOOKUP(2,1/($A$1:H$1&lt;&gt;""),$A$1:H$1))*'Hours Log'!$F$2:$F$980*'Hours Log'!$AJ$2:$AJ$980)</f>
        <v>7724.5780331076912</v>
      </c>
      <c r="I3" s="110" cm="1">
        <f t="array" ref="I3">SUMPRODUCT(('Hours Log'!$A$2:$A$980=$A3)*('Hours Log'!$B$2:$B$980=I$2)*('Hours Log'!$C$2:$C$980=LOOKUP(2,1/($A$1:I$1&lt;&gt;""),$A$1:I$1))*'Hours Log'!$F$2:$F$980*'Hours Log'!$AJ$2:$AJ$980)</f>
        <v>7388.7268142769226</v>
      </c>
      <c r="J3" s="110" cm="1">
        <f t="array" ref="J3">SUMPRODUCT(('Hours Log'!$A$2:$A$980=$A3)*('Hours Log'!$B$2:$B$980=J$2)*('Hours Log'!$C$2:$C$980=LOOKUP(2,1/($A$1:J$1&lt;&gt;""),$A$1:J$1))*'Hours Log'!$F$2:$F$980*'Hours Log'!$AJ$2:$AJ$980)</f>
        <v>7052.8755954461531</v>
      </c>
      <c r="K3" s="110" cm="1">
        <f t="array" ref="K3">SUMPRODUCT(('Hours Log'!$A$2:$A$980=$A3)*('Hours Log'!$B$2:$B$980=K$2)*('Hours Log'!$C$2:$C$980=LOOKUP(2,1/($A$1:K$1&lt;&gt;""),$A$1:K$1))*'Hours Log'!$F$2:$F$980*'Hours Log'!$AJ$2:$AJ$980)</f>
        <v>4221.080892408575</v>
      </c>
      <c r="L3" s="110" cm="1">
        <f t="array" ref="L3">SUMPRODUCT(('Hours Log'!$A$2:$A$980=$A3)*('Hours Log'!$B$2:$B$980=L$2)*('Hours Log'!$C$2:$C$980=LOOKUP(2,1/($A$1:L$1&lt;&gt;""),$A$1:L$1))*'Hours Log'!$F$2:$F$980*'Hours Log'!$AJ$2:$AJ$980)</f>
        <v>3918.2642196923075</v>
      </c>
      <c r="M3" s="111" cm="1">
        <f t="array" ref="M3">SUMPRODUCT(('Hours Log'!$A$2:$A$980=$A3)*('Hours Log'!$B$2:$B$980=M$2)*('Hours Log'!$C$2:$C$980=LOOKUP(2,1/($A$1:M$1&lt;&gt;""),$A$1:M$1))*'Hours Log'!$F$2:$F$980*'Hours Log'!$AJ$2:$AJ$980)</f>
        <v>4104.8482301538461</v>
      </c>
      <c r="N3" s="107" cm="1">
        <f t="array" ref="N3">SUMPRODUCT(('Hours Log'!$A$2:$A$980=$A3)*('Hours Log'!$B$2:$B$980=N$2)*('Hours Log'!$C$2:$C$980=LOOKUP(2,1/($A$1:N$1&lt;&gt;""),$A$1:N$1))*'Hours Log'!$F$2:$F$980*'Hours Log'!$AJ$2:$AJ$980)</f>
        <v>4712.4353714850422</v>
      </c>
      <c r="O3" s="95" cm="1">
        <f t="array" ref="O3">SUMPRODUCT(('Hours Log'!$A$2:$A$980=$A3)*('Hours Log'!$B$2:$B$980=O$2)*('Hours Log'!$C$2:$C$980=LOOKUP(2,1/($A$1:O$1&lt;&gt;""),$A$1:O$1))*'Hours Log'!$F$2:$F$980*'Hours Log'!$AJ$2:$AJ$980)</f>
        <v>3687.9928994230759</v>
      </c>
      <c r="P3" s="95" cm="1">
        <f t="array" ref="P3">SUMPRODUCT(('Hours Log'!$A$2:$A$980=$A3)*('Hours Log'!$B$2:$B$980=P$2)*('Hours Log'!$C$2:$C$980=LOOKUP(2,1/($A$1:P$1&lt;&gt;""),$A$1:P$1))*'Hours Log'!$F$2:$F$980*'Hours Log'!$AJ$2:$AJ$980)</f>
        <v>4302.6583826602555</v>
      </c>
      <c r="Q3" s="95" cm="1">
        <f t="array" ref="Q3">SUMPRODUCT(('Hours Log'!$A$2:$A$980=$A3)*('Hours Log'!$B$2:$B$980=Q$2)*('Hours Log'!$C$2:$C$980=LOOKUP(2,1/($A$1:Q$1&lt;&gt;""),$A$1:Q$1))*'Hours Log'!$F$2:$F$980*'Hours Log'!$AJ$2:$AJ$980)</f>
        <v>4507.5468770726493</v>
      </c>
      <c r="R3" s="95" cm="1">
        <f t="array" ref="R3">SUMPRODUCT(('Hours Log'!$A$2:$A$980=$A3)*('Hours Log'!$B$2:$B$980=R$2)*('Hours Log'!$C$2:$C$980=LOOKUP(2,1/($A$1:R$1&lt;&gt;""),$A$1:R$1))*'Hours Log'!$F$2:$F$980*'Hours Log'!$AJ$2:$AJ$980)</f>
        <v>5201.0156273915181</v>
      </c>
      <c r="S3" s="95" cm="1">
        <f t="array" ref="S3">SUMPRODUCT(('Hours Log'!$A$2:$A$980=$A3)*('Hours Log'!$B$2:$B$980=S$2)*('Hours Log'!$C$2:$C$980=LOOKUP(2,1/($A$1:S$1&lt;&gt;""),$A$1:S$1))*'Hours Log'!$F$2:$F$980*'Hours Log'!$AJ$2:$AJ$980)</f>
        <v>4033.7422337439893</v>
      </c>
      <c r="T3" s="95" cm="1">
        <f t="array" ref="T3">SUMPRODUCT(('Hours Log'!$A$2:$A$980=$A3)*('Hours Log'!$B$2:$B$980=T$2)*('Hours Log'!$C$2:$C$980=LOOKUP(2,1/($A$1:T$1&lt;&gt;""),$A$1:T$1))*'Hours Log'!$F$2:$F$980*'Hours Log'!$AJ$2:$AJ$980)</f>
        <v>4712.4353714850422</v>
      </c>
      <c r="U3" s="95" cm="1">
        <f t="array" ref="U3">SUMPRODUCT(('Hours Log'!$A$2:$A$980=$A3)*('Hours Log'!$B$2:$B$980=U$2)*('Hours Log'!$C$2:$C$980=LOOKUP(2,1/($A$1:U$1&lt;&gt;""),$A$1:U$1))*'Hours Log'!$F$2:$F$980*'Hours Log'!$AJ$2:$AJ$980)</f>
        <v>4302.6583826602555</v>
      </c>
      <c r="V3" s="95" cm="1">
        <f t="array" ref="V3">SUMPRODUCT(('Hours Log'!$A$2:$A$980=$A3)*('Hours Log'!$B$2:$B$980=V$2)*('Hours Log'!$C$2:$C$980=LOOKUP(2,1/($A$1:V$1&lt;&gt;""),$A$1:V$1))*'Hours Log'!$F$2:$F$980*'Hours Log'!$AJ$2:$AJ$980)</f>
        <v>4507.5468770726493</v>
      </c>
      <c r="W3" s="95" cm="1">
        <f t="array" ref="W3">SUMPRODUCT(('Hours Log'!$A$2:$A$980=$A3)*('Hours Log'!$B$2:$B$980=W$2)*('Hours Log'!$C$2:$C$980=LOOKUP(2,1/($A$1:W$1&lt;&gt;""),$A$1:W$1))*'Hours Log'!$F$2:$F$980*'Hours Log'!$AJ$2:$AJ$980)</f>
        <v>4712.4353714850422</v>
      </c>
      <c r="X3" s="95" cm="1">
        <f t="array" ref="X3">SUMPRODUCT(('Hours Log'!$A$2:$A$980=$A3)*('Hours Log'!$B$2:$B$980=X$2)*('Hours Log'!$C$2:$C$980=LOOKUP(2,1/($A$1:X$1&lt;&gt;""),$A$1:X$1))*'Hours Log'!$F$2:$F$980*'Hours Log'!$AJ$2:$AJ$980)</f>
        <v>4097.7698882478626</v>
      </c>
      <c r="Y3" s="96" cm="1">
        <f t="array" ref="Y3">SUMPRODUCT(('Hours Log'!$A$2:$A$980=$A3)*('Hours Log'!$B$2:$B$980=Y$2)*('Hours Log'!$C$2:$C$980=LOOKUP(2,1/($A$1:Y$1&lt;&gt;""),$A$1:Y$1))*'Hours Log'!$F$2:$F$980*'Hours Log'!$AJ$2:$AJ$980)</f>
        <v>4712.4353714850422</v>
      </c>
      <c r="Z3" s="7" cm="1">
        <f t="array" ref="Z3">SUMPRODUCT(('Hours Log'!$A$2:$A$980=$A3)*('Hours Log'!$B$2:$B$980=Z$2)*('Hours Log'!$C$2:$C$980=LOOKUP(2,1/($A$1:Z$1&lt;&gt;""),$A$1:Z$1))*'Hours Log'!$F$2:$F$980*'Hours Log'!$AJ$2:$AJ$980)</f>
        <v>4707.45</v>
      </c>
      <c r="AA3" s="7" cm="1">
        <f t="array" ref="AA3">SUMPRODUCT(('Hours Log'!$A$2:$A$980=$A3)*('Hours Log'!$B$2:$B$980=AA$2)*('Hours Log'!$C$2:$C$980=LOOKUP(2,1/($A$1:AA$1&lt;&gt;""),$A$1:AA$1))*'Hours Log'!$F$2:$F$980*'Hours Log'!$AJ$2:$AJ$980)</f>
        <v>6124.2037267080732</v>
      </c>
      <c r="AB3" s="7" cm="1">
        <f t="array" ref="AB3">SUMPRODUCT(('Hours Log'!$A$2:$A$980=$A3)*('Hours Log'!$B$2:$B$980=AB$2)*('Hours Log'!$C$2:$C$980=LOOKUP(2,1/($A$1:AB$1&lt;&gt;""),$A$1:AB$1))*'Hours Log'!$F$2:$F$980*'Hours Log'!$AJ$2:$AJ$980)</f>
        <v>6366.2657142857133</v>
      </c>
      <c r="AC3" s="7" cm="1">
        <f t="array" ref="AC3">SUMPRODUCT(('Hours Log'!$A$2:$A$980=$A3)*('Hours Log'!$B$2:$B$980=AC$2)*('Hours Log'!$C$2:$C$980=LOOKUP(2,1/($A$1:AC$1&lt;&gt;""),$A$1:AC$1))*'Hours Log'!$F$2:$F$980*'Hours Log'!$AJ$2:$AJ$980)</f>
        <v>6759.6866292134819</v>
      </c>
      <c r="AD3" s="7" cm="1">
        <f t="array" ref="AD3">SUMPRODUCT(('Hours Log'!$A$2:$A$980=$A3)*('Hours Log'!$B$2:$B$980=AD$2)*('Hours Log'!$C$2:$C$980=LOOKUP(2,1/($A$1:AD$1&lt;&gt;""),$A$1:AD$1))*'Hours Log'!$F$2:$F$980*'Hours Log'!$AJ$2:$AJ$980)</f>
        <v>6179.7903370786516</v>
      </c>
      <c r="AE3" s="7" cm="1">
        <f t="array" ref="AE3">SUMPRODUCT(('Hours Log'!$A$2:$A$980=$A3)*('Hours Log'!$B$2:$B$980=AE$2)*('Hours Log'!$C$2:$C$980=LOOKUP(2,1/($A$1:AE$1&lt;&gt;""),$A$1:AE$1))*'Hours Log'!$F$2:$F$980*'Hours Log'!$AJ$2:$AJ$980)</f>
        <v>6637.5045</v>
      </c>
      <c r="AF3" s="7" cm="1">
        <f t="array" ref="AF3">SUMPRODUCT(('Hours Log'!$A$2:$A$980=$A3)*('Hours Log'!$B$2:$B$980=AF$2)*('Hours Log'!$C$2:$C$980=LOOKUP(2,1/($A$1:AF$1&lt;&gt;""),$A$1:AF$1))*'Hours Log'!$F$2:$F$980*'Hours Log'!$AJ$2:$AJ$980)</f>
        <v>361.57408163265302</v>
      </c>
    </row>
    <row r="4" spans="1:33" x14ac:dyDescent="0.25">
      <c r="A4" t="s">
        <v>55</v>
      </c>
      <c r="B4" s="112" cm="1">
        <f t="array" ref="B4">SUMPRODUCT(('Hours Log'!$A$2:$A$980=$A4)*('Hours Log'!$B$2:$B$980=B$2)*('Hours Log'!$C$2:$C$980=LOOKUP(2,1/($A$1:B$1&lt;&gt;""),$A$1:B$1))*'Hours Log'!$F$2:$F$980*'Hours Log'!$AJ$2:$AJ$980)</f>
        <v>4150.6459246788454</v>
      </c>
      <c r="C4" s="110" cm="1">
        <f t="array" ref="C4">SUMPRODUCT(('Hours Log'!$A$2:$A$980=$A4)*('Hours Log'!$B$2:$B$980=C$2)*('Hours Log'!$C$2:$C$980=LOOKUP(2,1/($A$1:C$1&lt;&gt;""),$A$1:C$1))*'Hours Log'!$F$2:$F$980*'Hours Log'!$AJ$2:$AJ$980)</f>
        <v>3789.7201920980765</v>
      </c>
      <c r="D4" s="110" cm="1">
        <f t="array" ref="D4">SUMPRODUCT(('Hours Log'!$A$2:$A$980=$A4)*('Hours Log'!$B$2:$B$980=D$2)*('Hours Log'!$C$2:$C$980=LOOKUP(2,1/($A$1:D$1&lt;&gt;""),$A$1:D$1))*'Hours Log'!$F$2:$F$980*'Hours Log'!$AJ$2:$AJ$980)</f>
        <v>3789.7201920980765</v>
      </c>
      <c r="E4" s="110" cm="1">
        <f t="array" ref="E4">SUMPRODUCT(('Hours Log'!$A$2:$A$980=$A4)*('Hours Log'!$B$2:$B$980=E$2)*('Hours Log'!$C$2:$C$980=LOOKUP(2,1/($A$1:E$1&lt;&gt;""),$A$1:E$1))*'Hours Log'!$F$2:$F$980*'Hours Log'!$AJ$2:$AJ$980)</f>
        <v>3970.1830583884612</v>
      </c>
      <c r="F4" s="110" cm="1">
        <f t="array" ref="F4">SUMPRODUCT(('Hours Log'!$A$2:$A$980=$A4)*('Hours Log'!$B$2:$B$980=F$2)*('Hours Log'!$C$2:$C$980=LOOKUP(2,1/($A$1:F$1&lt;&gt;""),$A$1:F$1))*'Hours Log'!$F$2:$F$980*'Hours Log'!$AJ$2:$AJ$980)</f>
        <v>4150.6459246788454</v>
      </c>
      <c r="G4" s="110" cm="1">
        <f t="array" ref="G4">SUMPRODUCT(('Hours Log'!$A$2:$A$980=$A4)*('Hours Log'!$B$2:$B$980=G$2)*('Hours Log'!$C$2:$C$980=LOOKUP(2,1/($A$1:G$1&lt;&gt;""),$A$1:G$1))*'Hours Log'!$F$2:$F$980*'Hours Log'!$AJ$2:$AJ$980)</f>
        <v>3609.2573258076918</v>
      </c>
      <c r="H4" s="110" cm="1">
        <f t="array" ref="H4">SUMPRODUCT(('Hours Log'!$A$2:$A$980=$A4)*('Hours Log'!$B$2:$B$980=H$2)*('Hours Log'!$C$2:$C$980=LOOKUP(2,1/($A$1:H$1&lt;&gt;""),$A$1:H$1))*'Hours Log'!$F$2:$F$980*'Hours Log'!$AJ$2:$AJ$980)</f>
        <v>4150.6459246788454</v>
      </c>
      <c r="I4" s="110" cm="1">
        <f t="array" ref="I4">SUMPRODUCT(('Hours Log'!$A$2:$A$980=$A4)*('Hours Log'!$B$2:$B$980=I$2)*('Hours Log'!$C$2:$C$980=LOOKUP(2,1/($A$1:I$1&lt;&gt;""),$A$1:I$1))*'Hours Log'!$F$2:$F$980*'Hours Log'!$AJ$2:$AJ$980)</f>
        <v>3970.1830583884612</v>
      </c>
      <c r="J4" s="110" cm="1">
        <f t="array" ref="J4">SUMPRODUCT(('Hours Log'!$A$2:$A$980=$A4)*('Hours Log'!$B$2:$B$980=J$2)*('Hours Log'!$C$2:$C$980=LOOKUP(2,1/($A$1:J$1&lt;&gt;""),$A$1:J$1))*'Hours Log'!$F$2:$F$980*'Hours Log'!$AJ$2:$AJ$980)</f>
        <v>3789.7201920980765</v>
      </c>
      <c r="K4" s="110" cm="1">
        <f t="array" ref="K4">SUMPRODUCT(('Hours Log'!$A$2:$A$980=$A4)*('Hours Log'!$B$2:$B$980=K$2)*('Hours Log'!$C$2:$C$980=LOOKUP(2,1/($A$1:K$1&lt;&gt;""),$A$1:K$1))*'Hours Log'!$F$2:$F$980*'Hours Log'!$AJ$2:$AJ$980)</f>
        <v>4150.6459246788454</v>
      </c>
      <c r="L4" s="110" cm="1">
        <f t="array" ref="L4">SUMPRODUCT(('Hours Log'!$A$2:$A$980=$A4)*('Hours Log'!$B$2:$B$980=L$2)*('Hours Log'!$C$2:$C$980=LOOKUP(2,1/($A$1:L$1&lt;&gt;""),$A$1:L$1))*'Hours Log'!$F$2:$F$980*'Hours Log'!$AJ$2:$AJ$980)</f>
        <v>3789.7201920980765</v>
      </c>
      <c r="M4" s="111" cm="1">
        <f t="array" ref="M4">SUMPRODUCT(('Hours Log'!$A$2:$A$980=$A4)*('Hours Log'!$B$2:$B$980=M$2)*('Hours Log'!$C$2:$C$980=LOOKUP(2,1/($A$1:M$1&lt;&gt;""),$A$1:M$1))*'Hours Log'!$F$2:$F$980*'Hours Log'!$AJ$2:$AJ$980)</f>
        <v>3970.1830583884612</v>
      </c>
      <c r="N4" s="107" cm="1">
        <f t="array" ref="N4">SUMPRODUCT(('Hours Log'!$A$2:$A$980=$A4)*('Hours Log'!$B$2:$B$980=N$2)*('Hours Log'!$C$2:$C$980=LOOKUP(2,1/($A$1:N$1&lt;&gt;""),$A$1:N$1))*'Hours Log'!$F$2:$F$980*'Hours Log'!$AJ$2:$AJ$980)</f>
        <v>2741.2194184392602</v>
      </c>
      <c r="O4" s="95" cm="1">
        <f t="array" ref="O4">SUMPRODUCT(('Hours Log'!$A$2:$A$980=$A4)*('Hours Log'!$B$2:$B$980=O$2)*('Hours Log'!$C$2:$C$980=LOOKUP(2,1/($A$1:O$1&lt;&gt;""),$A$1:O$1))*'Hours Log'!$F$2:$F$980*'Hours Log'!$AJ$2:$AJ$980)</f>
        <v>3091.7913933706291</v>
      </c>
      <c r="P4" s="95" cm="1">
        <f t="array" ref="P4">SUMPRODUCT(('Hours Log'!$A$2:$A$980=$A4)*('Hours Log'!$B$2:$B$980=P$2)*('Hours Log'!$C$2:$C$980=LOOKUP(2,1/($A$1:P$1&lt;&gt;""),$A$1:P$1))*'Hours Log'!$F$2:$F$980*'Hours Log'!$AJ$2:$AJ$980)</f>
        <v>2642.7523103371518</v>
      </c>
      <c r="Q4" s="95" cm="1">
        <f t="array" ref="Q4">SUMPRODUCT(('Hours Log'!$A$2:$A$980=$A4)*('Hours Log'!$B$2:$B$980=Q$2)*('Hours Log'!$C$2:$C$980=LOOKUP(2,1/($A$1:Q$1&lt;&gt;""),$A$1:Q$1))*'Hours Log'!$F$2:$F$980*'Hours Log'!$AJ$2:$AJ$980)</f>
        <v>2913.8750088416286</v>
      </c>
      <c r="R4" s="95" cm="1">
        <f t="array" ref="R4">SUMPRODUCT(('Hours Log'!$A$2:$A$980=$A4)*('Hours Log'!$B$2:$B$980=R$2)*('Hours Log'!$C$2:$C$980=LOOKUP(2,1/($A$1:R$1&lt;&gt;""),$A$1:R$1))*'Hours Log'!$F$2:$F$980*'Hours Log'!$AJ$2:$AJ$980)</f>
        <v>2193.1026395574763</v>
      </c>
      <c r="S4" s="95" cm="1">
        <f t="array" ref="S4">SUMPRODUCT(('Hours Log'!$A$2:$A$980=$A4)*('Hours Log'!$B$2:$B$980=S$2)*('Hours Log'!$C$2:$C$980=LOOKUP(2,1/($A$1:S$1&lt;&gt;""),$A$1:S$1))*'Hours Log'!$F$2:$F$980*'Hours Log'!$AJ$2:$AJ$980)</f>
        <v>3287.8947860959274</v>
      </c>
      <c r="T4" s="95" cm="1">
        <f t="array" ref="T4">SUMPRODUCT(('Hours Log'!$A$2:$A$980=$A4)*('Hours Log'!$B$2:$B$980=T$2)*('Hours Log'!$C$2:$C$980=LOOKUP(2,1/($A$1:T$1&lt;&gt;""),$A$1:T$1))*'Hours Log'!$F$2:$F$980*'Hours Log'!$AJ$2:$AJ$980)</f>
        <v>2218.0242604615382</v>
      </c>
      <c r="U4" s="95" cm="1">
        <f t="array" ref="U4">SUMPRODUCT(('Hours Log'!$A$2:$A$980=$A4)*('Hours Log'!$B$2:$B$980=U$2)*('Hours Log'!$C$2:$C$980=LOOKUP(2,1/($A$1:U$1&lt;&gt;""),$A$1:U$1))*'Hours Log'!$F$2:$F$980*'Hours Log'!$AJ$2:$AJ$980)</f>
        <v>3661.8325054789548</v>
      </c>
      <c r="V4" s="95" cm="1">
        <f t="array" ref="V4">SUMPRODUCT(('Hours Log'!$A$2:$A$980=$A4)*('Hours Log'!$B$2:$B$980=V$2)*('Hours Log'!$C$2:$C$980=LOOKUP(2,1/($A$1:V$1&lt;&gt;""),$A$1:V$1))*'Hours Log'!$F$2:$F$980*'Hours Log'!$AJ$2:$AJ$980)</f>
        <v>3351.4102836644124</v>
      </c>
      <c r="W4" s="95" cm="1">
        <f t="array" ref="W4">SUMPRODUCT(('Hours Log'!$A$2:$A$980=$A4)*('Hours Log'!$B$2:$B$980=W$2)*('Hours Log'!$C$2:$C$980=LOOKUP(2,1/($A$1:W$1&lt;&gt;""),$A$1:W$1))*'Hours Log'!$F$2:$F$980*'Hours Log'!$AJ$2:$AJ$980)</f>
        <v>3301.4740543572007</v>
      </c>
      <c r="X4" s="95" cm="1">
        <f t="array" ref="X4">SUMPRODUCT(('Hours Log'!$A$2:$A$980=$A4)*('Hours Log'!$B$2:$B$980=X$2)*('Hours Log'!$C$2:$C$980=LOOKUP(2,1/($A$1:X$1&lt;&gt;""),$A$1:X$1))*'Hours Log'!$F$2:$F$980*'Hours Log'!$AJ$2:$AJ$980)</f>
        <v>2450.3887067956043</v>
      </c>
      <c r="Y4" s="96" cm="1">
        <f t="array" ref="Y4">SUMPRODUCT(('Hours Log'!$A$2:$A$980=$A4)*('Hours Log'!$B$2:$B$980=Y$2)*('Hours Log'!$C$2:$C$980=LOOKUP(2,1/($A$1:Y$1&lt;&gt;""),$A$1:Y$1))*'Hours Log'!$F$2:$F$980*'Hours Log'!$AJ$2:$AJ$980)</f>
        <v>2400.685081911312</v>
      </c>
      <c r="Z4" s="7" cm="1">
        <f t="array" ref="Z4">SUMPRODUCT(('Hours Log'!$A$2:$A$980=$A4)*('Hours Log'!$B$2:$B$980=Z$2)*('Hours Log'!$C$2:$C$980=LOOKUP(2,1/($A$1:Z$1&lt;&gt;""),$A$1:Z$1))*'Hours Log'!$F$2:$F$980*'Hours Log'!$AJ$2:$AJ$980)</f>
        <v>4011.8474226804119</v>
      </c>
      <c r="AA4" s="7" cm="1">
        <f t="array" ref="AA4">SUMPRODUCT(('Hours Log'!$A$2:$A$980=$A4)*('Hours Log'!$B$2:$B$980=AA$2)*('Hours Log'!$C$2:$C$980=LOOKUP(2,1/($A$1:AA$1&lt;&gt;""),$A$1:AA$1))*'Hours Log'!$F$2:$F$980*'Hours Log'!$AJ$2:$AJ$980)</f>
        <v>3134.9547738693464</v>
      </c>
      <c r="AB4" s="7" cm="1">
        <f t="array" ref="AB4">SUMPRODUCT(('Hours Log'!$A$2:$A$980=$A4)*('Hours Log'!$B$2:$B$980=AB$2)*('Hours Log'!$C$2:$C$980=LOOKUP(2,1/($A$1:AB$1&lt;&gt;""),$A$1:AB$1))*'Hours Log'!$F$2:$F$980*'Hours Log'!$AJ$2:$AJ$980)</f>
        <v>3695.8659898477154</v>
      </c>
      <c r="AC4" s="7" cm="1">
        <f t="array" ref="AC4">SUMPRODUCT(('Hours Log'!$A$2:$A$980=$A4)*('Hours Log'!$B$2:$B$980=AC$2)*('Hours Log'!$C$2:$C$980=LOOKUP(2,1/($A$1:AC$1&lt;&gt;""),$A$1:AC$1))*'Hours Log'!$F$2:$F$980*'Hours Log'!$AJ$2:$AJ$980)</f>
        <v>4079.2643216080396</v>
      </c>
      <c r="AD4" s="7" cm="1">
        <f t="array" ref="AD4">SUMPRODUCT(('Hours Log'!$A$2:$A$980=$A4)*('Hours Log'!$B$2:$B$980=AD$2)*('Hours Log'!$C$2:$C$980=LOOKUP(2,1/($A$1:AD$1&lt;&gt;""),$A$1:AD$1))*'Hours Log'!$F$2:$F$980*'Hours Log'!$AJ$2:$AJ$980)</f>
        <v>4054.4140703517583</v>
      </c>
      <c r="AE4" s="7" cm="1">
        <f t="array" ref="AE4">SUMPRODUCT(('Hours Log'!$A$2:$A$980=$A4)*('Hours Log'!$B$2:$B$980=AE$2)*('Hours Log'!$C$2:$C$980=LOOKUP(2,1/($A$1:AE$1&lt;&gt;""),$A$1:AE$1))*'Hours Log'!$F$2:$F$980*'Hours Log'!$AJ$2:$AJ$980)</f>
        <v>4018.6811881188114</v>
      </c>
      <c r="AF4" s="7" cm="1">
        <f t="array" ref="AF4">SUMPRODUCT(('Hours Log'!$A$2:$A$980=$A4)*('Hours Log'!$B$2:$B$980=AF$2)*('Hours Log'!$C$2:$C$980=LOOKUP(2,1/($A$1:AF$1&lt;&gt;""),$A$1:AF$1))*'Hours Log'!$F$2:$F$980*'Hours Log'!$AJ$2:$AJ$980)</f>
        <v>4374.5999999999995</v>
      </c>
    </row>
    <row r="5" spans="1:33" x14ac:dyDescent="0.25">
      <c r="A5" t="s">
        <v>54</v>
      </c>
      <c r="B5" s="112" cm="1">
        <f t="array" ref="B5">SUMPRODUCT(('Hours Log'!$A$2:$A$980=$A5)*('Hours Log'!$B$2:$B$980=B$2)*('Hours Log'!$C$2:$C$980=LOOKUP(2,1/($A$1:B$1&lt;&gt;""),$A$1:B$1))*'Hours Log'!$F$2:$F$980*'Hours Log'!$AJ$2:$AJ$980)</f>
        <v>1155.5036400504807</v>
      </c>
      <c r="C5" s="110" cm="1">
        <f t="array" ref="C5">SUMPRODUCT(('Hours Log'!$A$2:$A$980=$A5)*('Hours Log'!$B$2:$B$980=C$2)*('Hours Log'!$C$2:$C$980=LOOKUP(2,1/($A$1:C$1&lt;&gt;""),$A$1:C$1))*'Hours Log'!$F$2:$F$980*'Hours Log'!$AJ$2:$AJ$980)</f>
        <v>1325.3487534072985</v>
      </c>
      <c r="D5" s="110" cm="1">
        <f t="array" ref="D5">SUMPRODUCT(('Hours Log'!$A$2:$A$980=$A5)*('Hours Log'!$B$2:$B$980=D$2)*('Hours Log'!$C$2:$C$980=LOOKUP(2,1/($A$1:D$1&lt;&gt;""),$A$1:D$1))*'Hours Log'!$F$2:$F$980*'Hours Log'!$AJ$2:$AJ$980)</f>
        <v>4448.6890141943504</v>
      </c>
      <c r="E5" s="110" cm="1">
        <f t="array" ref="E5">SUMPRODUCT(('Hours Log'!$A$2:$A$980=$A5)*('Hours Log'!$B$2:$B$980=E$2)*('Hours Log'!$C$2:$C$980=LOOKUP(2,1/($A$1:E$1&lt;&gt;""),$A$1:E$1))*'Hours Log'!$F$2:$F$980*'Hours Log'!$AJ$2:$AJ$980)</f>
        <v>3389.477344148077</v>
      </c>
      <c r="F5" s="110" cm="1">
        <f t="array" ref="F5">SUMPRODUCT(('Hours Log'!$A$2:$A$980=$A5)*('Hours Log'!$B$2:$B$980=F$2)*('Hours Log'!$C$2:$C$980=LOOKUP(2,1/($A$1:F$1&lt;&gt;""),$A$1:F$1))*'Hours Log'!$F$2:$F$980*'Hours Log'!$AJ$2:$AJ$980)</f>
        <v>3624.0795983401445</v>
      </c>
      <c r="G5" s="110" cm="1">
        <f t="array" ref="G5">SUMPRODUCT(('Hours Log'!$A$2:$A$980=$A5)*('Hours Log'!$B$2:$B$980=G$2)*('Hours Log'!$C$2:$C$980=LOOKUP(2,1/($A$1:G$1&lt;&gt;""),$A$1:G$1))*'Hours Log'!$F$2:$F$980*'Hours Log'!$AJ$2:$AJ$980)</f>
        <v>3318.3694278372777</v>
      </c>
      <c r="H5" s="110" cm="1">
        <f t="array" ref="H5">SUMPRODUCT(('Hours Log'!$A$2:$A$980=$A5)*('Hours Log'!$B$2:$B$980=H$2)*('Hours Log'!$C$2:$C$980=LOOKUP(2,1/($A$1:H$1&lt;&gt;""),$A$1:H$1))*'Hours Log'!$F$2:$F$980*'Hours Log'!$AJ$2:$AJ$980)</f>
        <v>3624.0795983401445</v>
      </c>
      <c r="I5" s="110" cm="1">
        <f t="array" ref="I5">SUMPRODUCT(('Hours Log'!$A$2:$A$980=$A5)*('Hours Log'!$B$2:$B$980=I$2)*('Hours Log'!$C$2:$C$980=LOOKUP(2,1/($A$1:I$1&lt;&gt;""),$A$1:I$1))*'Hours Log'!$F$2:$F$980*'Hours Log'!$AJ$2:$AJ$980)</f>
        <v>2744.8528185739028</v>
      </c>
      <c r="J5" s="110" cm="1">
        <f t="array" ref="J5">SUMPRODUCT(('Hours Log'!$A$2:$A$980=$A5)*('Hours Log'!$B$2:$B$980=J$2)*('Hours Log'!$C$2:$C$980=LOOKUP(2,1/($A$1:J$1&lt;&gt;""),$A$1:J$1))*'Hours Log'!$F$2:$F$980*'Hours Log'!$AJ$2:$AJ$980)</f>
        <v>4622.0145602019229</v>
      </c>
      <c r="K5" s="110" cm="1">
        <f t="array" ref="K5">SUMPRODUCT(('Hours Log'!$A$2:$A$980=$A5)*('Hours Log'!$B$2:$B$980=K$2)*('Hours Log'!$C$2:$C$980=LOOKUP(2,1/($A$1:K$1&lt;&gt;""),$A$1:K$1))*'Hours Log'!$F$2:$F$980*'Hours Log'!$AJ$2:$AJ$980)</f>
        <v>3081.3430401346154</v>
      </c>
      <c r="L5" s="110" cm="1">
        <f t="array" ref="L5">SUMPRODUCT(('Hours Log'!$A$2:$A$980=$A5)*('Hours Log'!$B$2:$B$980=L$2)*('Hours Log'!$C$2:$C$980=LOOKUP(2,1/($A$1:L$1&lt;&gt;""),$A$1:L$1))*'Hours Log'!$F$2:$F$980*'Hours Log'!$AJ$2:$AJ$980)</f>
        <v>2554.271204322115</v>
      </c>
      <c r="M5" s="111" cm="1">
        <f t="array" ref="M5">SUMPRODUCT(('Hours Log'!$A$2:$A$980=$A5)*('Hours Log'!$B$2:$B$980=M$2)*('Hours Log'!$C$2:$C$980=LOOKUP(2,1/($A$1:M$1&lt;&gt;""),$A$1:M$1))*'Hours Log'!$F$2:$F$980*'Hours Log'!$AJ$2:$AJ$980)</f>
        <v>3389.477344148077</v>
      </c>
      <c r="N5" s="107" cm="1">
        <f t="array" ref="N5">SUMPRODUCT(('Hours Log'!$A$2:$A$980=$A5)*('Hours Log'!$B$2:$B$980=N$2)*('Hours Log'!$C$2:$C$980=LOOKUP(2,1/($A$1:N$1&lt;&gt;""),$A$1:N$1))*'Hours Log'!$F$2:$F$980*'Hours Log'!$AJ$2:$AJ$980)</f>
        <v>4787.002548909225</v>
      </c>
      <c r="O5" s="95" cm="1">
        <f t="array" ref="O5">SUMPRODUCT(('Hours Log'!$A$2:$A$980=$A5)*('Hours Log'!$B$2:$B$980=O$2)*('Hours Log'!$C$2:$C$980=LOOKUP(2,1/($A$1:O$1&lt;&gt;""),$A$1:O$1))*'Hours Log'!$F$2:$F$980*'Hours Log'!$AJ$2:$AJ$980)</f>
        <v>4404.3761631255256</v>
      </c>
      <c r="P5" s="95" cm="1">
        <f t="array" ref="P5">SUMPRODUCT(('Hours Log'!$A$2:$A$980=$A5)*('Hours Log'!$B$2:$B$980=P$2)*('Hours Log'!$C$2:$C$980=LOOKUP(2,1/($A$1:P$1&lt;&gt;""),$A$1:P$1))*'Hours Log'!$F$2:$F$980*'Hours Log'!$AJ$2:$AJ$980)</f>
        <v>3093.0193141973282</v>
      </c>
      <c r="Q5" s="95" cm="1">
        <f t="array" ref="Q5">SUMPRODUCT(('Hours Log'!$A$2:$A$980=$A5)*('Hours Log'!$B$2:$B$980=Q$2)*('Hours Log'!$C$2:$C$980=LOOKUP(2,1/($A$1:Q$1&lt;&gt;""),$A$1:Q$1))*'Hours Log'!$F$2:$F$980*'Hours Log'!$AJ$2:$AJ$980)</f>
        <v>2167.3499555663861</v>
      </c>
      <c r="R5" s="95" cm="1">
        <f t="array" ref="R5">SUMPRODUCT(('Hours Log'!$A$2:$A$980=$A5)*('Hours Log'!$B$2:$B$980=R$2)*('Hours Log'!$C$2:$C$980=LOOKUP(2,1/($A$1:R$1&lt;&gt;""),$A$1:R$1))*'Hours Log'!$F$2:$F$980*'Hours Log'!$AJ$2:$AJ$980)</f>
        <v>3179.3375037277583</v>
      </c>
      <c r="S5" s="95" cm="1">
        <f t="array" ref="S5">SUMPRODUCT(('Hours Log'!$A$2:$A$980=$A5)*('Hours Log'!$B$2:$B$980=S$2)*('Hours Log'!$C$2:$C$980=LOOKUP(2,1/($A$1:S$1&lt;&gt;""),$A$1:S$1))*'Hours Log'!$F$2:$F$980*'Hours Log'!$AJ$2:$AJ$980)</f>
        <v>2586.9042433894065</v>
      </c>
      <c r="T5" s="95" cm="1">
        <f t="array" ref="T5">SUMPRODUCT(('Hours Log'!$A$2:$A$980=$A5)*('Hours Log'!$B$2:$B$980=T$2)*('Hours Log'!$C$2:$C$980=LOOKUP(2,1/($A$1:T$1&lt;&gt;""),$A$1:T$1))*'Hours Log'!$F$2:$F$980*'Hours Log'!$AJ$2:$AJ$980)</f>
        <v>2866.3364737138495</v>
      </c>
      <c r="U5" s="95" cm="1">
        <f t="array" ref="U5">SUMPRODUCT(('Hours Log'!$A$2:$A$980=$A5)*('Hours Log'!$B$2:$B$980=U$2)*('Hours Log'!$C$2:$C$980=LOOKUP(2,1/($A$1:U$1&lt;&gt;""),$A$1:U$1))*'Hours Log'!$F$2:$F$980*'Hours Log'!$AJ$2:$AJ$980)</f>
        <v>1794.4562288377761</v>
      </c>
      <c r="V5" s="95" cm="1">
        <f t="array" ref="V5">SUMPRODUCT(('Hours Log'!$A$2:$A$980=$A5)*('Hours Log'!$B$2:$B$980=V$2)*('Hours Log'!$C$2:$C$980=LOOKUP(2,1/($A$1:V$1&lt;&gt;""),$A$1:V$1))*'Hours Log'!$F$2:$F$980*'Hours Log'!$AJ$2:$AJ$980)</f>
        <v>2523.1967982771953</v>
      </c>
      <c r="W5" s="95" cm="1">
        <f t="array" ref="W5">SUMPRODUCT(('Hours Log'!$A$2:$A$980=$A5)*('Hours Log'!$B$2:$B$980=W$2)*('Hours Log'!$C$2:$C$980=LOOKUP(2,1/($A$1:W$1&lt;&gt;""),$A$1:W$1))*'Hours Log'!$F$2:$F$980*'Hours Log'!$AJ$2:$AJ$980)</f>
        <v>4832.6169187469995</v>
      </c>
      <c r="X5" s="95" cm="1">
        <f t="array" ref="X5">SUMPRODUCT(('Hours Log'!$A$2:$A$980=$A5)*('Hours Log'!$B$2:$B$980=X$2)*('Hours Log'!$C$2:$C$980=LOOKUP(2,1/($A$1:X$1&lt;&gt;""),$A$1:X$1))*'Hours Log'!$F$2:$F$980*'Hours Log'!$AJ$2:$AJ$980)</f>
        <v>4881.1730908549807</v>
      </c>
      <c r="Y5" s="96" cm="1">
        <f t="array" ref="Y5">SUMPRODUCT(('Hours Log'!$A$2:$A$980=$A5)*('Hours Log'!$B$2:$B$980=Y$2)*('Hours Log'!$C$2:$C$980=LOOKUP(2,1/($A$1:Y$1&lt;&gt;""),$A$1:Y$1))*'Hours Log'!$F$2:$F$980*'Hours Log'!$AJ$2:$AJ$980)</f>
        <v>6341.8862309297938</v>
      </c>
      <c r="Z5" s="7" cm="1">
        <f t="array" ref="Z5">SUMPRODUCT(('Hours Log'!$A$2:$A$980=$A5)*('Hours Log'!$B$2:$B$980=Z$2)*('Hours Log'!$C$2:$C$980=LOOKUP(2,1/($A$1:Z$1&lt;&gt;""),$A$1:Z$1))*'Hours Log'!$F$2:$F$980*'Hours Log'!$AJ$2:$AJ$980)</f>
        <v>6514.9851654411768</v>
      </c>
      <c r="AA5" s="7" cm="1">
        <f t="array" ref="AA5">SUMPRODUCT(('Hours Log'!$A$2:$A$980=$A5)*('Hours Log'!$B$2:$B$980=AA$2)*('Hours Log'!$C$2:$C$980=LOOKUP(2,1/($A$1:AA$1&lt;&gt;""),$A$1:AA$1))*'Hours Log'!$F$2:$F$980*'Hours Log'!$AJ$2:$AJ$980)</f>
        <v>4961.5531746031747</v>
      </c>
      <c r="AB5" s="7" cm="1">
        <f t="array" ref="AB5">SUMPRODUCT(('Hours Log'!$A$2:$A$980=$A5)*('Hours Log'!$B$2:$B$980=AB$2)*('Hours Log'!$C$2:$C$980=LOOKUP(2,1/($A$1:AB$1&lt;&gt;""),$A$1:AB$1))*'Hours Log'!$F$2:$F$980*'Hours Log'!$AJ$2:$AJ$980)</f>
        <v>5667.6203571428568</v>
      </c>
      <c r="AC5" s="7" cm="1">
        <f t="array" ref="AC5">SUMPRODUCT(('Hours Log'!$A$2:$A$980=$A5)*('Hours Log'!$B$2:$B$980=AC$2)*('Hours Log'!$C$2:$C$980=LOOKUP(2,1/($A$1:AC$1&lt;&gt;""),$A$1:AC$1))*'Hours Log'!$F$2:$F$980*'Hours Log'!$AJ$2:$AJ$980)</f>
        <v>3108.0498732718893</v>
      </c>
      <c r="AD5" s="7" cm="1">
        <f t="array" ref="AD5">SUMPRODUCT(('Hours Log'!$A$2:$A$980=$A5)*('Hours Log'!$B$2:$B$980=AD$2)*('Hours Log'!$C$2:$C$980=LOOKUP(2,1/($A$1:AD$1&lt;&gt;""),$A$1:AD$1))*'Hours Log'!$F$2:$F$980*'Hours Log'!$AJ$2:$AJ$980)</f>
        <v>4043.412392578125</v>
      </c>
      <c r="AE5" s="7" cm="1">
        <f t="array" ref="AE5">SUMPRODUCT(('Hours Log'!$A$2:$A$980=$A5)*('Hours Log'!$B$2:$B$980=AE$2)*('Hours Log'!$C$2:$C$980=LOOKUP(2,1/($A$1:AE$1&lt;&gt;""),$A$1:AE$1))*'Hours Log'!$F$2:$F$980*'Hours Log'!$AJ$2:$AJ$980)</f>
        <v>3673.4576388888886</v>
      </c>
      <c r="AF5" s="7" cm="1">
        <f t="array" ref="AF5">SUMPRODUCT(('Hours Log'!$A$2:$A$980=$A5)*('Hours Log'!$B$2:$B$980=AF$2)*('Hours Log'!$C$2:$C$980=LOOKUP(2,1/($A$1:AF$1&lt;&gt;""),$A$1:AF$1))*'Hours Log'!$F$2:$F$980*'Hours Log'!$AJ$2:$AJ$980)</f>
        <v>4573.0694326923076</v>
      </c>
    </row>
    <row r="6" spans="1:33" x14ac:dyDescent="0.25">
      <c r="A6" t="s">
        <v>61</v>
      </c>
      <c r="B6" s="112" cm="1">
        <f t="array" ref="B6">SUMPRODUCT(('Hours Log'!$A$2:$A$980=$A6)*('Hours Log'!$B$2:$B$980=B$2)*('Hours Log'!$C$2:$C$980=LOOKUP(2,1/($A$1:B$1&lt;&gt;""),$A$1:B$1))*'Hours Log'!$F$2:$F$980*'Hours Log'!$AJ$2:$AJ$980)</f>
        <v>0</v>
      </c>
      <c r="C6" s="110" cm="1">
        <f t="array" ref="C6">SUMPRODUCT(('Hours Log'!$A$2:$A$980=$A6)*('Hours Log'!$B$2:$B$980=C$2)*('Hours Log'!$C$2:$C$980=LOOKUP(2,1/($A$1:C$1&lt;&gt;""),$A$1:C$1))*'Hours Log'!$F$2:$F$980*'Hours Log'!$AJ$2:$AJ$980)</f>
        <v>0</v>
      </c>
      <c r="D6" s="110" cm="1">
        <f t="array" ref="D6">SUMPRODUCT(('Hours Log'!$A$2:$A$980=$A6)*('Hours Log'!$B$2:$B$980=D$2)*('Hours Log'!$C$2:$C$980=LOOKUP(2,1/($A$1:D$1&lt;&gt;""),$A$1:D$1))*'Hours Log'!$F$2:$F$980*'Hours Log'!$AJ$2:$AJ$980)</f>
        <v>3684.2211984142009</v>
      </c>
      <c r="E6" s="110" cm="1">
        <f t="array" ref="E6">SUMPRODUCT(('Hours Log'!$A$2:$A$980=$A6)*('Hours Log'!$B$2:$B$980=E$2)*('Hours Log'!$C$2:$C$980=LOOKUP(2,1/($A$1:E$1&lt;&gt;""),$A$1:E$1))*'Hours Log'!$F$2:$F$980*'Hours Log'!$AJ$2:$AJ$980)</f>
        <v>3942.3673095956042</v>
      </c>
      <c r="F6" s="110" cm="1">
        <f t="array" ref="F6">SUMPRODUCT(('Hours Log'!$A$2:$A$980=$A6)*('Hours Log'!$B$2:$B$980=F$2)*('Hours Log'!$C$2:$C$980=LOOKUP(2,1/($A$1:F$1&lt;&gt;""),$A$1:F$1))*'Hours Log'!$F$2:$F$980*'Hours Log'!$AJ$2:$AJ$980)</f>
        <v>4042.8097888209695</v>
      </c>
      <c r="G6" s="110" cm="1">
        <f t="array" ref="G6">SUMPRODUCT(('Hours Log'!$A$2:$A$980=$A6)*('Hours Log'!$B$2:$B$980=G$2)*('Hours Log'!$C$2:$C$980=LOOKUP(2,1/($A$1:G$1&lt;&gt;""),$A$1:G$1))*'Hours Log'!$F$2:$F$980*'Hours Log'!$AJ$2:$AJ$980)</f>
        <v>3729.2663739417881</v>
      </c>
      <c r="H6" s="110" cm="1">
        <f t="array" ref="H6">SUMPRODUCT(('Hours Log'!$A$2:$A$980=$A6)*('Hours Log'!$B$2:$B$980=H$2)*('Hours Log'!$C$2:$C$980=LOOKUP(2,1/($A$1:H$1&lt;&gt;""),$A$1:H$1))*'Hours Log'!$F$2:$F$980*'Hours Log'!$AJ$2:$AJ$980)</f>
        <v>4042.8097888209695</v>
      </c>
      <c r="I6" s="110" cm="1">
        <f t="array" ref="I6">SUMPRODUCT(('Hours Log'!$A$2:$A$980=$A6)*('Hours Log'!$B$2:$B$980=I$2)*('Hours Log'!$C$2:$C$980=LOOKUP(2,1/($A$1:I$1&lt;&gt;""),$A$1:I$1))*'Hours Log'!$F$2:$F$980*'Hours Log'!$AJ$2:$AJ$980)</f>
        <v>3942.3673095956042</v>
      </c>
      <c r="J6" s="110" cm="1">
        <f t="array" ref="J6">SUMPRODUCT(('Hours Log'!$A$2:$A$980=$A6)*('Hours Log'!$B$2:$B$980=J$2)*('Hours Log'!$C$2:$C$980=LOOKUP(2,1/($A$1:J$1&lt;&gt;""),$A$1:J$1))*'Hours Log'!$F$2:$F$980*'Hours Log'!$AJ$2:$AJ$980)</f>
        <v>3837.933738480489</v>
      </c>
      <c r="K6" s="110" cm="1">
        <f t="array" ref="K6">SUMPRODUCT(('Hours Log'!$A$2:$A$980=$A6)*('Hours Log'!$B$2:$B$980=K$2)*('Hours Log'!$C$2:$C$980=LOOKUP(2,1/($A$1:K$1&lt;&gt;""),$A$1:K$1))*'Hours Log'!$F$2:$F$980*'Hours Log'!$AJ$2:$AJ$980)</f>
        <v>3449.5713958961537</v>
      </c>
      <c r="L6" s="110" cm="1">
        <f t="array" ref="L6">SUMPRODUCT(('Hours Log'!$A$2:$A$980=$A6)*('Hours Log'!$B$2:$B$980=L$2)*('Hours Log'!$C$2:$C$980=LOOKUP(2,1/($A$1:L$1&lt;&gt;""),$A$1:L$1))*'Hours Log'!$F$2:$F$980*'Hours Log'!$AJ$2:$AJ$980)</f>
        <v>3449.5713958961537</v>
      </c>
      <c r="M6" s="111" cm="1">
        <f t="array" ref="M6">SUMPRODUCT(('Hours Log'!$A$2:$A$980=$A6)*('Hours Log'!$B$2:$B$980=M$2)*('Hours Log'!$C$2:$C$980=LOOKUP(2,1/($A$1:M$1&lt;&gt;""),$A$1:M$1))*'Hours Log'!$F$2:$F$980*'Hours Log'!$AJ$2:$AJ$980)</f>
        <v>3449.5713958961537</v>
      </c>
      <c r="N6" s="107" cm="1">
        <f t="array" ref="N6">SUMPRODUCT(('Hours Log'!$A$2:$A$980=$A6)*('Hours Log'!$B$2:$B$980=N$2)*('Hours Log'!$C$2:$C$980=LOOKUP(2,1/($A$1:N$1&lt;&gt;""),$A$1:N$1))*'Hours Log'!$F$2:$F$980*'Hours Log'!$AJ$2:$AJ$980)</f>
        <v>4133.1068206057689</v>
      </c>
      <c r="O6" s="95" cm="1">
        <f t="array" ref="O6">SUMPRODUCT(('Hours Log'!$A$2:$A$980=$A6)*('Hours Log'!$B$2:$B$980=O$2)*('Hours Log'!$C$2:$C$980=LOOKUP(2,1/($A$1:O$1&lt;&gt;""),$A$1:O$1))*'Hours Log'!$F$2:$F$980*'Hours Log'!$AJ$2:$AJ$980)</f>
        <v>3594.0059309615381</v>
      </c>
      <c r="P6" s="95" cm="1">
        <f t="array" ref="P6">SUMPRODUCT(('Hours Log'!$A$2:$A$980=$A6)*('Hours Log'!$B$2:$B$980=P$2)*('Hours Log'!$C$2:$C$980=LOOKUP(2,1/($A$1:P$1&lt;&gt;""),$A$1:P$1))*'Hours Log'!$F$2:$F$980*'Hours Log'!$AJ$2:$AJ$980)</f>
        <v>3594.0059309615381</v>
      </c>
      <c r="Q6" s="95" cm="1">
        <f t="array" ref="Q6">SUMPRODUCT(('Hours Log'!$A$2:$A$980=$A6)*('Hours Log'!$B$2:$B$980=Q$2)*('Hours Log'!$C$2:$C$980=LOOKUP(2,1/($A$1:Q$1&lt;&gt;""),$A$1:Q$1))*'Hours Log'!$F$2:$F$980*'Hours Log'!$AJ$2:$AJ$980)</f>
        <v>3720.8531991131217</v>
      </c>
      <c r="R6" s="95" cm="1">
        <f t="array" ref="R6">SUMPRODUCT(('Hours Log'!$A$2:$A$980=$A6)*('Hours Log'!$B$2:$B$980=R$2)*('Hours Log'!$C$2:$C$980=LOOKUP(2,1/($A$1:R$1&lt;&gt;""),$A$1:R$1))*'Hours Log'!$F$2:$F$980*'Hours Log'!$AJ$2:$AJ$980)</f>
        <v>3594.0059309615381</v>
      </c>
      <c r="S6" s="95" cm="1">
        <f t="array" ref="S6">SUMPRODUCT(('Hours Log'!$A$2:$A$980=$A6)*('Hours Log'!$B$2:$B$980=S$2)*('Hours Log'!$C$2:$C$980=LOOKUP(2,1/($A$1:S$1&lt;&gt;""),$A$1:S$1))*'Hours Log'!$F$2:$F$980*'Hours Log'!$AJ$2:$AJ$980)</f>
        <v>3281.4836760953172</v>
      </c>
      <c r="T6" s="95" cm="1">
        <f t="array" ref="T6">SUMPRODUCT(('Hours Log'!$A$2:$A$980=$A6)*('Hours Log'!$B$2:$B$980=T$2)*('Hours Log'!$C$2:$C$980=LOOKUP(2,1/($A$1:T$1&lt;&gt;""),$A$1:T$1))*'Hours Log'!$F$2:$F$980*'Hours Log'!$AJ$2:$AJ$980)</f>
        <v>3306.485456484615</v>
      </c>
      <c r="U6" s="95" cm="1">
        <f t="array" ref="U6">SUMPRODUCT(('Hours Log'!$A$2:$A$980=$A6)*('Hours Log'!$B$2:$B$980=U$2)*('Hours Log'!$C$2:$C$980=LOOKUP(2,1/($A$1:U$1&lt;&gt;""),$A$1:U$1))*'Hours Log'!$F$2:$F$980*'Hours Log'!$AJ$2:$AJ$980)</f>
        <v>3594.0059309615381</v>
      </c>
      <c r="V6" s="95" cm="1">
        <f t="array" ref="V6">SUMPRODUCT(('Hours Log'!$A$2:$A$980=$A6)*('Hours Log'!$B$2:$B$980=V$2)*('Hours Log'!$C$2:$C$980=LOOKUP(2,1/($A$1:V$1&lt;&gt;""),$A$1:V$1))*'Hours Log'!$F$2:$F$980*'Hours Log'!$AJ$2:$AJ$980)</f>
        <v>3638.9310050985569</v>
      </c>
      <c r="W6" s="95" cm="1">
        <f t="array" ref="W6">SUMPRODUCT(('Hours Log'!$A$2:$A$980=$A6)*('Hours Log'!$B$2:$B$980=W$2)*('Hours Log'!$C$2:$C$980=LOOKUP(2,1/($A$1:W$1&lt;&gt;""),$A$1:W$1))*'Hours Log'!$F$2:$F$980*'Hours Log'!$AJ$2:$AJ$980)</f>
        <v>3773.7062275096146</v>
      </c>
      <c r="X6" s="95" cm="1">
        <f t="array" ref="X6">SUMPRODUCT(('Hours Log'!$A$2:$A$980=$A6)*('Hours Log'!$B$2:$B$980=X$2)*('Hours Log'!$C$2:$C$980=LOOKUP(2,1/($A$1:X$1&lt;&gt;""),$A$1:X$1))*'Hours Log'!$F$2:$F$980*'Hours Log'!$AJ$2:$AJ$980)</f>
        <v>3594.0059309615381</v>
      </c>
      <c r="Y6" s="96" cm="1">
        <f t="array" ref="Y6">SUMPRODUCT(('Hours Log'!$A$2:$A$980=$A6)*('Hours Log'!$B$2:$B$980=Y$2)*('Hours Log'!$C$2:$C$980=LOOKUP(2,1/($A$1:Y$1&lt;&gt;""),$A$1:Y$1))*'Hours Log'!$F$2:$F$980*'Hours Log'!$AJ$2:$AJ$980)</f>
        <v>3594.0059309615381</v>
      </c>
      <c r="Z6" s="7" cm="1">
        <f t="array" ref="Z6">SUMPRODUCT(('Hours Log'!$A$2:$A$980=$A6)*('Hours Log'!$B$2:$B$980=Z$2)*('Hours Log'!$C$2:$C$980=LOOKUP(2,1/($A$1:Z$1&lt;&gt;""),$A$1:Z$1))*'Hours Log'!$F$2:$F$980*'Hours Log'!$AJ$2:$AJ$980)</f>
        <v>4544.3483870967739</v>
      </c>
      <c r="AA6" s="7" cm="1">
        <f t="array" ref="AA6">SUMPRODUCT(('Hours Log'!$A$2:$A$980=$A6)*('Hours Log'!$B$2:$B$980=AA$2)*('Hours Log'!$C$2:$C$980=LOOKUP(2,1/($A$1:AA$1&lt;&gt;""),$A$1:AA$1))*'Hours Log'!$F$2:$F$980*'Hours Log'!$AJ$2:$AJ$980)</f>
        <v>4298.3050847457625</v>
      </c>
      <c r="AB6" s="7" cm="1">
        <f t="array" ref="AB6">SUMPRODUCT(('Hours Log'!$A$2:$A$980=$A6)*('Hours Log'!$B$2:$B$980=AB$2)*('Hours Log'!$C$2:$C$980=LOOKUP(2,1/($A$1:AB$1&lt;&gt;""),$A$1:AB$1))*'Hours Log'!$F$2:$F$980*'Hours Log'!$AJ$2:$AJ$980)</f>
        <v>4726.4207253886007</v>
      </c>
      <c r="AC6" s="7" cm="1">
        <f t="array" ref="AC6">SUMPRODUCT(('Hours Log'!$A$2:$A$980=$A6)*('Hours Log'!$B$2:$B$980=AC$2)*('Hours Log'!$C$2:$C$980=LOOKUP(2,1/($A$1:AC$1&lt;&gt;""),$A$1:AC$1))*'Hours Log'!$F$2:$F$980*'Hours Log'!$AJ$2:$AJ$980)</f>
        <v>4614.1491891891892</v>
      </c>
      <c r="AD6" s="7" cm="1">
        <f t="array" ref="AD6">SUMPRODUCT(('Hours Log'!$A$2:$A$980=$A6)*('Hours Log'!$B$2:$B$980=AD$2)*('Hours Log'!$C$2:$C$980=LOOKUP(2,1/($A$1:AD$1&lt;&gt;""),$A$1:AD$1))*'Hours Log'!$F$2:$F$980*'Hours Log'!$AJ$2:$AJ$980)</f>
        <v>4428.3521739130438</v>
      </c>
      <c r="AE6" s="7" cm="1">
        <f t="array" ref="AE6">SUMPRODUCT(('Hours Log'!$A$2:$A$980=$A6)*('Hours Log'!$B$2:$B$980=AE$2)*('Hours Log'!$C$2:$C$980=LOOKUP(2,1/($A$1:AE$1&lt;&gt;""),$A$1:AE$1))*'Hours Log'!$F$2:$F$980*'Hours Log'!$AJ$2:$AJ$980)</f>
        <v>4614.1491891891892</v>
      </c>
      <c r="AF6" s="7" cm="1">
        <f t="array" ref="AF6">SUMPRODUCT(('Hours Log'!$A$2:$A$980=$A6)*('Hours Log'!$B$2:$B$980=AF$2)*('Hours Log'!$C$2:$C$980=LOOKUP(2,1/($A$1:AF$1&lt;&gt;""),$A$1:AF$1))*'Hours Log'!$F$2:$F$980*'Hours Log'!$AJ$2:$AJ$980)</f>
        <v>4839.9829787234039</v>
      </c>
    </row>
    <row r="7" spans="1:33" x14ac:dyDescent="0.25">
      <c r="A7" t="s">
        <v>74</v>
      </c>
      <c r="B7" s="112" cm="1">
        <f t="array" ref="B7">SUMPRODUCT(('Hours Log'!$A$2:$A$980=$A7)*('Hours Log'!$B$2:$B$980=B$2)*('Hours Log'!$C$2:$C$980=LOOKUP(2,1/($A$1:B$1&lt;&gt;""),$A$1:B$1))*'Hours Log'!$F$2:$F$980*'Hours Log'!$AJ$2:$AJ$980)</f>
        <v>140.77145362500002</v>
      </c>
      <c r="C7" s="110" cm="1">
        <f t="array" ref="C7">SUMPRODUCT(('Hours Log'!$A$2:$A$980=$A7)*('Hours Log'!$B$2:$B$980=C$2)*('Hours Log'!$C$2:$C$980=LOOKUP(2,1/($A$1:C$1&lt;&gt;""),$A$1:C$1))*'Hours Log'!$F$2:$F$980*'Hours Log'!$AJ$2:$AJ$980)</f>
        <v>760.16584957500004</v>
      </c>
      <c r="D7" s="110" cm="1">
        <f t="array" ref="D7">SUMPRODUCT(('Hours Log'!$A$2:$A$980=$A7)*('Hours Log'!$B$2:$B$980=D$2)*('Hours Log'!$C$2:$C$980=LOOKUP(2,1/($A$1:D$1&lt;&gt;""),$A$1:D$1))*'Hours Log'!$F$2:$F$980*'Hours Log'!$AJ$2:$AJ$980)</f>
        <v>1126.1716290000002</v>
      </c>
      <c r="E7" s="110" cm="1">
        <f t="array" ref="E7">SUMPRODUCT(('Hours Log'!$A$2:$A$980=$A7)*('Hours Log'!$B$2:$B$980=E$2)*('Hours Log'!$C$2:$C$980=LOOKUP(2,1/($A$1:E$1&lt;&gt;""),$A$1:E$1))*'Hours Log'!$F$2:$F$980*'Hours Log'!$AJ$2:$AJ$980)</f>
        <v>1266.9430826250002</v>
      </c>
      <c r="F7" s="110" cm="1">
        <f t="array" ref="F7">SUMPRODUCT(('Hours Log'!$A$2:$A$980=$A7)*('Hours Log'!$B$2:$B$980=F$2)*('Hours Log'!$C$2:$C$980=LOOKUP(2,1/($A$1:F$1&lt;&gt;""),$A$1:F$1))*'Hours Log'!$F$2:$F$980*'Hours Log'!$AJ$2:$AJ$980)</f>
        <v>1604.7945713250001</v>
      </c>
      <c r="G7" s="110" cm="1">
        <f t="array" ref="G7">SUMPRODUCT(('Hours Log'!$A$2:$A$980=$A7)*('Hours Log'!$B$2:$B$980=G$2)*('Hours Log'!$C$2:$C$980=LOOKUP(2,1/($A$1:G$1&lt;&gt;""),$A$1:G$1))*'Hours Log'!$F$2:$F$980*'Hours Log'!$AJ$2:$AJ$980)</f>
        <v>1238.7887919000002</v>
      </c>
      <c r="H7" s="110" cm="1">
        <f t="array" ref="H7">SUMPRODUCT(('Hours Log'!$A$2:$A$980=$A7)*('Hours Log'!$B$2:$B$980=H$2)*('Hours Log'!$C$2:$C$980=LOOKUP(2,1/($A$1:H$1&lt;&gt;""),$A$1:H$1))*'Hours Log'!$F$2:$F$980*'Hours Log'!$AJ$2:$AJ$980)</f>
        <v>1041.7087568250001</v>
      </c>
      <c r="I7" s="110" cm="1">
        <f t="array" ref="I7">SUMPRODUCT(('Hours Log'!$A$2:$A$980=$A7)*('Hours Log'!$B$2:$B$980=I$2)*('Hours Log'!$C$2:$C$980=LOOKUP(2,1/($A$1:I$1&lt;&gt;""),$A$1:I$1))*'Hours Log'!$F$2:$F$980*'Hours Log'!$AJ$2:$AJ$980)</f>
        <v>1351.4059548</v>
      </c>
      <c r="J7" s="110" cm="1">
        <f t="array" ref="J7">SUMPRODUCT(('Hours Log'!$A$2:$A$980=$A7)*('Hours Log'!$B$2:$B$980=J$2)*('Hours Log'!$C$2:$C$980=LOOKUP(2,1/($A$1:J$1&lt;&gt;""),$A$1:J$1))*'Hours Log'!$F$2:$F$980*'Hours Log'!$AJ$2:$AJ$980)</f>
        <v>1266.9430826250002</v>
      </c>
      <c r="K7" s="110" cm="1">
        <f t="array" ref="K7">SUMPRODUCT(('Hours Log'!$A$2:$A$980=$A7)*('Hours Log'!$B$2:$B$980=K$2)*('Hours Log'!$C$2:$C$980=LOOKUP(2,1/($A$1:K$1&lt;&gt;""),$A$1:K$1))*'Hours Log'!$F$2:$F$980*'Hours Log'!$AJ$2:$AJ$980)</f>
        <v>1098.0173382750002</v>
      </c>
      <c r="L7" s="110" cm="1">
        <f t="array" ref="L7">SUMPRODUCT(('Hours Log'!$A$2:$A$980=$A7)*('Hours Log'!$B$2:$B$980=L$2)*('Hours Log'!$C$2:$C$980=LOOKUP(2,1/($A$1:L$1&lt;&gt;""),$A$1:L$1))*'Hours Log'!$F$2:$F$980*'Hours Log'!$AJ$2:$AJ$980)</f>
        <v>1154.3259197250002</v>
      </c>
      <c r="M7" s="111" cm="1">
        <f t="array" ref="M7">SUMPRODUCT(('Hours Log'!$A$2:$A$980=$A7)*('Hours Log'!$B$2:$B$980=M$2)*('Hours Log'!$C$2:$C$980=LOOKUP(2,1/($A$1:M$1&lt;&gt;""),$A$1:M$1))*'Hours Log'!$F$2:$F$980*'Hours Log'!$AJ$2:$AJ$980)</f>
        <v>816.47443102500006</v>
      </c>
      <c r="N7" s="107" cm="1">
        <f t="array" ref="N7">SUMPRODUCT(('Hours Log'!$A$2:$A$980=$A7)*('Hours Log'!$B$2:$B$980=N$2)*('Hours Log'!$C$2:$C$980=LOOKUP(2,1/($A$1:N$1&lt;&gt;""),$A$1:N$1))*'Hours Log'!$F$2:$F$980*'Hours Log'!$AJ$2:$AJ$980)</f>
        <v>1099.837962689651</v>
      </c>
      <c r="O7" s="95" cm="1">
        <f t="array" ref="O7">SUMPRODUCT(('Hours Log'!$A$2:$A$980=$A7)*('Hours Log'!$B$2:$B$980=O$2)*('Hours Log'!$C$2:$C$980=LOOKUP(2,1/($A$1:O$1&lt;&gt;""),$A$1:O$1))*'Hours Log'!$F$2:$F$980*'Hours Log'!$AJ$2:$AJ$980)</f>
        <v>874.27343352012201</v>
      </c>
      <c r="P7" s="95" cm="1">
        <f t="array" ref="P7">SUMPRODUCT(('Hours Log'!$A$2:$A$980=$A7)*('Hours Log'!$B$2:$B$980=P$2)*('Hours Log'!$C$2:$C$980=LOOKUP(2,1/($A$1:P$1&lt;&gt;""),$A$1:P$1))*'Hours Log'!$F$2:$F$980*'Hours Log'!$AJ$2:$AJ$980)</f>
        <v>928.28286784320915</v>
      </c>
      <c r="Q7" s="95" cm="1">
        <f t="array" ref="Q7">SUMPRODUCT(('Hours Log'!$A$2:$A$980=$A7)*('Hours Log'!$B$2:$B$980=Q$2)*('Hours Log'!$C$2:$C$980=LOOKUP(2,1/($A$1:Q$1&lt;&gt;""),$A$1:Q$1))*'Hours Log'!$F$2:$F$980*'Hours Log'!$AJ$2:$AJ$980)</f>
        <v>1070.7515586771897</v>
      </c>
      <c r="R7" s="95" cm="1">
        <f t="array" ref="R7">SUMPRODUCT(('Hours Log'!$A$2:$A$980=$A7)*('Hours Log'!$B$2:$B$980=R$2)*('Hours Log'!$C$2:$C$980=LOOKUP(2,1/($A$1:R$1&lt;&gt;""),$A$1:R$1))*'Hours Log'!$F$2:$F$980*'Hours Log'!$AJ$2:$AJ$980)</f>
        <v>1097.2768830596092</v>
      </c>
      <c r="S7" s="95" cm="1">
        <f t="array" ref="S7">SUMPRODUCT(('Hours Log'!$A$2:$A$980=$A7)*('Hours Log'!$B$2:$B$980=S$2)*('Hours Log'!$C$2:$C$980=LOOKUP(2,1/($A$1:S$1&lt;&gt;""),$A$1:S$1))*'Hours Log'!$F$2:$F$980*'Hours Log'!$AJ$2:$AJ$980)</f>
        <v>0</v>
      </c>
      <c r="T7" s="95" cm="1">
        <f t="array" ref="T7">SUMPRODUCT(('Hours Log'!$A$2:$A$980=$A7)*('Hours Log'!$B$2:$B$980=T$2)*('Hours Log'!$C$2:$C$980=LOOKUP(2,1/($A$1:T$1&lt;&gt;""),$A$1:T$1))*'Hours Log'!$F$2:$F$980*'Hours Log'!$AJ$2:$AJ$980)</f>
        <v>0</v>
      </c>
      <c r="U7" s="95" cm="1">
        <f t="array" ref="U7">SUMPRODUCT(('Hours Log'!$A$2:$A$980=$A7)*('Hours Log'!$B$2:$B$980=U$2)*('Hours Log'!$C$2:$C$980=LOOKUP(2,1/($A$1:U$1&lt;&gt;""),$A$1:U$1))*'Hours Log'!$F$2:$F$980*'Hours Log'!$AJ$2:$AJ$980)</f>
        <v>0</v>
      </c>
      <c r="V7" s="95" cm="1">
        <f t="array" ref="V7">SUMPRODUCT(('Hours Log'!$A$2:$A$980=$A7)*('Hours Log'!$B$2:$B$980=V$2)*('Hours Log'!$C$2:$C$980=LOOKUP(2,1/($A$1:V$1&lt;&gt;""),$A$1:V$1))*'Hours Log'!$F$2:$F$980*'Hours Log'!$AJ$2:$AJ$980)</f>
        <v>0</v>
      </c>
      <c r="W7" s="95" cm="1">
        <f t="array" ref="W7">SUMPRODUCT(('Hours Log'!$A$2:$A$980=$A7)*('Hours Log'!$B$2:$B$980=W$2)*('Hours Log'!$C$2:$C$980=LOOKUP(2,1/($A$1:W$1&lt;&gt;""),$A$1:W$1))*'Hours Log'!$F$2:$F$980*'Hours Log'!$AJ$2:$AJ$980)</f>
        <v>0</v>
      </c>
      <c r="X7" s="95" cm="1">
        <f t="array" ref="X7">SUMPRODUCT(('Hours Log'!$A$2:$A$980=$A7)*('Hours Log'!$B$2:$B$980=X$2)*('Hours Log'!$C$2:$C$980=LOOKUP(2,1/($A$1:X$1&lt;&gt;""),$A$1:X$1))*'Hours Log'!$F$2:$F$980*'Hours Log'!$AJ$2:$AJ$980)</f>
        <v>0</v>
      </c>
      <c r="Y7" s="96" cm="1">
        <f t="array" ref="Y7">SUMPRODUCT(('Hours Log'!$A$2:$A$980=$A7)*('Hours Log'!$B$2:$B$980=Y$2)*('Hours Log'!$C$2:$C$980=LOOKUP(2,1/($A$1:Y$1&lt;&gt;""),$A$1:Y$1))*'Hours Log'!$F$2:$F$980*'Hours Log'!$AJ$2:$AJ$980)</f>
        <v>0</v>
      </c>
      <c r="Z7" s="7" cm="1">
        <f t="array" ref="Z7">SUMPRODUCT(('Hours Log'!$A$2:$A$980=$A7)*('Hours Log'!$B$2:$B$980=Z$2)*('Hours Log'!$C$2:$C$980=LOOKUP(2,1/($A$1:Z$1&lt;&gt;""),$A$1:Z$1))*'Hours Log'!$F$2:$F$980*'Hours Log'!$AJ$2:$AJ$980)</f>
        <v>0</v>
      </c>
      <c r="AA7" s="7" cm="1">
        <f t="array" ref="AA7">SUMPRODUCT(('Hours Log'!$A$2:$A$980=$A7)*('Hours Log'!$B$2:$B$980=AA$2)*('Hours Log'!$C$2:$C$980=LOOKUP(2,1/($A$1:AA$1&lt;&gt;""),$A$1:AA$1))*'Hours Log'!$F$2:$F$980*'Hours Log'!$AJ$2:$AJ$980)</f>
        <v>0</v>
      </c>
      <c r="AB7" s="7" cm="1">
        <f t="array" ref="AB7">SUMPRODUCT(('Hours Log'!$A$2:$A$980=$A7)*('Hours Log'!$B$2:$B$980=AB$2)*('Hours Log'!$C$2:$C$980=LOOKUP(2,1/($A$1:AB$1&lt;&gt;""),$A$1:AB$1))*'Hours Log'!$F$2:$F$980*'Hours Log'!$AJ$2:$AJ$980)</f>
        <v>0</v>
      </c>
      <c r="AC7" s="7" cm="1">
        <f t="array" ref="AC7">SUMPRODUCT(('Hours Log'!$A$2:$A$980=$A7)*('Hours Log'!$B$2:$B$980=AC$2)*('Hours Log'!$C$2:$C$980=LOOKUP(2,1/($A$1:AC$1&lt;&gt;""),$A$1:AC$1))*'Hours Log'!$F$2:$F$980*'Hours Log'!$AJ$2:$AJ$980)</f>
        <v>0</v>
      </c>
      <c r="AD7" s="7" cm="1">
        <f t="array" ref="AD7">SUMPRODUCT(('Hours Log'!$A$2:$A$980=$A7)*('Hours Log'!$B$2:$B$980=AD$2)*('Hours Log'!$C$2:$C$980=LOOKUP(2,1/($A$1:AD$1&lt;&gt;""),$A$1:AD$1))*'Hours Log'!$F$2:$F$980*'Hours Log'!$AJ$2:$AJ$980)</f>
        <v>0</v>
      </c>
      <c r="AE7" s="7" cm="1">
        <f t="array" ref="AE7">SUMPRODUCT(('Hours Log'!$A$2:$A$980=$A7)*('Hours Log'!$B$2:$B$980=AE$2)*('Hours Log'!$C$2:$C$980=LOOKUP(2,1/($A$1:AE$1&lt;&gt;""),$A$1:AE$1))*'Hours Log'!$F$2:$F$980*'Hours Log'!$AJ$2:$AJ$980)</f>
        <v>0</v>
      </c>
      <c r="AF7" s="7" cm="1">
        <f t="array" ref="AF7">SUMPRODUCT(('Hours Log'!$A$2:$A$980=$A7)*('Hours Log'!$B$2:$B$980=AF$2)*('Hours Log'!$C$2:$C$980=LOOKUP(2,1/($A$1:AF$1&lt;&gt;""),$A$1:AF$1))*'Hours Log'!$F$2:$F$980*'Hours Log'!$AJ$2:$AJ$980)</f>
        <v>0</v>
      </c>
    </row>
    <row r="8" spans="1:33" x14ac:dyDescent="0.25">
      <c r="A8" t="s">
        <v>58</v>
      </c>
      <c r="B8" s="112" cm="1">
        <f t="array" ref="B8">SUMPRODUCT(('Hours Log'!$A$2:$A$980=$A8)*('Hours Log'!$B$2:$B$980=B$2)*('Hours Log'!$C$2:$C$980=LOOKUP(2,1/($A$1:B$1&lt;&gt;""),$A$1:B$1))*'Hours Log'!$F$2:$F$980*'Hours Log'!$AJ$2:$AJ$980)</f>
        <v>0</v>
      </c>
      <c r="C8" s="110" cm="1">
        <f t="array" ref="C8">SUMPRODUCT(('Hours Log'!$A$2:$A$980=$A8)*('Hours Log'!$B$2:$B$980=C$2)*('Hours Log'!$C$2:$C$980=LOOKUP(2,1/($A$1:C$1&lt;&gt;""),$A$1:C$1))*'Hours Log'!$F$2:$F$980*'Hours Log'!$AJ$2:$AJ$980)</f>
        <v>61.294214905528854</v>
      </c>
      <c r="D8" s="110" cm="1">
        <f t="array" ref="D8">SUMPRODUCT(('Hours Log'!$A$2:$A$980=$A8)*('Hours Log'!$B$2:$B$980=D$2)*('Hours Log'!$C$2:$C$980=LOOKUP(2,1/($A$1:D$1&lt;&gt;""),$A$1:D$1))*'Hours Log'!$F$2:$F$980*'Hours Log'!$AJ$2:$AJ$980)</f>
        <v>122.58842981105771</v>
      </c>
      <c r="E8" s="110" cm="1">
        <f t="array" ref="E8">SUMPRODUCT(('Hours Log'!$A$2:$A$980=$A8)*('Hours Log'!$B$2:$B$980=E$2)*('Hours Log'!$C$2:$C$980=LOOKUP(2,1/($A$1:E$1&lt;&gt;""),$A$1:E$1))*'Hours Log'!$F$2:$F$980*'Hours Log'!$AJ$2:$AJ$980)</f>
        <v>102.15702484254808</v>
      </c>
      <c r="F8" s="110" cm="1">
        <f t="array" ref="F8">SUMPRODUCT(('Hours Log'!$A$2:$A$980=$A8)*('Hours Log'!$B$2:$B$980=F$2)*('Hours Log'!$C$2:$C$980=LOOKUP(2,1/($A$1:F$1&lt;&gt;""),$A$1:F$1))*'Hours Log'!$F$2:$F$980*'Hours Log'!$AJ$2:$AJ$980)</f>
        <v>490.35371924423083</v>
      </c>
      <c r="G8" s="110" cm="1">
        <f t="array" ref="G8">SUMPRODUCT(('Hours Log'!$A$2:$A$980=$A8)*('Hours Log'!$B$2:$B$980=G$2)*('Hours Log'!$C$2:$C$980=LOOKUP(2,1/($A$1:G$1&lt;&gt;""),$A$1:G$1))*'Hours Log'!$F$2:$F$980*'Hours Log'!$AJ$2:$AJ$980)</f>
        <v>20.431404968509618</v>
      </c>
      <c r="H8" s="110" cm="1">
        <f t="array" ref="H8">SUMPRODUCT(('Hours Log'!$A$2:$A$980=$A8)*('Hours Log'!$B$2:$B$980=H$2)*('Hours Log'!$C$2:$C$980=LOOKUP(2,1/($A$1:H$1&lt;&gt;""),$A$1:H$1))*'Hours Log'!$F$2:$F$980*'Hours Log'!$AJ$2:$AJ$980)</f>
        <v>510.78512421274047</v>
      </c>
      <c r="I8" s="110" cm="1">
        <f t="array" ref="I8">SUMPRODUCT(('Hours Log'!$A$2:$A$980=$A8)*('Hours Log'!$B$2:$B$980=I$2)*('Hours Log'!$C$2:$C$980=LOOKUP(2,1/($A$1:I$1&lt;&gt;""),$A$1:I$1))*'Hours Log'!$F$2:$F$980*'Hours Log'!$AJ$2:$AJ$980)</f>
        <v>81.725619874038472</v>
      </c>
      <c r="J8" s="110" cm="1">
        <f t="array" ref="J8">SUMPRODUCT(('Hours Log'!$A$2:$A$980=$A8)*('Hours Log'!$B$2:$B$980=J$2)*('Hours Log'!$C$2:$C$980=LOOKUP(2,1/($A$1:J$1&lt;&gt;""),$A$1:J$1))*'Hours Log'!$F$2:$F$980*'Hours Log'!$AJ$2:$AJ$980)</f>
        <v>0</v>
      </c>
      <c r="K8" s="110" cm="1">
        <f t="array" ref="K8">SUMPRODUCT(('Hours Log'!$A$2:$A$980=$A8)*('Hours Log'!$B$2:$B$980=K$2)*('Hours Log'!$C$2:$C$980=LOOKUP(2,1/($A$1:K$1&lt;&gt;""),$A$1:K$1))*'Hours Log'!$F$2:$F$980*'Hours Log'!$AJ$2:$AJ$980)</f>
        <v>0</v>
      </c>
      <c r="L8" s="110" cm="1">
        <f t="array" ref="L8">SUMPRODUCT(('Hours Log'!$A$2:$A$980=$A8)*('Hours Log'!$B$2:$B$980=L$2)*('Hours Log'!$C$2:$C$980=LOOKUP(2,1/($A$1:L$1&lt;&gt;""),$A$1:L$1))*'Hours Log'!$F$2:$F$980*'Hours Log'!$AJ$2:$AJ$980)</f>
        <v>0</v>
      </c>
      <c r="M8" s="111" cm="1">
        <f t="array" ref="M8">SUMPRODUCT(('Hours Log'!$A$2:$A$980=$A8)*('Hours Log'!$B$2:$B$980=M$2)*('Hours Log'!$C$2:$C$980=LOOKUP(2,1/($A$1:M$1&lt;&gt;""),$A$1:M$1))*'Hours Log'!$F$2:$F$980*'Hours Log'!$AJ$2:$AJ$980)</f>
        <v>0</v>
      </c>
      <c r="N8" s="107" cm="1">
        <f t="array" ref="N8">SUMPRODUCT(('Hours Log'!$A$2:$A$980=$A8)*('Hours Log'!$B$2:$B$980=N$2)*('Hours Log'!$C$2:$C$980=LOOKUP(2,1/($A$1:N$1&lt;&gt;""),$A$1:N$1))*'Hours Log'!$F$2:$F$980*'Hours Log'!$AJ$2:$AJ$980)</f>
        <v>160.00739561372762</v>
      </c>
      <c r="O8" s="95" cm="1">
        <f t="array" ref="O8">SUMPRODUCT(('Hours Log'!$A$2:$A$980=$A8)*('Hours Log'!$B$2:$B$980=O$2)*('Hours Log'!$C$2:$C$980=LOOKUP(2,1/($A$1:O$1&lt;&gt;""),$A$1:O$1))*'Hours Log'!$F$2:$F$980*'Hours Log'!$AJ$2:$AJ$980)</f>
        <v>23.468166148901403</v>
      </c>
      <c r="P8" s="95" cm="1">
        <f t="array" ref="P8">SUMPRODUCT(('Hours Log'!$A$2:$A$980=$A8)*('Hours Log'!$B$2:$B$980=P$2)*('Hours Log'!$C$2:$C$980=LOOKUP(2,1/($A$1:P$1&lt;&gt;""),$A$1:P$1))*'Hours Log'!$F$2:$F$980*'Hours Log'!$AJ$2:$AJ$980)</f>
        <v>38.919628496300923</v>
      </c>
      <c r="Q8" s="95" cm="1">
        <f t="array" ref="Q8">SUMPRODUCT(('Hours Log'!$A$2:$A$980=$A8)*('Hours Log'!$B$2:$B$980=Q$2)*('Hours Log'!$C$2:$C$980=LOOKUP(2,1/($A$1:Q$1&lt;&gt;""),$A$1:Q$1))*'Hours Log'!$F$2:$F$980*'Hours Log'!$AJ$2:$AJ$980)</f>
        <v>115.89816489215809</v>
      </c>
      <c r="R8" s="95" cm="1">
        <f t="array" ref="R8">SUMPRODUCT(('Hours Log'!$A$2:$A$980=$A8)*('Hours Log'!$B$2:$B$980=R$2)*('Hours Log'!$C$2:$C$980=LOOKUP(2,1/($A$1:R$1&lt;&gt;""),$A$1:R$1))*'Hours Log'!$F$2:$F$980*'Hours Log'!$AJ$2:$AJ$980)</f>
        <v>272.64035517935599</v>
      </c>
      <c r="S8" s="95" cm="1">
        <f t="array" ref="S8">SUMPRODUCT(('Hours Log'!$A$2:$A$980=$A8)*('Hours Log'!$B$2:$B$980=S$2)*('Hours Log'!$C$2:$C$980=LOOKUP(2,1/($A$1:S$1&lt;&gt;""),$A$1:S$1))*'Hours Log'!$F$2:$F$980*'Hours Log'!$AJ$2:$AJ$980)</f>
        <v>316.41300567484285</v>
      </c>
      <c r="T8" s="95" cm="1">
        <f t="array" ref="T8">SUMPRODUCT(('Hours Log'!$A$2:$A$980=$A8)*('Hours Log'!$B$2:$B$980=T$2)*('Hours Log'!$C$2:$C$980=LOOKUP(2,1/($A$1:T$1&lt;&gt;""),$A$1:T$1))*'Hours Log'!$F$2:$F$980*'Hours Log'!$AJ$2:$AJ$980)</f>
        <v>90.099802428630369</v>
      </c>
      <c r="U8" s="95" cm="1">
        <f t="array" ref="U8">SUMPRODUCT(('Hours Log'!$A$2:$A$980=$A8)*('Hours Log'!$B$2:$B$980=U$2)*('Hours Log'!$C$2:$C$980=LOOKUP(2,1/($A$1:U$1&lt;&gt;""),$A$1:U$1))*'Hours Log'!$F$2:$F$980*'Hours Log'!$AJ$2:$AJ$980)</f>
        <v>41.741059725320241</v>
      </c>
      <c r="V8" s="95" cm="1">
        <f t="array" ref="V8">SUMPRODUCT(('Hours Log'!$A$2:$A$980=$A8)*('Hours Log'!$B$2:$B$980=V$2)*('Hours Log'!$C$2:$C$980=LOOKUP(2,1/($A$1:V$1&lt;&gt;""),$A$1:V$1))*'Hours Log'!$F$2:$F$980*'Hours Log'!$AJ$2:$AJ$980)</f>
        <v>62.635177438186808</v>
      </c>
      <c r="W8" s="95" cm="1">
        <f t="array" ref="W8">SUMPRODUCT(('Hours Log'!$A$2:$A$980=$A8)*('Hours Log'!$B$2:$B$980=W$2)*('Hours Log'!$C$2:$C$980=LOOKUP(2,1/($A$1:W$1&lt;&gt;""),$A$1:W$1))*'Hours Log'!$F$2:$F$980*'Hours Log'!$AJ$2:$AJ$980)</f>
        <v>133.97774991728701</v>
      </c>
      <c r="X8" s="95" cm="1">
        <f t="array" ref="X8">SUMPRODUCT(('Hours Log'!$A$2:$A$980=$A8)*('Hours Log'!$B$2:$B$980=X$2)*('Hours Log'!$C$2:$C$980=LOOKUP(2,1/($A$1:X$1&lt;&gt;""),$A$1:X$1))*'Hours Log'!$F$2:$F$980*'Hours Log'!$AJ$2:$AJ$980)</f>
        <v>38.445189025705595</v>
      </c>
      <c r="Y8" s="96" cm="1">
        <f t="array" ref="Y8">SUMPRODUCT(('Hours Log'!$A$2:$A$980=$A8)*('Hours Log'!$B$2:$B$980=Y$2)*('Hours Log'!$C$2:$C$980=LOOKUP(2,1/($A$1:Y$1&lt;&gt;""),$A$1:Y$1))*'Hours Log'!$F$2:$F$980*'Hours Log'!$AJ$2:$AJ$980)</f>
        <v>88.932908078406356</v>
      </c>
      <c r="Z8" s="7" cm="1">
        <f t="array" ref="Z8">SUMPRODUCT(('Hours Log'!$A$2:$A$980=$A8)*('Hours Log'!$B$2:$B$980=Z$2)*('Hours Log'!$C$2:$C$980=LOOKUP(2,1/($A$1:Z$1&lt;&gt;""),$A$1:Z$1))*'Hours Log'!$F$2:$F$980*'Hours Log'!$AJ$2:$AJ$980)</f>
        <v>22.883437499999996</v>
      </c>
      <c r="AA8" s="7" cm="1">
        <f t="array" ref="AA8">SUMPRODUCT(('Hours Log'!$A$2:$A$980=$A8)*('Hours Log'!$B$2:$B$980=AA$2)*('Hours Log'!$C$2:$C$980=LOOKUP(2,1/($A$1:AA$1&lt;&gt;""),$A$1:AA$1))*'Hours Log'!$F$2:$F$980*'Hours Log'!$AJ$2:$AJ$980)</f>
        <v>45.766874999999992</v>
      </c>
      <c r="AB8" s="7" cm="1">
        <f t="array" ref="AB8">SUMPRODUCT(('Hours Log'!$A$2:$A$980=$A8)*('Hours Log'!$B$2:$B$980=AB$2)*('Hours Log'!$C$2:$C$980=LOOKUP(2,1/($A$1:AB$1&lt;&gt;""),$A$1:AB$1))*'Hours Log'!$F$2:$F$980*'Hours Log'!$AJ$2:$AJ$980)</f>
        <v>160.18406249999998</v>
      </c>
      <c r="AC8" s="7" cm="1">
        <f t="array" ref="AC8">SUMPRODUCT(('Hours Log'!$A$2:$A$980=$A8)*('Hours Log'!$B$2:$B$980=AC$2)*('Hours Log'!$C$2:$C$980=LOOKUP(2,1/($A$1:AC$1&lt;&gt;""),$A$1:AC$1))*'Hours Log'!$F$2:$F$980*'Hours Log'!$AJ$2:$AJ$980)</f>
        <v>68.650312499999984</v>
      </c>
      <c r="AD8" s="7" cm="1">
        <f t="array" ref="AD8">SUMPRODUCT(('Hours Log'!$A$2:$A$980=$A8)*('Hours Log'!$B$2:$B$980=AD$2)*('Hours Log'!$C$2:$C$980=LOOKUP(2,1/($A$1:AD$1&lt;&gt;""),$A$1:AD$1))*'Hours Log'!$F$2:$F$980*'Hours Log'!$AJ$2:$AJ$980)</f>
        <v>68.650312499999998</v>
      </c>
      <c r="AE8" s="7" cm="1">
        <f t="array" ref="AE8">SUMPRODUCT(('Hours Log'!$A$2:$A$980=$A8)*('Hours Log'!$B$2:$B$980=AE$2)*('Hours Log'!$C$2:$C$980=LOOKUP(2,1/($A$1:AE$1&lt;&gt;""),$A$1:AE$1))*'Hours Log'!$F$2:$F$980*'Hours Log'!$AJ$2:$AJ$980)</f>
        <v>22.883437499999996</v>
      </c>
      <c r="AF8" s="7" cm="1">
        <f t="array" ref="AF8">SUMPRODUCT(('Hours Log'!$A$2:$A$980=$A8)*('Hours Log'!$B$2:$B$980=AF$2)*('Hours Log'!$C$2:$C$980=LOOKUP(2,1/($A$1:AF$1&lt;&gt;""),$A$1:AF$1))*'Hours Log'!$F$2:$F$980*'Hours Log'!$AJ$2:$AJ$980)</f>
        <v>68.650312499999984</v>
      </c>
    </row>
    <row r="9" spans="1:33" x14ac:dyDescent="0.25">
      <c r="B9" s="68"/>
      <c r="M9" s="65"/>
      <c r="N9" s="68"/>
      <c r="Y9" s="65"/>
    </row>
    <row r="10" spans="1:33" x14ac:dyDescent="0.25">
      <c r="A10" t="s">
        <v>98</v>
      </c>
      <c r="B10" s="108">
        <f t="shared" ref="B10:AF10" si="0">SUM(B3:B8)</f>
        <v>5446.9210183543255</v>
      </c>
      <c r="C10" s="98">
        <f t="shared" si="0"/>
        <v>5936.5290099859039</v>
      </c>
      <c r="D10" s="98">
        <f t="shared" si="0"/>
        <v>16529.902651825378</v>
      </c>
      <c r="E10" s="98">
        <f t="shared" si="0"/>
        <v>20059.854633876614</v>
      </c>
      <c r="F10" s="98">
        <f t="shared" si="0"/>
        <v>21637.261635516883</v>
      </c>
      <c r="G10" s="98">
        <f t="shared" si="0"/>
        <v>18633.137701070649</v>
      </c>
      <c r="H10" s="98">
        <f t="shared" si="0"/>
        <v>21094.60722598539</v>
      </c>
      <c r="I10" s="98">
        <f t="shared" si="0"/>
        <v>19479.261575508932</v>
      </c>
      <c r="J10" s="98">
        <f t="shared" si="0"/>
        <v>20569.48716885164</v>
      </c>
      <c r="K10" s="98">
        <f t="shared" si="0"/>
        <v>16000.658591393189</v>
      </c>
      <c r="L10" s="98">
        <f t="shared" si="0"/>
        <v>14866.152931733654</v>
      </c>
      <c r="M10" s="109">
        <f t="shared" si="0"/>
        <v>15730.554459611538</v>
      </c>
      <c r="N10" s="108">
        <f t="shared" si="0"/>
        <v>17633.609517742672</v>
      </c>
      <c r="O10" s="98">
        <f t="shared" si="0"/>
        <v>15675.907986549793</v>
      </c>
      <c r="P10" s="98">
        <f t="shared" si="0"/>
        <v>14599.638434495786</v>
      </c>
      <c r="Q10" s="98">
        <f t="shared" si="0"/>
        <v>14496.274764163134</v>
      </c>
      <c r="R10" s="98">
        <f t="shared" si="0"/>
        <v>15537.378939877255</v>
      </c>
      <c r="S10" s="98">
        <f t="shared" si="0"/>
        <v>13506.437944999483</v>
      </c>
      <c r="T10" s="98">
        <f t="shared" si="0"/>
        <v>13193.381364573675</v>
      </c>
      <c r="U10" s="98">
        <f t="shared" si="0"/>
        <v>13394.694107663845</v>
      </c>
      <c r="V10" s="98">
        <f t="shared" si="0"/>
        <v>14083.720141551001</v>
      </c>
      <c r="W10" s="98">
        <f t="shared" si="0"/>
        <v>16754.210322016144</v>
      </c>
      <c r="X10" s="98">
        <f t="shared" si="0"/>
        <v>15061.782805885692</v>
      </c>
      <c r="Y10" s="109">
        <f t="shared" si="0"/>
        <v>17137.945523366092</v>
      </c>
      <c r="Z10" s="98">
        <f t="shared" si="0"/>
        <v>19801.514412718359</v>
      </c>
      <c r="AA10" s="98">
        <f t="shared" si="0"/>
        <v>18564.78363492636</v>
      </c>
      <c r="AB10" s="98">
        <f t="shared" si="0"/>
        <v>20616.356849164888</v>
      </c>
      <c r="AC10" s="98">
        <f t="shared" si="0"/>
        <v>18629.800325782602</v>
      </c>
      <c r="AD10" s="98">
        <f t="shared" si="0"/>
        <v>18774.619286421581</v>
      </c>
      <c r="AE10" s="98">
        <f t="shared" si="0"/>
        <v>18966.675953696889</v>
      </c>
      <c r="AF10" s="98">
        <f t="shared" si="0"/>
        <v>14217.876805548365</v>
      </c>
    </row>
    <row r="11" spans="1:33" x14ac:dyDescent="0.25">
      <c r="A11" t="s">
        <v>99</v>
      </c>
      <c r="B11" s="112"/>
      <c r="C11" s="110"/>
      <c r="D11" s="110">
        <v>25373.65</v>
      </c>
      <c r="E11" s="110">
        <v>25373.65</v>
      </c>
      <c r="F11" s="110">
        <v>25373.65</v>
      </c>
      <c r="G11" s="110">
        <v>25373.65</v>
      </c>
      <c r="H11" s="110">
        <v>25373.65</v>
      </c>
      <c r="I11" s="110">
        <v>25373.65</v>
      </c>
      <c r="J11" s="110">
        <v>25373.65</v>
      </c>
      <c r="K11" s="110">
        <v>25373.65</v>
      </c>
      <c r="L11" s="110">
        <v>25373.65</v>
      </c>
      <c r="M11" s="111">
        <v>25373.65</v>
      </c>
      <c r="N11" s="107">
        <v>25373.65</v>
      </c>
      <c r="O11" s="95">
        <v>25373.65</v>
      </c>
      <c r="P11" s="95">
        <v>25373.65</v>
      </c>
      <c r="Q11" s="95">
        <v>25373.65</v>
      </c>
      <c r="R11" s="95">
        <v>25373.65</v>
      </c>
      <c r="S11" s="95">
        <v>25373.65</v>
      </c>
      <c r="T11" s="95">
        <v>25373.65</v>
      </c>
      <c r="U11" s="95">
        <v>25373.65</v>
      </c>
      <c r="V11" s="95">
        <v>25373.65</v>
      </c>
      <c r="W11" s="95">
        <v>25373.65</v>
      </c>
      <c r="X11" s="95">
        <v>25373.65</v>
      </c>
      <c r="Y11" s="96">
        <v>25373.65</v>
      </c>
      <c r="Z11" s="7">
        <v>18448.11</v>
      </c>
      <c r="AA11" s="7">
        <v>18448.11</v>
      </c>
      <c r="AB11" s="7">
        <v>18448.11</v>
      </c>
      <c r="AC11" s="7">
        <v>18448.11</v>
      </c>
      <c r="AD11" s="7">
        <v>18448.11</v>
      </c>
      <c r="AE11" s="7">
        <v>18448.169999999998</v>
      </c>
    </row>
    <row r="12" spans="1:33" x14ac:dyDescent="0.25">
      <c r="A12" t="s">
        <v>100</v>
      </c>
      <c r="B12" s="108">
        <f t="shared" ref="B12:AF12" si="1">B10-B11</f>
        <v>5446.9210183543255</v>
      </c>
      <c r="C12" s="98">
        <v>77</v>
      </c>
      <c r="D12" s="98">
        <f t="shared" si="1"/>
        <v>-8843.7473481746238</v>
      </c>
      <c r="E12" s="98">
        <f t="shared" si="1"/>
        <v>-5313.7953661233878</v>
      </c>
      <c r="F12" s="98">
        <f t="shared" si="1"/>
        <v>-3736.3883644831185</v>
      </c>
      <c r="G12" s="98">
        <f t="shared" si="1"/>
        <v>-6740.5122989293523</v>
      </c>
      <c r="H12" s="98">
        <f t="shared" si="1"/>
        <v>-4279.0427740146115</v>
      </c>
      <c r="I12" s="98">
        <f t="shared" si="1"/>
        <v>-5894.3884244910696</v>
      </c>
      <c r="J12" s="98">
        <f t="shared" si="1"/>
        <v>-4804.1628311483619</v>
      </c>
      <c r="K12" s="98">
        <f t="shared" si="1"/>
        <v>-9372.9914086068129</v>
      </c>
      <c r="L12" s="98">
        <f t="shared" si="1"/>
        <v>-10507.497068266348</v>
      </c>
      <c r="M12" s="109">
        <f t="shared" si="1"/>
        <v>-9643.0955403884636</v>
      </c>
      <c r="N12" s="108">
        <f t="shared" si="1"/>
        <v>-7740.0404822573291</v>
      </c>
      <c r="O12" s="98">
        <f t="shared" si="1"/>
        <v>-9697.7420134502081</v>
      </c>
      <c r="P12" s="98">
        <f t="shared" si="1"/>
        <v>-10774.011565504215</v>
      </c>
      <c r="Q12" s="98">
        <f t="shared" si="1"/>
        <v>-10877.375235836867</v>
      </c>
      <c r="R12" s="98">
        <f t="shared" si="1"/>
        <v>-9836.2710601227463</v>
      </c>
      <c r="S12" s="98">
        <f t="shared" si="1"/>
        <v>-11867.212055000518</v>
      </c>
      <c r="T12" s="98">
        <f t="shared" si="1"/>
        <v>-12180.268635426326</v>
      </c>
      <c r="U12" s="98">
        <f t="shared" si="1"/>
        <v>-11978.955892336156</v>
      </c>
      <c r="V12" s="98">
        <f t="shared" si="1"/>
        <v>-11289.929858449001</v>
      </c>
      <c r="W12" s="98">
        <f t="shared" si="1"/>
        <v>-8619.4396779838571</v>
      </c>
      <c r="X12" s="98">
        <f t="shared" si="1"/>
        <v>-10311.867194114309</v>
      </c>
      <c r="Y12" s="109">
        <f t="shared" si="1"/>
        <v>-8235.7044766339095</v>
      </c>
      <c r="Z12" s="98">
        <f t="shared" si="1"/>
        <v>1353.4044127183588</v>
      </c>
      <c r="AA12" s="98">
        <f t="shared" si="1"/>
        <v>116.67363492635923</v>
      </c>
      <c r="AB12" s="98">
        <f t="shared" si="1"/>
        <v>2168.246849164887</v>
      </c>
      <c r="AC12" s="98">
        <f t="shared" si="1"/>
        <v>181.69032578260158</v>
      </c>
      <c r="AD12" s="98">
        <f t="shared" si="1"/>
        <v>326.50928642158033</v>
      </c>
      <c r="AE12" s="98">
        <f t="shared" si="1"/>
        <v>518.50595369689108</v>
      </c>
      <c r="AF12" s="98">
        <f t="shared" si="1"/>
        <v>14217.876805548365</v>
      </c>
      <c r="AG12" s="113">
        <f>SUM(B12:AF12)</f>
        <v>-168137.61128512819</v>
      </c>
    </row>
    <row r="14" spans="1:33" x14ac:dyDescent="0.25">
      <c r="A14" t="s">
        <v>119</v>
      </c>
    </row>
  </sheetData>
  <mergeCells count="3">
    <mergeCell ref="B1:M1"/>
    <mergeCell ref="N1:Y1"/>
    <mergeCell ref="Z1:AF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38364-4610-4164-AC24-4174E0B7D8D3}">
  <dimension ref="A1:AI33"/>
  <sheetViews>
    <sheetView topLeftCell="D1" workbookViewId="0"/>
  </sheetViews>
  <sheetFormatPr defaultRowHeight="15" x14ac:dyDescent="0.25"/>
  <cols>
    <col min="1" max="1" width="18.140625" bestFit="1" customWidth="1"/>
    <col min="2" max="4" width="11.28515625" bestFit="1" customWidth="1"/>
    <col min="5" max="5" width="12.28515625" bestFit="1" customWidth="1"/>
    <col min="6" max="25" width="11.28515625" bestFit="1" customWidth="1"/>
    <col min="26" max="26" width="9.5703125" bestFit="1" customWidth="1"/>
    <col min="27" max="28" width="10.42578125" bestFit="1" customWidth="1"/>
    <col min="29" max="34" width="9.5703125" bestFit="1" customWidth="1"/>
    <col min="35" max="35" width="13.42578125" bestFit="1" customWidth="1"/>
  </cols>
  <sheetData>
    <row r="1" spans="1:34" s="61" customFormat="1" x14ac:dyDescent="0.25">
      <c r="B1" s="135">
        <v>2023</v>
      </c>
      <c r="C1" s="128"/>
      <c r="D1" s="136"/>
      <c r="E1" s="135">
        <v>2024</v>
      </c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36"/>
      <c r="Q1" s="128">
        <v>2025</v>
      </c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28"/>
      <c r="AC1" s="128">
        <v>2026</v>
      </c>
      <c r="AD1" s="128"/>
      <c r="AE1" s="128"/>
      <c r="AF1" s="128"/>
      <c r="AG1" s="128"/>
      <c r="AH1" s="128"/>
    </row>
    <row r="2" spans="1:34" s="61" customFormat="1" x14ac:dyDescent="0.25">
      <c r="A2" s="62" t="s">
        <v>3</v>
      </c>
      <c r="B2" s="70" t="s">
        <v>15</v>
      </c>
      <c r="C2" s="10" t="s">
        <v>16</v>
      </c>
      <c r="D2" s="117" t="s">
        <v>17</v>
      </c>
      <c r="E2" s="70" t="s">
        <v>6</v>
      </c>
      <c r="F2" s="10" t="s">
        <v>7</v>
      </c>
      <c r="G2" s="10" t="s">
        <v>8</v>
      </c>
      <c r="H2" s="10" t="s">
        <v>9</v>
      </c>
      <c r="I2" s="10" t="s">
        <v>10</v>
      </c>
      <c r="J2" s="10" t="s">
        <v>11</v>
      </c>
      <c r="K2" s="10" t="s">
        <v>12</v>
      </c>
      <c r="L2" s="10" t="s">
        <v>13</v>
      </c>
      <c r="M2" s="10" t="s">
        <v>14</v>
      </c>
      <c r="N2" s="10" t="s">
        <v>15</v>
      </c>
      <c r="O2" s="10" t="s">
        <v>16</v>
      </c>
      <c r="P2" s="117" t="s">
        <v>17</v>
      </c>
      <c r="Q2" s="10" t="s">
        <v>6</v>
      </c>
      <c r="R2" s="10" t="s">
        <v>7</v>
      </c>
      <c r="S2" s="10" t="s">
        <v>8</v>
      </c>
      <c r="T2" s="10" t="s">
        <v>9</v>
      </c>
      <c r="U2" s="10" t="s">
        <v>10</v>
      </c>
      <c r="V2" s="10" t="s">
        <v>11</v>
      </c>
      <c r="W2" s="10" t="s">
        <v>12</v>
      </c>
      <c r="X2" s="10" t="s">
        <v>13</v>
      </c>
      <c r="Y2" s="10" t="s">
        <v>14</v>
      </c>
      <c r="Z2" s="10" t="s">
        <v>15</v>
      </c>
      <c r="AA2" s="10" t="s">
        <v>16</v>
      </c>
      <c r="AB2" s="10" t="s">
        <v>17</v>
      </c>
      <c r="AC2" s="10" t="s">
        <v>6</v>
      </c>
      <c r="AD2" s="10" t="s">
        <v>7</v>
      </c>
      <c r="AE2" s="10" t="s">
        <v>8</v>
      </c>
      <c r="AF2" s="10" t="s">
        <v>9</v>
      </c>
      <c r="AG2" s="10" t="s">
        <v>10</v>
      </c>
      <c r="AH2" s="10" t="s">
        <v>11</v>
      </c>
    </row>
    <row r="3" spans="1:34" x14ac:dyDescent="0.25">
      <c r="A3" t="s">
        <v>56</v>
      </c>
      <c r="B3" s="107" cm="1">
        <f t="array" ref="B3">SUMPRODUCT(('Hours Log'!$A$2:$A$979=$A3)*('Hours Log'!$B$2:$B$979=B$2)*('Hours Log'!$C$2:$C$979=LOOKUP(2,1/($A$1:B$1&lt;&gt;""),$A$1:B$1))*'Hours Log'!$F$2:$F$979*'Hours Log'!$AN$2:$AN$979)</f>
        <v>4501.2925776923084</v>
      </c>
      <c r="C3" s="95" cm="1">
        <f t="array" ref="C3">SUMPRODUCT(('Hours Log'!$A$2:$A$979=$A3)*('Hours Log'!$B$2:$B$979=C$2)*('Hours Log'!$C$2:$C$979=LOOKUP(2,1/($A$1:C$1&lt;&gt;""),$A$1:C$1))*'Hours Log'!$F$2:$F$979*'Hours Log'!$AN$2:$AN$979)</f>
        <v>4051.1633199230778</v>
      </c>
      <c r="D3" s="96" cm="1">
        <f t="array" ref="D3">SUMPRODUCT(('Hours Log'!$A$2:$A$979=$A3)*('Hours Log'!$B$2:$B$979=D$2)*('Hours Log'!$C$2:$C$979=LOOKUP(2,1/($A$1:D$1&lt;&gt;""),$A$1:D$1))*'Hours Log'!$F$2:$F$979*'Hours Log'!$AN$2:$AN$979)</f>
        <v>4378.5300528461548</v>
      </c>
      <c r="E3" s="107" cm="1">
        <f t="array" ref="E3">SUMPRODUCT(('Hours Log'!$A$2:$A$979=$A3)*('Hours Log'!$B$2:$B$979=E$2)*('Hours Log'!$C$2:$C$979=LOOKUP(2,1/($A$1:E$1&lt;&gt;""),$A$1:E$1))*'Hours Log'!$F$2:$F$979*'Hours Log'!$AN$2:$AN$979)</f>
        <v>3251.5291827483175</v>
      </c>
      <c r="F3" s="95" cm="1">
        <f t="array" ref="F3">SUMPRODUCT(('Hours Log'!$A$2:$A$979=$A3)*('Hours Log'!$B$2:$B$979=F$2)*('Hours Log'!$C$2:$C$979=LOOKUP(2,1/($A$1:F$1&lt;&gt;""),$A$1:F$1))*'Hours Log'!$F$2:$F$979*'Hours Log'!$AN$2:$AN$979)</f>
        <v>2637.0669749848562</v>
      </c>
      <c r="G3" s="95" cm="1">
        <f t="array" ref="G3">SUMPRODUCT(('Hours Log'!$A$2:$A$979=$A3)*('Hours Log'!$B$2:$B$979=G$2)*('Hours Log'!$C$2:$C$979=LOOKUP(2,1/($A$1:G$1&lt;&gt;""),$A$1:G$1))*'Hours Log'!$F$2:$F$979*'Hours Log'!$AN$2:$AN$979)</f>
        <v>1382.5399674677888</v>
      </c>
      <c r="H3" s="95" cm="1">
        <f t="array" ref="H3">SUMPRODUCT(('Hours Log'!$A$2:$A$979=$A3)*('Hours Log'!$B$2:$B$979=H$2)*('Hours Log'!$C$2:$C$979=LOOKUP(2,1/($A$1:H$1&lt;&gt;""),$A$1:H$1))*'Hours Log'!$F$2:$F$979*'Hours Log'!$AN$2:$AN$979)</f>
        <v>3971.4393541322033</v>
      </c>
      <c r="I3" s="95" cm="1">
        <f t="array" ref="I3">SUMPRODUCT(('Hours Log'!$A$2:$A$979=$A3)*('Hours Log'!$B$2:$B$979=I$2)*('Hours Log'!$C$2:$C$979=LOOKUP(2,1/($A$1:I$1&lt;&gt;""),$A$1:I$1))*'Hours Log'!$F$2:$F$979*'Hours Log'!$AN$2:$AN$979)</f>
        <v>3379.5421426990388</v>
      </c>
      <c r="J3" s="95" cm="1">
        <f t="array" ref="J3">SUMPRODUCT(('Hours Log'!$A$2:$A$979=$A3)*('Hours Log'!$B$2:$B$979=J$2)*('Hours Log'!$C$2:$C$979=LOOKUP(2,1/($A$1:J$1&lt;&gt;""),$A$1:J$1))*'Hours Log'!$F$2:$F$979*'Hours Log'!$AN$2:$AN$979)</f>
        <v>3737.9784305610583</v>
      </c>
      <c r="K3" s="95" cm="1">
        <f t="array" ref="K3">SUMPRODUCT(('Hours Log'!$A$2:$A$979=$A3)*('Hours Log'!$B$2:$B$979=K$2)*('Hours Log'!$C$2:$C$979=LOOKUP(2,1/($A$1:K$1&lt;&gt;""),$A$1:K$1))*'Hours Log'!$F$2:$F$979*'Hours Log'!$AN$2:$AN$979)</f>
        <v>4081.0805456803173</v>
      </c>
      <c r="L3" s="95" cm="1">
        <f t="array" ref="L3">SUMPRODUCT(('Hours Log'!$A$2:$A$979=$A3)*('Hours Log'!$B$2:$B$979=L$2)*('Hours Log'!$C$2:$C$979=LOOKUP(2,1/($A$1:L$1&lt;&gt;""),$A$1:L$1))*'Hours Log'!$F$2:$F$979*'Hours Log'!$AN$2:$AN$979)</f>
        <v>3123.516222797597</v>
      </c>
      <c r="M3" s="95" cm="1">
        <f t="array" ref="M3">SUMPRODUCT(('Hours Log'!$A$2:$A$979=$A3)*('Hours Log'!$B$2:$B$979=M$2)*('Hours Log'!$C$2:$C$979=LOOKUP(2,1/($A$1:M$1&lt;&gt;""),$A$1:M$1))*'Hours Log'!$F$2:$F$979*'Hours Log'!$AN$2:$AN$979)</f>
        <v>3328.3369587187503</v>
      </c>
      <c r="N3" s="95" cm="1">
        <f t="array" ref="N3">SUMPRODUCT(('Hours Log'!$A$2:$A$979=$A3)*('Hours Log'!$B$2:$B$979=N$2)*('Hours Log'!$C$2:$C$979=LOOKUP(2,1/($A$1:N$1&lt;&gt;""),$A$1:N$1))*'Hours Log'!$F$2:$F$979*'Hours Log'!$AN$2:$AN$979)</f>
        <v>3481.9525106596157</v>
      </c>
      <c r="O3" s="95" cm="1">
        <f t="array" ref="O3">SUMPRODUCT(('Hours Log'!$A$2:$A$979=$A3)*('Hours Log'!$B$2:$B$979=O$2)*('Hours Log'!$C$2:$C$979=LOOKUP(2,1/($A$1:O$1&lt;&gt;""),$A$1:O$1))*'Hours Log'!$F$2:$F$979*'Hours Log'!$AN$2:$AN$979)</f>
        <v>4403.6458223048085</v>
      </c>
      <c r="P3" s="96" cm="1">
        <f t="array" ref="P3">SUMPRODUCT(('Hours Log'!$A$2:$A$979=$A3)*('Hours Log'!$B$2:$B$979=P$2)*('Hours Log'!$C$2:$C$979=LOOKUP(2,1/($A$1:P$1&lt;&gt;""),$A$1:P$1))*'Hours Log'!$F$2:$F$979*'Hours Log'!$AN$2:$AN$979)</f>
        <v>4762.0821101668271</v>
      </c>
      <c r="Q3" s="7" cm="1">
        <f t="array" ref="Q3">SUMPRODUCT(('Hours Log'!$A$2:$A$979=$A3)*('Hours Log'!$B$2:$B$979=Q$2)*('Hours Log'!$C$2:$C$979=LOOKUP(2,1/($A$1:Q$1&lt;&gt;""),$A$1:Q$1))*'Hours Log'!$F$2:$F$979*'Hours Log'!$AN$2:$AN$979)</f>
        <v>3388.9139550000004</v>
      </c>
      <c r="R3" s="7" cm="1">
        <f t="array" ref="R3">SUMPRODUCT(('Hours Log'!$A$2:$A$979=$A3)*('Hours Log'!$B$2:$B$979=R$2)*('Hours Log'!$C$2:$C$979=LOOKUP(2,1/($A$1:R$1&lt;&gt;""),$A$1:R$1))*'Hours Log'!$F$2:$F$979*'Hours Log'!$AN$2:$AN$979)</f>
        <v>1506.18398</v>
      </c>
      <c r="S3" s="7" cm="1">
        <f t="array" ref="S3">SUMPRODUCT(('Hours Log'!$A$2:$A$979=$A3)*('Hours Log'!$B$2:$B$979=S$2)*('Hours Log'!$C$2:$C$979=LOOKUP(2,1/($A$1:S$1&lt;&gt;""),$A$1:S$1))*'Hours Log'!$F$2:$F$979*'Hours Log'!$AN$2:$AN$979)</f>
        <v>2313.0682550000001</v>
      </c>
      <c r="T3" s="7" cm="1">
        <f t="array" ref="T3">SUMPRODUCT(('Hours Log'!$A$2:$A$979=$A3)*('Hours Log'!$B$2:$B$979=T$2)*('Hours Log'!$C$2:$C$979=LOOKUP(2,1/($A$1:T$1&lt;&gt;""),$A$1:T$1))*'Hours Log'!$F$2:$F$979*'Hours Log'!$AN$2:$AN$979)</f>
        <v>1839.3887625142856</v>
      </c>
      <c r="U3" s="7" cm="1">
        <f t="array" ref="U3">SUMPRODUCT(('Hours Log'!$A$2:$A$979=$A3)*('Hours Log'!$B$2:$B$979=U$2)*('Hours Log'!$C$2:$C$979=LOOKUP(2,1/($A$1:U$1&lt;&gt;""),$A$1:U$1))*'Hours Log'!$F$2:$F$979*'Hours Log'!$AN$2:$AN$979)</f>
        <v>2366.8605400000001</v>
      </c>
      <c r="V3" s="7" cm="1">
        <f t="array" ref="V3">SUMPRODUCT(('Hours Log'!$A$2:$A$979=$A3)*('Hours Log'!$B$2:$B$979=V$2)*('Hours Log'!$C$2:$C$979=LOOKUP(2,1/($A$1:V$1&lt;&gt;""),$A$1:V$1))*'Hours Log'!$F$2:$F$979*'Hours Log'!$AN$2:$AN$979)</f>
        <v>2528.2373950000001</v>
      </c>
      <c r="W3" s="7" cm="1">
        <f t="array" ref="W3">SUMPRODUCT(('Hours Log'!$A$2:$A$979=$A3)*('Hours Log'!$B$2:$B$979=W$2)*('Hours Log'!$C$2:$C$979=LOOKUP(2,1/($A$1:W$1&lt;&gt;""),$A$1:W$1))*'Hours Log'!$F$2:$F$979*'Hours Log'!$AN$2:$AN$979)</f>
        <v>3618.5433866666663</v>
      </c>
      <c r="X3" s="7" cm="1">
        <f t="array" ref="X3">SUMPRODUCT(('Hours Log'!$A$2:$A$979=$A3)*('Hours Log'!$B$2:$B$979=X$2)*('Hours Log'!$C$2:$C$979=LOOKUP(2,1/($A$1:X$1&lt;&gt;""),$A$1:X$1))*'Hours Log'!$F$2:$F$979*'Hours Log'!$AN$2:$AN$979)</f>
        <v>3501.8777535000004</v>
      </c>
      <c r="Y3" s="7" cm="1">
        <f t="array" ref="Y3">SUMPRODUCT(('Hours Log'!$A$2:$A$979=$A3)*('Hours Log'!$B$2:$B$979=Y$2)*('Hours Log'!$C$2:$C$979=LOOKUP(2,1/($A$1:Y$1&lt;&gt;""),$A$1:Y$1))*'Hours Log'!$F$2:$F$979*'Hours Log'!$AN$2:$AN$979)</f>
        <v>4733.7210800000003</v>
      </c>
      <c r="Z3" s="7" cm="1">
        <f t="array" ref="Z3">SUMPRODUCT(('Hours Log'!$A$2:$A$979=$A3)*('Hours Log'!$B$2:$B$979=Z$2)*('Hours Log'!$C$2:$C$979=LOOKUP(2,1/($A$1:Z$1&lt;&gt;""),$A$1:Z$1))*'Hours Log'!$F$2:$F$979*'Hours Log'!$AN$2:$AN$979)</f>
        <v>1667.560835</v>
      </c>
      <c r="AA3" s="7" cm="1">
        <f t="array" ref="AA3">SUMPRODUCT(('Hours Log'!$A$2:$A$979=$A3)*('Hours Log'!$B$2:$B$979=AA$2)*('Hours Log'!$C$2:$C$979=LOOKUP(2,1/($A$1:AA$1&lt;&gt;""),$A$1:AA$1))*'Hours Log'!$F$2:$F$979*'Hours Log'!$AN$2:$AN$979)</f>
        <v>2797.1988200000001</v>
      </c>
      <c r="AB3" s="7" cm="1">
        <f t="array" ref="AB3">SUMPRODUCT(('Hours Log'!$A$2:$A$979=$A3)*('Hours Log'!$B$2:$B$979=AB$2)*('Hours Log'!$C$2:$C$979=LOOKUP(2,1/($A$1:AB$1&lt;&gt;""),$A$1:AB$1))*'Hours Log'!$F$2:$F$979*'Hours Log'!$AN$2:$AN$979)</f>
        <v>5002.6825049999998</v>
      </c>
      <c r="AC3" s="7" cm="1">
        <f t="array" ref="AC3">SUMPRODUCT(('Hours Log'!$A$2:$A$979=$A3)*('Hours Log'!$B$2:$B$979=AC$2)*('Hours Log'!$C$2:$C$979=LOOKUP(2,1/($A$1:AC$1&lt;&gt;""),$A$1:AC$1))*'Hours Log'!$F$2:$F$979*'Hours Log'!$AN$2:$AN$979)</f>
        <v>3994.2</v>
      </c>
      <c r="AD3" s="7" cm="1">
        <f t="array" ref="AD3">SUMPRODUCT(('Hours Log'!$A$2:$A$979=$A3)*('Hours Log'!$B$2:$B$979=AD$2)*('Hours Log'!$C$2:$C$979=LOOKUP(2,1/($A$1:AD$1&lt;&gt;""),$A$1:AD$1))*'Hours Log'!$F$2:$F$979*'Hours Log'!$AN$2:$AN$979)</f>
        <v>2453.58</v>
      </c>
      <c r="AE3" s="7" cm="1">
        <f t="array" ref="AE3">SUMPRODUCT(('Hours Log'!$A$2:$A$979=$A3)*('Hours Log'!$B$2:$B$979=AE$2)*('Hours Log'!$C$2:$C$979=LOOKUP(2,1/($A$1:AE$1&lt;&gt;""),$A$1:AE$1))*'Hours Log'!$F$2:$F$979*'Hours Log'!$AN$2:$AN$979)</f>
        <v>2567.6999999999998</v>
      </c>
      <c r="AF3" s="7" cm="1">
        <f t="array" ref="AF3">SUMPRODUCT(('Hours Log'!$A$2:$A$979=$A3)*('Hours Log'!$B$2:$B$979=AF$2)*('Hours Log'!$C$2:$C$979=LOOKUP(2,1/($A$1:AF$1&lt;&gt;""),$A$1:AF$1))*'Hours Log'!$F$2:$F$979*'Hours Log'!$AN$2:$AN$979)</f>
        <v>2681.8199999999997</v>
      </c>
      <c r="AG3" s="7" cm="1">
        <f t="array" ref="AG3">SUMPRODUCT(('Hours Log'!$A$2:$A$979=$A3)*('Hours Log'!$B$2:$B$979=AG$2)*('Hours Log'!$C$2:$C$979=LOOKUP(2,1/($A$1:AG$1&lt;&gt;""),$A$1:AG$1))*'Hours Log'!$F$2:$F$979*'Hours Log'!$AN$2:$AN$979)</f>
        <v>3195.3599999999997</v>
      </c>
      <c r="AH3" s="7" cm="1">
        <f t="array" ref="AH3">SUMPRODUCT(('Hours Log'!$A$2:$A$979=$A3)*('Hours Log'!$B$2:$B$979=AH$2)*('Hours Log'!$C$2:$C$979=LOOKUP(2,1/($A$1:AH$1&lt;&gt;""),$A$1:AH$1))*'Hours Log'!$F$2:$F$979*'Hours Log'!$AN$2:$AN$979)</f>
        <v>5306.58</v>
      </c>
    </row>
    <row r="4" spans="1:34" x14ac:dyDescent="0.25">
      <c r="A4" t="s">
        <v>55</v>
      </c>
      <c r="B4" s="107" cm="1">
        <f t="array" ref="B4">SUMPRODUCT(('Hours Log'!$A$2:$A$979=$A4)*('Hours Log'!$B$2:$B$979=B$2)*('Hours Log'!$C$2:$C$979=LOOKUP(2,1/($A$1:B$1&lt;&gt;""),$A$1:B$1))*'Hours Log'!$F$2:$F$979*'Hours Log'!$AN$2:$AN$979)</f>
        <v>1562.0985937993082</v>
      </c>
      <c r="C4" s="95" cm="1">
        <f t="array" ref="C4">SUMPRODUCT(('Hours Log'!$A$2:$A$979=$A4)*('Hours Log'!$B$2:$B$979=C$2)*('Hours Log'!$C$2:$C$979=LOOKUP(2,1/($A$1:C$1&lt;&gt;""),$A$1:C$1))*'Hours Log'!$F$2:$F$979*'Hours Log'!$AN$2:$AN$979)</f>
        <v>1712.5472887131718</v>
      </c>
      <c r="D4" s="96" cm="1">
        <f t="array" ref="D4">SUMPRODUCT(('Hours Log'!$A$2:$A$979=$A4)*('Hours Log'!$B$2:$B$979=D$2)*('Hours Log'!$C$2:$C$979=LOOKUP(2,1/($A$1:D$1&lt;&gt;""),$A$1:D$1))*'Hours Log'!$F$2:$F$979*'Hours Log'!$AN$2:$AN$979)</f>
        <v>583.06225797985473</v>
      </c>
      <c r="E4" s="107" cm="1">
        <f t="array" ref="E4">SUMPRODUCT(('Hours Log'!$A$2:$A$979=$A4)*('Hours Log'!$B$2:$B$979=E$2)*('Hours Log'!$C$2:$C$979=LOOKUP(2,1/($A$1:E$1&lt;&gt;""),$A$1:E$1))*'Hours Log'!$F$2:$F$979*'Hours Log'!$AN$2:$AN$979)</f>
        <v>0</v>
      </c>
      <c r="F4" s="95" cm="1">
        <f t="array" ref="F4">SUMPRODUCT(('Hours Log'!$A$2:$A$979=$A4)*('Hours Log'!$B$2:$B$979=F$2)*('Hours Log'!$C$2:$C$979=LOOKUP(2,1/($A$1:F$1&lt;&gt;""),$A$1:F$1))*'Hours Log'!$F$2:$F$979*'Hours Log'!$AN$2:$AN$979)</f>
        <v>0</v>
      </c>
      <c r="G4" s="95" cm="1">
        <f t="array" ref="G4">SUMPRODUCT(('Hours Log'!$A$2:$A$979=$A4)*('Hours Log'!$B$2:$B$979=G$2)*('Hours Log'!$C$2:$C$979=LOOKUP(2,1/($A$1:G$1&lt;&gt;""),$A$1:G$1))*'Hours Log'!$F$2:$F$979*'Hours Log'!$AN$2:$AN$979)</f>
        <v>0</v>
      </c>
      <c r="H4" s="95" cm="1">
        <f t="array" ref="H4">SUMPRODUCT(('Hours Log'!$A$2:$A$979=$A4)*('Hours Log'!$B$2:$B$979=H$2)*('Hours Log'!$C$2:$C$979=LOOKUP(2,1/($A$1:H$1&lt;&gt;""),$A$1:H$1))*'Hours Log'!$F$2:$F$979*'Hours Log'!$AN$2:$AN$979)</f>
        <v>0</v>
      </c>
      <c r="I4" s="95" cm="1">
        <f t="array" ref="I4">SUMPRODUCT(('Hours Log'!$A$2:$A$979=$A4)*('Hours Log'!$B$2:$B$979=I$2)*('Hours Log'!$C$2:$C$979=LOOKUP(2,1/($A$1:I$1&lt;&gt;""),$A$1:I$1))*'Hours Log'!$F$2:$F$979*'Hours Log'!$AN$2:$AN$979)</f>
        <v>0</v>
      </c>
      <c r="J4" s="95" cm="1">
        <f t="array" ref="J4">SUMPRODUCT(('Hours Log'!$A$2:$A$979=$A4)*('Hours Log'!$B$2:$B$979=J$2)*('Hours Log'!$C$2:$C$979=LOOKUP(2,1/($A$1:J$1&lt;&gt;""),$A$1:J$1))*'Hours Log'!$F$2:$F$979*'Hours Log'!$AN$2:$AN$979)</f>
        <v>0</v>
      </c>
      <c r="K4" s="95" cm="1">
        <f t="array" ref="K4">SUMPRODUCT(('Hours Log'!$A$2:$A$979=$A4)*('Hours Log'!$B$2:$B$979=K$2)*('Hours Log'!$C$2:$C$979=LOOKUP(2,1/($A$1:K$1&lt;&gt;""),$A$1:K$1))*'Hours Log'!$F$2:$F$979*'Hours Log'!$AN$2:$AN$979)</f>
        <v>0</v>
      </c>
      <c r="L4" s="95" cm="1">
        <f t="array" ref="L4">SUMPRODUCT(('Hours Log'!$A$2:$A$979=$A4)*('Hours Log'!$B$2:$B$979=L$2)*('Hours Log'!$C$2:$C$979=LOOKUP(2,1/($A$1:L$1&lt;&gt;""),$A$1:L$1))*'Hours Log'!$F$2:$F$979*'Hours Log'!$AN$2:$AN$979)</f>
        <v>0</v>
      </c>
      <c r="M4" s="95" cm="1">
        <f t="array" ref="M4">SUMPRODUCT(('Hours Log'!$A$2:$A$979=$A4)*('Hours Log'!$B$2:$B$979=M$2)*('Hours Log'!$C$2:$C$979=LOOKUP(2,1/($A$1:M$1&lt;&gt;""),$A$1:M$1))*'Hours Log'!$F$2:$F$979*'Hours Log'!$AN$2:$AN$979)</f>
        <v>0</v>
      </c>
      <c r="N4" s="95" cm="1">
        <f t="array" ref="N4">SUMPRODUCT(('Hours Log'!$A$2:$A$979=$A4)*('Hours Log'!$B$2:$B$979=N$2)*('Hours Log'!$C$2:$C$979=LOOKUP(2,1/($A$1:N$1&lt;&gt;""),$A$1:N$1))*'Hours Log'!$F$2:$F$979*'Hours Log'!$AN$2:$AN$979)</f>
        <v>0</v>
      </c>
      <c r="O4" s="95" cm="1">
        <f t="array" ref="O4">SUMPRODUCT(('Hours Log'!$A$2:$A$979=$A4)*('Hours Log'!$B$2:$B$979=O$2)*('Hours Log'!$C$2:$C$979=LOOKUP(2,1/($A$1:O$1&lt;&gt;""),$A$1:O$1))*'Hours Log'!$F$2:$F$979*'Hours Log'!$AN$2:$AN$979)</f>
        <v>0</v>
      </c>
      <c r="P4" s="96" cm="1">
        <f t="array" ref="P4">SUMPRODUCT(('Hours Log'!$A$2:$A$979=$A4)*('Hours Log'!$B$2:$B$979=P$2)*('Hours Log'!$C$2:$C$979=LOOKUP(2,1/($A$1:P$1&lt;&gt;""),$A$1:P$1))*'Hours Log'!$F$2:$F$979*'Hours Log'!$AN$2:$AN$979)</f>
        <v>0</v>
      </c>
      <c r="Q4" s="7" cm="1">
        <f t="array" ref="Q4">SUMPRODUCT(('Hours Log'!$A$2:$A$979=$A4)*('Hours Log'!$B$2:$B$979=Q$2)*('Hours Log'!$C$2:$C$979=LOOKUP(2,1/($A$1:Q$1&lt;&gt;""),$A$1:Q$1))*'Hours Log'!$F$2:$F$979*'Hours Log'!$AN$2:$AN$979)</f>
        <v>743.38153720386708</v>
      </c>
      <c r="R4" s="7" cm="1">
        <f t="array" ref="R4">SUMPRODUCT(('Hours Log'!$A$2:$A$979=$A4)*('Hours Log'!$B$2:$B$979=R$2)*('Hours Log'!$C$2:$C$979=LOOKUP(2,1/($A$1:R$1&lt;&gt;""),$A$1:R$1))*'Hours Log'!$F$2:$F$979*'Hours Log'!$AN$2:$AN$979)</f>
        <v>0</v>
      </c>
      <c r="S4" s="7" cm="1">
        <f t="array" ref="S4">SUMPRODUCT(('Hours Log'!$A$2:$A$979=$A4)*('Hours Log'!$B$2:$B$979=S$2)*('Hours Log'!$C$2:$C$979=LOOKUP(2,1/($A$1:S$1&lt;&gt;""),$A$1:S$1))*'Hours Log'!$F$2:$F$979*'Hours Log'!$AN$2:$AN$979)</f>
        <v>0</v>
      </c>
      <c r="T4" s="7" cm="1">
        <f t="array" ref="T4">SUMPRODUCT(('Hours Log'!$A$2:$A$979=$A4)*('Hours Log'!$B$2:$B$979=T$2)*('Hours Log'!$C$2:$C$979=LOOKUP(2,1/($A$1:T$1&lt;&gt;""),$A$1:T$1))*'Hours Log'!$F$2:$F$979*'Hours Log'!$AN$2:$AN$979)</f>
        <v>0</v>
      </c>
      <c r="U4" s="7" cm="1">
        <f t="array" ref="U4">SUMPRODUCT(('Hours Log'!$A$2:$A$979=$A4)*('Hours Log'!$B$2:$B$979=U$2)*('Hours Log'!$C$2:$C$979=LOOKUP(2,1/($A$1:U$1&lt;&gt;""),$A$1:U$1))*'Hours Log'!$F$2:$F$979*'Hours Log'!$AN$2:$AN$979)</f>
        <v>0</v>
      </c>
      <c r="V4" s="7" cm="1">
        <f t="array" ref="V4">SUMPRODUCT(('Hours Log'!$A$2:$A$979=$A4)*('Hours Log'!$B$2:$B$979=V$2)*('Hours Log'!$C$2:$C$979=LOOKUP(2,1/($A$1:V$1&lt;&gt;""),$A$1:V$1))*'Hours Log'!$F$2:$F$979*'Hours Log'!$AN$2:$AN$979)</f>
        <v>0</v>
      </c>
      <c r="W4" s="7" cm="1">
        <f t="array" ref="W4">SUMPRODUCT(('Hours Log'!$A$2:$A$979=$A4)*('Hours Log'!$B$2:$B$979=W$2)*('Hours Log'!$C$2:$C$979=LOOKUP(2,1/($A$1:W$1&lt;&gt;""),$A$1:W$1))*'Hours Log'!$F$2:$F$979*'Hours Log'!$AN$2:$AN$979)</f>
        <v>693.13258139423078</v>
      </c>
      <c r="X4" s="7" cm="1">
        <f t="array" ref="X4">SUMPRODUCT(('Hours Log'!$A$2:$A$979=$A4)*('Hours Log'!$B$2:$B$979=X$2)*('Hours Log'!$C$2:$C$979=LOOKUP(2,1/($A$1:X$1&lt;&gt;""),$A$1:X$1))*'Hours Log'!$F$2:$F$979*'Hours Log'!$AN$2:$AN$979)</f>
        <v>0</v>
      </c>
      <c r="Y4" s="7" cm="1">
        <f t="array" ref="Y4">SUMPRODUCT(('Hours Log'!$A$2:$A$979=$A4)*('Hours Log'!$B$2:$B$979=Y$2)*('Hours Log'!$C$2:$C$979=LOOKUP(2,1/($A$1:Y$1&lt;&gt;""),$A$1:Y$1))*'Hours Log'!$F$2:$F$979*'Hours Log'!$AN$2:$AN$979)</f>
        <v>0</v>
      </c>
      <c r="Z4" s="7" cm="1">
        <f t="array" ref="Z4">SUMPRODUCT(('Hours Log'!$A$2:$A$979=$A4)*('Hours Log'!$B$2:$B$979=Z$2)*('Hours Log'!$C$2:$C$979=LOOKUP(2,1/($A$1:Z$1&lt;&gt;""),$A$1:Z$1))*'Hours Log'!$F$2:$F$979*'Hours Log'!$AN$2:$AN$979)</f>
        <v>497.48239175245493</v>
      </c>
      <c r="AA4" s="7" cm="1">
        <f t="array" ref="AA4">SUMPRODUCT(('Hours Log'!$A$2:$A$979=$A4)*('Hours Log'!$B$2:$B$979=AA$2)*('Hours Log'!$C$2:$C$979=LOOKUP(2,1/($A$1:AA$1&lt;&gt;""),$A$1:AA$1))*'Hours Log'!$F$2:$F$979*'Hours Log'!$AN$2:$AN$979)</f>
        <v>380.23273036483511</v>
      </c>
      <c r="AB4" s="7" cm="1">
        <f t="array" ref="AB4">SUMPRODUCT(('Hours Log'!$A$2:$A$979=$A4)*('Hours Log'!$B$2:$B$979=AB$2)*('Hours Log'!$C$2:$C$979=LOOKUP(2,1/($A$1:AB$1&lt;&gt;""),$A$1:AB$1))*'Hours Log'!$F$2:$F$979*'Hours Log'!$AN$2:$AN$979)</f>
        <v>250.07136269909503</v>
      </c>
      <c r="AC4" s="7" cm="1">
        <f t="array" ref="AC4">SUMPRODUCT(('Hours Log'!$A$2:$A$979=$A4)*('Hours Log'!$B$2:$B$979=AC$2)*('Hours Log'!$C$2:$C$979=LOOKUP(2,1/($A$1:AC$1&lt;&gt;""),$A$1:AC$1))*'Hours Log'!$F$2:$F$979*'Hours Log'!$AN$2:$AN$979)</f>
        <v>0</v>
      </c>
      <c r="AD4" s="7" cm="1">
        <f t="array" ref="AD4">SUMPRODUCT(('Hours Log'!$A$2:$A$979=$A4)*('Hours Log'!$B$2:$B$979=AD$2)*('Hours Log'!$C$2:$C$979=LOOKUP(2,1/($A$1:AD$1&lt;&gt;""),$A$1:AD$1))*'Hours Log'!$F$2:$F$979*'Hours Log'!$AN$2:$AN$979)</f>
        <v>0</v>
      </c>
      <c r="AE4" s="7" cm="1">
        <f t="array" ref="AE4">SUMPRODUCT(('Hours Log'!$A$2:$A$979=$A4)*('Hours Log'!$B$2:$B$979=AE$2)*('Hours Log'!$C$2:$C$979=LOOKUP(2,1/($A$1:AE$1&lt;&gt;""),$A$1:AE$1))*'Hours Log'!$F$2:$F$979*'Hours Log'!$AN$2:$AN$979)</f>
        <v>0</v>
      </c>
      <c r="AF4" s="7" cm="1">
        <f t="array" ref="AF4">SUMPRODUCT(('Hours Log'!$A$2:$A$979=$A4)*('Hours Log'!$B$2:$B$979=AF$2)*('Hours Log'!$C$2:$C$979=LOOKUP(2,1/($A$1:AF$1&lt;&gt;""),$A$1:AF$1))*'Hours Log'!$F$2:$F$979*'Hours Log'!$AN$2:$AN$979)</f>
        <v>0</v>
      </c>
      <c r="AG4" s="7" cm="1">
        <f t="array" ref="AG4">SUMPRODUCT(('Hours Log'!$A$2:$A$979=$A4)*('Hours Log'!$B$2:$B$979=AG$2)*('Hours Log'!$C$2:$C$979=LOOKUP(2,1/($A$1:AG$1&lt;&gt;""),$A$1:AG$1))*'Hours Log'!$F$2:$F$979*'Hours Log'!$AN$2:$AN$979)</f>
        <v>0</v>
      </c>
      <c r="AH4" s="7" cm="1">
        <f t="array" ref="AH4">SUMPRODUCT(('Hours Log'!$A$2:$A$979=$A4)*('Hours Log'!$B$2:$B$979=AH$2)*('Hours Log'!$C$2:$C$979=LOOKUP(2,1/($A$1:AH$1&lt;&gt;""),$A$1:AH$1))*'Hours Log'!$F$2:$F$979*'Hours Log'!$AN$2:$AN$979)</f>
        <v>0</v>
      </c>
    </row>
    <row r="5" spans="1:34" x14ac:dyDescent="0.25">
      <c r="A5" t="s">
        <v>54</v>
      </c>
      <c r="B5" s="107" cm="1">
        <f t="array" ref="B5">SUMPRODUCT(('Hours Log'!$A$2:$A$979=$A5)*('Hours Log'!$B$2:$B$979=B$2)*('Hours Log'!$C$2:$C$979=LOOKUP(2,1/($A$1:B$1&lt;&gt;""),$A$1:B$1))*'Hours Log'!$F$2:$F$979*'Hours Log'!$AN$2:$AN$979)</f>
        <v>2181.9492105714285</v>
      </c>
      <c r="C5" s="95" cm="1">
        <f t="array" ref="C5">SUMPRODUCT(('Hours Log'!$A$2:$A$979=$A5)*('Hours Log'!$B$2:$B$979=C$2)*('Hours Log'!$C$2:$C$979=LOOKUP(2,1/($A$1:C$1&lt;&gt;""),$A$1:C$1))*'Hours Log'!$F$2:$F$979*'Hours Log'!$AN$2:$AN$979)</f>
        <v>3064.3048474482753</v>
      </c>
      <c r="D5" s="96" cm="1">
        <f t="array" ref="D5">SUMPRODUCT(('Hours Log'!$A$2:$A$979=$A5)*('Hours Log'!$B$2:$B$979=D$2)*('Hours Log'!$C$2:$C$979=LOOKUP(2,1/($A$1:D$1&lt;&gt;""),$A$1:D$1))*'Hours Log'!$F$2:$F$979*'Hours Log'!$AN$2:$AN$979)</f>
        <v>2344.4241860502511</v>
      </c>
      <c r="E5" s="107" cm="1">
        <f t="array" ref="E5">SUMPRODUCT(('Hours Log'!$A$2:$A$979=$A5)*('Hours Log'!$B$2:$B$979=E$2)*('Hours Log'!$C$2:$C$979=LOOKUP(2,1/($A$1:E$1&lt;&gt;""),$A$1:E$1))*'Hours Log'!$F$2:$F$979*'Hours Log'!$AN$2:$AN$979)</f>
        <v>3851.6788001682689</v>
      </c>
      <c r="F5" s="95" cm="1">
        <f t="array" ref="F5">SUMPRODUCT(('Hours Log'!$A$2:$A$979=$A5)*('Hours Log'!$B$2:$B$979=F$2)*('Hours Log'!$C$2:$C$979=LOOKUP(2,1/($A$1:F$1&lt;&gt;""),$A$1:F$1))*'Hours Log'!$F$2:$F$979*'Hours Log'!$AN$2:$AN$979)</f>
        <v>3118.4676550759959</v>
      </c>
      <c r="G5" s="95" cm="1">
        <f t="array" ref="G5">SUMPRODUCT(('Hours Log'!$A$2:$A$979=$A5)*('Hours Log'!$B$2:$B$979=G$2)*('Hours Log'!$C$2:$C$979=LOOKUP(2,1/($A$1:G$1&lt;&gt;""),$A$1:G$1))*'Hours Log'!$F$2:$F$979*'Hours Log'!$AN$2:$AN$979)</f>
        <v>2022.1313700883413</v>
      </c>
      <c r="H5" s="95" cm="1">
        <f t="array" ref="H5">SUMPRODUCT(('Hours Log'!$A$2:$A$979=$A5)*('Hours Log'!$B$2:$B$979=H$2)*('Hours Log'!$C$2:$C$979=LOOKUP(2,1/($A$1:H$1&lt;&gt;""),$A$1:H$1))*'Hours Log'!$F$2:$F$979*'Hours Log'!$AN$2:$AN$979)</f>
        <v>2601.2267989973616</v>
      </c>
      <c r="I5" s="95" cm="1">
        <f t="array" ref="I5">SUMPRODUCT(('Hours Log'!$A$2:$A$979=$A5)*('Hours Log'!$B$2:$B$979=I$2)*('Hours Log'!$C$2:$C$979=LOOKUP(2,1/($A$1:I$1&lt;&gt;""),$A$1:I$1))*'Hours Log'!$F$2:$F$979*'Hours Log'!$AN$2:$AN$979)</f>
        <v>3463.0093939694711</v>
      </c>
      <c r="J5" s="95" cm="1">
        <f t="array" ref="J5">SUMPRODUCT(('Hours Log'!$A$2:$A$979=$A5)*('Hours Log'!$B$2:$B$979=J$2)*('Hours Log'!$C$2:$C$979=LOOKUP(2,1/($A$1:J$1&lt;&gt;""),$A$1:J$1))*'Hours Log'!$F$2:$F$979*'Hours Log'!$AN$2:$AN$979)</f>
        <v>3160.3518360355024</v>
      </c>
      <c r="K5" s="95" cm="1">
        <f t="array" ref="K5">SUMPRODUCT(('Hours Log'!$A$2:$A$979=$A5)*('Hours Log'!$B$2:$B$979=K$2)*('Hours Log'!$C$2:$C$979=LOOKUP(2,1/($A$1:K$1&lt;&gt;""),$A$1:K$1))*'Hours Log'!$F$2:$F$979*'Hours Log'!$AN$2:$AN$979)</f>
        <v>3463.0093939694711</v>
      </c>
      <c r="L5" s="95" cm="1">
        <f t="array" ref="L5">SUMPRODUCT(('Hours Log'!$A$2:$A$979=$A5)*('Hours Log'!$B$2:$B$979=L$2)*('Hours Log'!$C$2:$C$979=LOOKUP(2,1/($A$1:L$1&lt;&gt;""),$A$1:L$1))*'Hours Log'!$F$2:$F$979*'Hours Log'!$AN$2:$AN$979)</f>
        <v>2495.320744158093</v>
      </c>
      <c r="M5" s="95" cm="1">
        <f t="array" ref="M5">SUMPRODUCT(('Hours Log'!$A$2:$A$979=$A5)*('Hours Log'!$B$2:$B$979=M$2)*('Hours Log'!$C$2:$C$979=LOOKUP(2,1/($A$1:M$1&lt;&gt;""),$A$1:M$1))*'Hours Log'!$F$2:$F$979*'Hours Log'!$AN$2:$AN$979)</f>
        <v>1540.6715200673077</v>
      </c>
      <c r="N5" s="95" cm="1">
        <f t="array" ref="N5">SUMPRODUCT(('Hours Log'!$A$2:$A$979=$A5)*('Hours Log'!$B$2:$B$979=N$2)*('Hours Log'!$C$2:$C$979=LOOKUP(2,1/($A$1:N$1&lt;&gt;""),$A$1:N$1))*'Hours Log'!$F$2:$F$979*'Hours Log'!$AN$2:$AN$979)</f>
        <v>2696.1751601177884</v>
      </c>
      <c r="O5" s="95" cm="1">
        <f t="array" ref="O5">SUMPRODUCT(('Hours Log'!$A$2:$A$979=$A5)*('Hours Log'!$B$2:$B$979=O$2)*('Hours Log'!$C$2:$C$979=LOOKUP(2,1/($A$1:O$1&lt;&gt;""),$A$1:O$1))*'Hours Log'!$F$2:$F$979*'Hours Log'!$AN$2:$AN$979)</f>
        <v>0</v>
      </c>
      <c r="P5" s="96" cm="1">
        <f t="array" ref="P5">SUMPRODUCT(('Hours Log'!$A$2:$A$979=$A5)*('Hours Log'!$B$2:$B$979=P$2)*('Hours Log'!$C$2:$C$979=LOOKUP(2,1/($A$1:P$1&lt;&gt;""),$A$1:P$1))*'Hours Log'!$F$2:$F$979*'Hours Log'!$AN$2:$AN$979)</f>
        <v>0</v>
      </c>
      <c r="Q5" s="7" cm="1">
        <f t="array" ref="Q5">SUMPRODUCT(('Hours Log'!$A$2:$A$979=$A5)*('Hours Log'!$B$2:$B$979=Q$2)*('Hours Log'!$C$2:$C$979=LOOKUP(2,1/($A$1:Q$1&lt;&gt;""),$A$1:Q$1))*'Hours Log'!$F$2:$F$979*'Hours Log'!$AN$2:$AN$979)</f>
        <v>4388.0856698334564</v>
      </c>
      <c r="R5" s="7" cm="1">
        <f t="array" ref="R5">SUMPRODUCT(('Hours Log'!$A$2:$A$979=$A5)*('Hours Log'!$B$2:$B$979=R$2)*('Hours Log'!$C$2:$C$979=LOOKUP(2,1/($A$1:R$1&lt;&gt;""),$A$1:R$1))*'Hours Log'!$F$2:$F$979*'Hours Log'!$AN$2:$AN$979)</f>
        <v>5190.8719065407977</v>
      </c>
      <c r="S5" s="7" cm="1">
        <f t="array" ref="S5">SUMPRODUCT(('Hours Log'!$A$2:$A$979=$A5)*('Hours Log'!$B$2:$B$979=S$2)*('Hours Log'!$C$2:$C$979=LOOKUP(2,1/($A$1:S$1&lt;&gt;""),$A$1:S$1))*'Hours Log'!$F$2:$F$979*'Hours Log'!$AN$2:$AN$979)</f>
        <v>3499.9955397496078</v>
      </c>
      <c r="T5" s="7" cm="1">
        <f t="array" ref="T5">SUMPRODUCT(('Hours Log'!$A$2:$A$979=$A5)*('Hours Log'!$B$2:$B$979=T$2)*('Hours Log'!$C$2:$C$979=LOOKUP(2,1/($A$1:T$1&lt;&gt;""),$A$1:T$1))*'Hours Log'!$F$2:$F$979*'Hours Log'!$AN$2:$AN$979)</f>
        <v>2729.2554996021158</v>
      </c>
      <c r="U5" s="7" cm="1">
        <f t="array" ref="U5">SUMPRODUCT(('Hours Log'!$A$2:$A$979=$A5)*('Hours Log'!$B$2:$B$979=U$2)*('Hours Log'!$C$2:$C$979=LOOKUP(2,1/($A$1:U$1&lt;&gt;""),$A$1:U$1))*'Hours Log'!$F$2:$F$979*'Hours Log'!$AN$2:$AN$979)</f>
        <v>3532.5972263641761</v>
      </c>
      <c r="V5" s="7" cm="1">
        <f t="array" ref="V5">SUMPRODUCT(('Hours Log'!$A$2:$A$979=$A5)*('Hours Log'!$B$2:$B$979=V$2)*('Hours Log'!$C$2:$C$979=LOOKUP(2,1/($A$1:V$1&lt;&gt;""),$A$1:V$1))*'Hours Log'!$F$2:$F$979*'Hours Log'!$AN$2:$AN$979)</f>
        <v>3292.4235824956081</v>
      </c>
      <c r="W5" s="7" cm="1">
        <f t="array" ref="W5">SUMPRODUCT(('Hours Log'!$A$2:$A$979=$A5)*('Hours Log'!$B$2:$B$979=W$2)*('Hours Log'!$C$2:$C$979=LOOKUP(2,1/($A$1:W$1&lt;&gt;""),$A$1:W$1))*'Hours Log'!$F$2:$F$979*'Hours Log'!$AN$2:$AN$979)</f>
        <v>2866.3364737138495</v>
      </c>
      <c r="X5" s="7" cm="1">
        <f t="array" ref="X5">SUMPRODUCT(('Hours Log'!$A$2:$A$979=$A5)*('Hours Log'!$B$2:$B$979=X$2)*('Hours Log'!$C$2:$C$979=LOOKUP(2,1/($A$1:X$1&lt;&gt;""),$A$1:X$1))*'Hours Log'!$F$2:$F$979*'Hours Log'!$AN$2:$AN$979)</f>
        <v>4037.5265148849958</v>
      </c>
      <c r="Y5" s="7" cm="1">
        <f t="array" ref="Y5">SUMPRODUCT(('Hours Log'!$A$2:$A$979=$A5)*('Hours Log'!$B$2:$B$979=Y$2)*('Hours Log'!$C$2:$C$979=LOOKUP(2,1/($A$1:Y$1&lt;&gt;""),$A$1:Y$1))*'Hours Log'!$F$2:$F$979*'Hours Log'!$AN$2:$AN$979)</f>
        <v>3942.4949973081175</v>
      </c>
      <c r="Z5" s="7" cm="1">
        <f t="array" ref="Z5">SUMPRODUCT(('Hours Log'!$A$2:$A$979=$A5)*('Hours Log'!$B$2:$B$979=Z$2)*('Hours Log'!$C$2:$C$979=LOOKUP(2,1/($A$1:Z$1&lt;&gt;""),$A$1:Z$1))*'Hours Log'!$F$2:$F$979*'Hours Log'!$AN$2:$AN$979)</f>
        <v>311.78173669335479</v>
      </c>
      <c r="AA5" s="7" cm="1">
        <f t="array" ref="AA5">SUMPRODUCT(('Hours Log'!$A$2:$A$979=$A5)*('Hours Log'!$B$2:$B$979=AA$2)*('Hours Log'!$C$2:$C$979=LOOKUP(2,1/($A$1:AA$1&lt;&gt;""),$A$1:AA$1))*'Hours Log'!$F$2:$F$979*'Hours Log'!$AN$2:$AN$979)</f>
        <v>282.96655599159311</v>
      </c>
      <c r="AB5" s="7" cm="1">
        <f t="array" ref="AB5">SUMPRODUCT(('Hours Log'!$A$2:$A$979=$A5)*('Hours Log'!$B$2:$B$979=AB$2)*('Hours Log'!$C$2:$C$979=LOOKUP(2,1/($A$1:AB$1&lt;&gt;""),$A$1:AB$1))*'Hours Log'!$F$2:$F$979*'Hours Log'!$AN$2:$AN$979)</f>
        <v>317.09431154648973</v>
      </c>
      <c r="AC5" s="7" cm="1">
        <f t="array" ref="AC5">SUMPRODUCT(('Hours Log'!$A$2:$A$979=$A5)*('Hours Log'!$B$2:$B$979=AC$2)*('Hours Log'!$C$2:$C$979=LOOKUP(2,1/($A$1:AC$1&lt;&gt;""),$A$1:AC$1))*'Hours Log'!$F$2:$F$979*'Hours Log'!$AN$2:$AN$979)</f>
        <v>0</v>
      </c>
      <c r="AD5" s="7" cm="1">
        <f t="array" ref="AD5">SUMPRODUCT(('Hours Log'!$A$2:$A$979=$A5)*('Hours Log'!$B$2:$B$979=AD$2)*('Hours Log'!$C$2:$C$979=LOOKUP(2,1/($A$1:AD$1&lt;&gt;""),$A$1:AD$1))*'Hours Log'!$F$2:$F$979*'Hours Log'!$AN$2:$AN$979)</f>
        <v>0</v>
      </c>
      <c r="AE5" s="7" cm="1">
        <f t="array" ref="AE5">SUMPRODUCT(('Hours Log'!$A$2:$A$979=$A5)*('Hours Log'!$B$2:$B$979=AE$2)*('Hours Log'!$C$2:$C$979=LOOKUP(2,1/($A$1:AE$1&lt;&gt;""),$A$1:AE$1))*'Hours Log'!$F$2:$F$979*'Hours Log'!$AN$2:$AN$979)</f>
        <v>0</v>
      </c>
      <c r="AF5" s="7" cm="1">
        <f t="array" ref="AF5">SUMPRODUCT(('Hours Log'!$A$2:$A$979=$A5)*('Hours Log'!$B$2:$B$979=AF$2)*('Hours Log'!$C$2:$C$979=LOOKUP(2,1/($A$1:AF$1&lt;&gt;""),$A$1:AF$1))*'Hours Log'!$F$2:$F$979*'Hours Log'!$AN$2:$AN$979)</f>
        <v>0</v>
      </c>
      <c r="AG5" s="7" cm="1">
        <f t="array" ref="AG5">SUMPRODUCT(('Hours Log'!$A$2:$A$979=$A5)*('Hours Log'!$B$2:$B$979=AG$2)*('Hours Log'!$C$2:$C$979=LOOKUP(2,1/($A$1:AG$1&lt;&gt;""),$A$1:AG$1))*'Hours Log'!$F$2:$F$979*'Hours Log'!$AN$2:$AN$979)</f>
        <v>0</v>
      </c>
      <c r="AH5" s="7" cm="1">
        <f t="array" ref="AH5">SUMPRODUCT(('Hours Log'!$A$2:$A$979=$A5)*('Hours Log'!$B$2:$B$979=AH$2)*('Hours Log'!$C$2:$C$979=LOOKUP(2,1/($A$1:AH$1&lt;&gt;""),$A$1:AH$1))*'Hours Log'!$F$2:$F$979*'Hours Log'!$AN$2:$AN$979)</f>
        <v>0</v>
      </c>
    </row>
    <row r="6" spans="1:34" x14ac:dyDescent="0.25">
      <c r="A6" s="105" t="s">
        <v>57</v>
      </c>
      <c r="B6" s="107" cm="1">
        <f t="array" ref="B6">SUMPRODUCT(('Hours Log'!$A$2:$A$979=$A6)*('Hours Log'!$B$2:$B$979=B$2)*('Hours Log'!$C$2:$C$979=LOOKUP(2,1/($A$1:B$1&lt;&gt;""),$A$1:B$1))*'Hours Log'!$F$2:$F$979*'Hours Log'!$AN$2:$AN$979)</f>
        <v>415.29272507076922</v>
      </c>
      <c r="C6" s="95" cm="1">
        <f t="array" ref="C6">SUMPRODUCT(('Hours Log'!$A$2:$A$979=$A6)*('Hours Log'!$B$2:$B$979=C$2)*('Hours Log'!$C$2:$C$979=LOOKUP(2,1/($A$1:C$1&lt;&gt;""),$A$1:C$1))*'Hours Log'!$F$2:$F$979*'Hours Log'!$AN$2:$AN$979)</f>
        <v>415.29272507076922</v>
      </c>
      <c r="D6" s="96" cm="1">
        <f t="array" ref="D6">SUMPRODUCT(('Hours Log'!$A$2:$A$979=$A6)*('Hours Log'!$B$2:$B$979=D$2)*('Hours Log'!$C$2:$C$979=LOOKUP(2,1/($A$1:D$1&lt;&gt;""),$A$1:D$1))*'Hours Log'!$F$2:$F$979*'Hours Log'!$AN$2:$AN$979)</f>
        <v>415.29272507076922</v>
      </c>
      <c r="E6" s="107" cm="1">
        <f t="array" ref="E6">SUMPRODUCT(('Hours Log'!$A$2:$A$979=$A6)*('Hours Log'!$B$2:$B$979=E$2)*('Hours Log'!$C$2:$C$979=LOOKUP(2,1/($A$1:E$1&lt;&gt;""),$A$1:E$1))*'Hours Log'!$F$2:$F$979*'Hours Log'!$AN$2:$AN$979)</f>
        <v>463.70002665461533</v>
      </c>
      <c r="F6" s="95" cm="1">
        <f t="array" ref="F6">SUMPRODUCT(('Hours Log'!$A$2:$A$979=$A6)*('Hours Log'!$B$2:$B$979=F$2)*('Hours Log'!$C$2:$C$979=LOOKUP(2,1/($A$1:F$1&lt;&gt;""),$A$1:F$1))*'Hours Log'!$F$2:$F$979*'Hours Log'!$AN$2:$AN$979)</f>
        <v>463.70002665461533</v>
      </c>
      <c r="G6" s="95" cm="1">
        <f t="array" ref="G6">SUMPRODUCT(('Hours Log'!$A$2:$A$979=$A6)*('Hours Log'!$B$2:$B$979=G$2)*('Hours Log'!$C$2:$C$979=LOOKUP(2,1/($A$1:G$1&lt;&gt;""),$A$1:G$1))*'Hours Log'!$F$2:$F$979*'Hours Log'!$AN$2:$AN$979)</f>
        <v>463.70002665461533</v>
      </c>
      <c r="H6" s="95" cm="1">
        <f t="array" ref="H6">SUMPRODUCT(('Hours Log'!$A$2:$A$979=$A6)*('Hours Log'!$B$2:$B$979=H$2)*('Hours Log'!$C$2:$C$979=LOOKUP(2,1/($A$1:H$1&lt;&gt;""),$A$1:H$1))*'Hours Log'!$F$2:$F$979*'Hours Log'!$AN$2:$AN$979)</f>
        <v>463.70002665461533</v>
      </c>
      <c r="I6" s="95" cm="1">
        <f t="array" ref="I6">SUMPRODUCT(('Hours Log'!$A$2:$A$979=$A6)*('Hours Log'!$B$2:$B$979=I$2)*('Hours Log'!$C$2:$C$979=LOOKUP(2,1/($A$1:I$1&lt;&gt;""),$A$1:I$1))*'Hours Log'!$F$2:$F$979*'Hours Log'!$AN$2:$AN$979)</f>
        <v>463.70002665461533</v>
      </c>
      <c r="J6" s="95" cm="1">
        <f t="array" ref="J6">SUMPRODUCT(('Hours Log'!$A$2:$A$979=$A6)*('Hours Log'!$B$2:$B$979=J$2)*('Hours Log'!$C$2:$C$979=LOOKUP(2,1/($A$1:J$1&lt;&gt;""),$A$1:J$1))*'Hours Log'!$F$2:$F$979*'Hours Log'!$AN$2:$AN$979)</f>
        <v>463.70002665461533</v>
      </c>
      <c r="K6" s="95" cm="1">
        <f t="array" ref="K6">SUMPRODUCT(('Hours Log'!$A$2:$A$979=$A6)*('Hours Log'!$B$2:$B$979=K$2)*('Hours Log'!$C$2:$C$979=LOOKUP(2,1/($A$1:K$1&lt;&gt;""),$A$1:K$1))*'Hours Log'!$F$2:$F$979*'Hours Log'!$AN$2:$AN$979)</f>
        <v>463.70002665461533</v>
      </c>
      <c r="L6" s="95" cm="1">
        <f t="array" ref="L6">SUMPRODUCT(('Hours Log'!$A$2:$A$979=$A6)*('Hours Log'!$B$2:$B$979=L$2)*('Hours Log'!$C$2:$C$979=LOOKUP(2,1/($A$1:L$1&lt;&gt;""),$A$1:L$1))*'Hours Log'!$F$2:$F$979*'Hours Log'!$AN$2:$AN$979)</f>
        <v>463.70002665461533</v>
      </c>
      <c r="M6" s="95" cm="1">
        <f t="array" ref="M6">SUMPRODUCT(('Hours Log'!$A$2:$A$979=$A6)*('Hours Log'!$B$2:$B$979=M$2)*('Hours Log'!$C$2:$C$979=LOOKUP(2,1/($A$1:M$1&lt;&gt;""),$A$1:M$1))*'Hours Log'!$F$2:$F$979*'Hours Log'!$AN$2:$AN$979)</f>
        <v>463.70002665461533</v>
      </c>
      <c r="N6" s="95" cm="1">
        <f t="array" ref="N6">SUMPRODUCT(('Hours Log'!$A$2:$A$979=$A6)*('Hours Log'!$B$2:$B$979=N$2)*('Hours Log'!$C$2:$C$979=LOOKUP(2,1/($A$1:N$1&lt;&gt;""),$A$1:N$1))*'Hours Log'!$F$2:$F$979*'Hours Log'!$AN$2:$AN$979)</f>
        <v>463.70002665461533</v>
      </c>
      <c r="O6" s="95" cm="1">
        <f t="array" ref="O6">SUMPRODUCT(('Hours Log'!$A$2:$A$979=$A6)*('Hours Log'!$B$2:$B$979=O$2)*('Hours Log'!$C$2:$C$979=LOOKUP(2,1/($A$1:O$1&lt;&gt;""),$A$1:O$1))*'Hours Log'!$F$2:$F$979*'Hours Log'!$AN$2:$AN$979)</f>
        <v>463.70002665461533</v>
      </c>
      <c r="P6" s="96" cm="1">
        <f t="array" ref="P6">SUMPRODUCT(('Hours Log'!$A$2:$A$979=$A6)*('Hours Log'!$B$2:$B$979=P$2)*('Hours Log'!$C$2:$C$979=LOOKUP(2,1/($A$1:P$1&lt;&gt;""),$A$1:P$1))*'Hours Log'!$F$2:$F$979*'Hours Log'!$AN$2:$AN$979)</f>
        <v>463.70002665461533</v>
      </c>
      <c r="Q6" s="7" cm="1">
        <f t="array" ref="Q6">SUMPRODUCT(('Hours Log'!$A$2:$A$979=$A6)*('Hours Log'!$B$2:$B$979=Q$2)*('Hours Log'!$C$2:$C$979=LOOKUP(2,1/($A$1:Q$1&lt;&gt;""),$A$1:Q$1))*'Hours Log'!$F$2:$F$979*'Hours Log'!$AN$2:$AN$979)</f>
        <v>487.38082125152016</v>
      </c>
      <c r="R6" s="7" cm="1">
        <f t="array" ref="R6">SUMPRODUCT(('Hours Log'!$A$2:$A$979=$A6)*('Hours Log'!$B$2:$B$979=R$2)*('Hours Log'!$C$2:$C$979=LOOKUP(2,1/($A$1:R$1&lt;&gt;""),$A$1:R$1))*'Hours Log'!$F$2:$F$979*'Hours Log'!$AN$2:$AN$979)</f>
        <v>423.80940978393062</v>
      </c>
      <c r="S6" s="7" cm="1">
        <f t="array" ref="S6">SUMPRODUCT(('Hours Log'!$A$2:$A$979=$A6)*('Hours Log'!$B$2:$B$979=S$2)*('Hours Log'!$C$2:$C$979=LOOKUP(2,1/($A$1:S$1&lt;&gt;""),$A$1:S$1))*'Hours Log'!$F$2:$F$979*'Hours Log'!$AN$2:$AN$979)</f>
        <v>444.99988027312713</v>
      </c>
      <c r="T6" s="7" cm="1">
        <f t="array" ref="T6">SUMPRODUCT(('Hours Log'!$A$2:$A$979=$A6)*('Hours Log'!$B$2:$B$979=T$2)*('Hours Log'!$C$2:$C$979=LOOKUP(2,1/($A$1:T$1&lt;&gt;""),$A$1:T$1))*'Hours Log'!$F$2:$F$979*'Hours Log'!$AN$2:$AN$979)</f>
        <v>466.19035076232376</v>
      </c>
      <c r="U6" s="7" cm="1">
        <f t="array" ref="U6">SUMPRODUCT(('Hours Log'!$A$2:$A$979=$A6)*('Hours Log'!$B$2:$B$979=U$2)*('Hours Log'!$C$2:$C$979=LOOKUP(2,1/($A$1:U$1&lt;&gt;""),$A$1:U$1))*'Hours Log'!$F$2:$F$979*'Hours Log'!$AN$2:$AN$979)</f>
        <v>466.19035076232376</v>
      </c>
      <c r="V6" s="7" cm="1">
        <f t="array" ref="V6">SUMPRODUCT(('Hours Log'!$A$2:$A$979=$A6)*('Hours Log'!$B$2:$B$979=V$2)*('Hours Log'!$C$2:$C$979=LOOKUP(2,1/($A$1:V$1&lt;&gt;""),$A$1:V$1))*'Hours Log'!$F$2:$F$979*'Hours Log'!$AN$2:$AN$979)</f>
        <v>429.28808711782892</v>
      </c>
      <c r="W6" s="7" cm="1">
        <f t="array" ref="W6">SUMPRODUCT(('Hours Log'!$A$2:$A$979=$A6)*('Hours Log'!$B$2:$B$979=W$2)*('Hours Log'!$C$2:$C$979=LOOKUP(2,1/($A$1:W$1&lt;&gt;""),$A$1:W$1))*'Hours Log'!$F$2:$F$979*'Hours Log'!$AN$2:$AN$979)</f>
        <v>487.38082125152016</v>
      </c>
      <c r="X6" s="7" cm="1">
        <f t="array" ref="X6">SUMPRODUCT(('Hours Log'!$A$2:$A$979=$A6)*('Hours Log'!$B$2:$B$979=X$2)*('Hours Log'!$C$2:$C$979=LOOKUP(2,1/($A$1:X$1&lt;&gt;""),$A$1:X$1))*'Hours Log'!$F$2:$F$979*'Hours Log'!$AN$2:$AN$979)</f>
        <v>395.75286635521752</v>
      </c>
      <c r="Y6" s="7" cm="1">
        <f t="array" ref="Y6">SUMPRODUCT(('Hours Log'!$A$2:$A$979=$A6)*('Hours Log'!$B$2:$B$979=Y$2)*('Hours Log'!$C$2:$C$979=LOOKUP(2,1/($A$1:Y$1&lt;&gt;""),$A$1:Y$1))*'Hours Log'!$F$2:$F$979*'Hours Log'!$AN$2:$AN$979)</f>
        <v>415.51792735511884</v>
      </c>
      <c r="Z6" s="7" cm="1">
        <f t="array" ref="Z6">SUMPRODUCT(('Hours Log'!$A$2:$A$979=$A6)*('Hours Log'!$B$2:$B$979=Z$2)*('Hours Log'!$C$2:$C$979=LOOKUP(2,1/($A$1:Z$1&lt;&gt;""),$A$1:Z$1))*'Hours Log'!$F$2:$F$979*'Hours Log'!$AN$2:$AN$979)</f>
        <v>416.3154559852502</v>
      </c>
      <c r="AA6" s="7" cm="1">
        <f t="array" ref="AA6">SUMPRODUCT(('Hours Log'!$A$2:$A$979=$A6)*('Hours Log'!$B$2:$B$979=AA$2)*('Hours Log'!$C$2:$C$979=LOOKUP(2,1/($A$1:AA$1&lt;&gt;""),$A$1:AA$1))*'Hours Log'!$F$2:$F$979*'Hours Log'!$AN$2:$AN$979)</f>
        <v>362.01343998717414</v>
      </c>
      <c r="AB6" s="7" cm="1">
        <f t="array" ref="AB6">SUMPRODUCT(('Hours Log'!$A$2:$A$979=$A6)*('Hours Log'!$B$2:$B$979=AB$2)*('Hours Log'!$C$2:$C$979=LOOKUP(2,1/($A$1:AB$1&lt;&gt;""),$A$1:AB$1))*'Hours Log'!$F$2:$F$979*'Hours Log'!$AN$2:$AN$979)</f>
        <v>416.35016629507055</v>
      </c>
      <c r="AC6" s="7" cm="1">
        <f t="array" ref="AC6">SUMPRODUCT(('Hours Log'!$A$2:$A$979=$A6)*('Hours Log'!$B$2:$B$979=AC$2)*('Hours Log'!$C$2:$C$979=LOOKUP(2,1/($A$1:AC$1&lt;&gt;""),$A$1:AC$1))*'Hours Log'!$F$2:$F$979*'Hours Log'!$AN$2:$AN$979)</f>
        <v>599.13</v>
      </c>
      <c r="AD6" s="7" cm="1">
        <f t="array" ref="AD6">SUMPRODUCT(('Hours Log'!$A$2:$A$979=$A6)*('Hours Log'!$B$2:$B$979=AD$2)*('Hours Log'!$C$2:$C$979=LOOKUP(2,1/($A$1:AD$1&lt;&gt;""),$A$1:AD$1))*'Hours Log'!$F$2:$F$979*'Hours Log'!$AN$2:$AN$979)</f>
        <v>599.13</v>
      </c>
      <c r="AE6" s="7" cm="1">
        <f t="array" ref="AE6">SUMPRODUCT(('Hours Log'!$A$2:$A$979=$A6)*('Hours Log'!$B$2:$B$979=AE$2)*('Hours Log'!$C$2:$C$979=LOOKUP(2,1/($A$1:AE$1&lt;&gt;""),$A$1:AE$1))*'Hours Log'!$F$2:$F$979*'Hours Log'!$AN$2:$AN$979)</f>
        <v>599.13</v>
      </c>
      <c r="AF6" s="7" cm="1">
        <f t="array" ref="AF6">SUMPRODUCT(('Hours Log'!$A$2:$A$979=$A6)*('Hours Log'!$B$2:$B$979=AF$2)*('Hours Log'!$C$2:$C$979=LOOKUP(2,1/($A$1:AF$1&lt;&gt;""),$A$1:AF$1))*'Hours Log'!$F$2:$F$979*'Hours Log'!$AN$2:$AN$979)</f>
        <v>599.13</v>
      </c>
      <c r="AG6" s="7" cm="1">
        <f t="array" ref="AG6">SUMPRODUCT(('Hours Log'!$A$2:$A$979=$A6)*('Hours Log'!$B$2:$B$979=AG$2)*('Hours Log'!$C$2:$C$979=LOOKUP(2,1/($A$1:AG$1&lt;&gt;""),$A$1:AG$1))*'Hours Log'!$F$2:$F$979*'Hours Log'!$AN$2:$AN$979)</f>
        <v>599.13</v>
      </c>
      <c r="AH6" s="7" cm="1">
        <f t="array" ref="AH6">SUMPRODUCT(('Hours Log'!$A$2:$A$979=$A6)*('Hours Log'!$B$2:$B$979=AH$2)*('Hours Log'!$C$2:$C$979=LOOKUP(2,1/($A$1:AH$1&lt;&gt;""),$A$1:AH$1))*'Hours Log'!$F$2:$F$979*'Hours Log'!$AN$2:$AN$979)</f>
        <v>599.13</v>
      </c>
    </row>
    <row r="7" spans="1:34" x14ac:dyDescent="0.25">
      <c r="A7" t="s">
        <v>75</v>
      </c>
      <c r="B7" s="107" cm="1">
        <f t="array" ref="B7">SUMPRODUCT(('Hours Log'!$A$2:$A$979=$A7)*('Hours Log'!$B$2:$B$979=B$2)*('Hours Log'!$C$2:$C$979=LOOKUP(2,1/($A$1:B$1&lt;&gt;""),$A$1:B$1))*'Hours Log'!$F$2:$F$979*'Hours Log'!$AN$2:$AN$979)</f>
        <v>317.30769230769232</v>
      </c>
      <c r="C7" s="95" cm="1">
        <f t="array" ref="C7">SUMPRODUCT(('Hours Log'!$A$2:$A$979=$A7)*('Hours Log'!$B$2:$B$979=C$2)*('Hours Log'!$C$2:$C$979=LOOKUP(2,1/($A$1:C$1&lt;&gt;""),$A$1:C$1))*'Hours Log'!$F$2:$F$979*'Hours Log'!$AN$2:$AN$979)</f>
        <v>317.30769230769232</v>
      </c>
      <c r="D7" s="96" cm="1">
        <f t="array" ref="D7">SUMPRODUCT(('Hours Log'!$A$2:$A$979=$A7)*('Hours Log'!$B$2:$B$979=D$2)*('Hours Log'!$C$2:$C$979=LOOKUP(2,1/($A$1:D$1&lt;&gt;""),$A$1:D$1))*'Hours Log'!$F$2:$F$979*'Hours Log'!$AN$2:$AN$979)</f>
        <v>317.30769230769232</v>
      </c>
      <c r="E7" s="107" cm="1">
        <f t="array" ref="E7">SUMPRODUCT(('Hours Log'!$A$2:$A$979=$A7)*('Hours Log'!$B$2:$B$979=E$2)*('Hours Log'!$C$2:$C$979=LOOKUP(2,1/($A$1:E$1&lt;&gt;""),$A$1:E$1))*'Hours Log'!$F$2:$F$979*'Hours Log'!$AN$2:$AN$979)</f>
        <v>317.30769230769232</v>
      </c>
      <c r="F7" s="95" cm="1">
        <f t="array" ref="F7">SUMPRODUCT(('Hours Log'!$A$2:$A$979=$A7)*('Hours Log'!$B$2:$B$979=F$2)*('Hours Log'!$C$2:$C$979=LOOKUP(2,1/($A$1:F$1&lt;&gt;""),$A$1:F$1))*'Hours Log'!$F$2:$F$979*'Hours Log'!$AN$2:$AN$979)</f>
        <v>317.30769230769232</v>
      </c>
      <c r="G7" s="95" cm="1">
        <f t="array" ref="G7">SUMPRODUCT(('Hours Log'!$A$2:$A$979=$A7)*('Hours Log'!$B$2:$B$979=G$2)*('Hours Log'!$C$2:$C$979=LOOKUP(2,1/($A$1:G$1&lt;&gt;""),$A$1:G$1))*'Hours Log'!$F$2:$F$979*'Hours Log'!$AN$2:$AN$979)</f>
        <v>317.30769230769232</v>
      </c>
      <c r="H7" s="95" cm="1">
        <f t="array" ref="H7">SUMPRODUCT(('Hours Log'!$A$2:$A$979=$A7)*('Hours Log'!$B$2:$B$979=H$2)*('Hours Log'!$C$2:$C$979=LOOKUP(2,1/($A$1:H$1&lt;&gt;""),$A$1:H$1))*'Hours Log'!$F$2:$F$979*'Hours Log'!$AN$2:$AN$979)</f>
        <v>317.30769230769232</v>
      </c>
      <c r="I7" s="95" cm="1">
        <f t="array" ref="I7">SUMPRODUCT(('Hours Log'!$A$2:$A$979=$A7)*('Hours Log'!$B$2:$B$979=I$2)*('Hours Log'!$C$2:$C$979=LOOKUP(2,1/($A$1:I$1&lt;&gt;""),$A$1:I$1))*'Hours Log'!$F$2:$F$979*'Hours Log'!$AN$2:$AN$979)</f>
        <v>317.30769230769232</v>
      </c>
      <c r="J7" s="95" cm="1">
        <f t="array" ref="J7">SUMPRODUCT(('Hours Log'!$A$2:$A$979=$A7)*('Hours Log'!$B$2:$B$979=J$2)*('Hours Log'!$C$2:$C$979=LOOKUP(2,1/($A$1:J$1&lt;&gt;""),$A$1:J$1))*'Hours Log'!$F$2:$F$979*'Hours Log'!$AN$2:$AN$979)</f>
        <v>317.30769230769232</v>
      </c>
      <c r="K7" s="95" cm="1">
        <f t="array" ref="K7">SUMPRODUCT(('Hours Log'!$A$2:$A$979=$A7)*('Hours Log'!$B$2:$B$979=K$2)*('Hours Log'!$C$2:$C$979=LOOKUP(2,1/($A$1:K$1&lt;&gt;""),$A$1:K$1))*'Hours Log'!$F$2:$F$979*'Hours Log'!$AN$2:$AN$979)</f>
        <v>317.30769230769232</v>
      </c>
      <c r="L7" s="95" cm="1">
        <f t="array" ref="L7">SUMPRODUCT(('Hours Log'!$A$2:$A$979=$A7)*('Hours Log'!$B$2:$B$979=L$2)*('Hours Log'!$C$2:$C$979=LOOKUP(2,1/($A$1:L$1&lt;&gt;""),$A$1:L$1))*'Hours Log'!$F$2:$F$979*'Hours Log'!$AN$2:$AN$979)</f>
        <v>317.30769230769232</v>
      </c>
      <c r="M7" s="95" cm="1">
        <f t="array" ref="M7">SUMPRODUCT(('Hours Log'!$A$2:$A$979=$A7)*('Hours Log'!$B$2:$B$979=M$2)*('Hours Log'!$C$2:$C$979=LOOKUP(2,1/($A$1:M$1&lt;&gt;""),$A$1:M$1))*'Hours Log'!$F$2:$F$979*'Hours Log'!$AN$2:$AN$979)</f>
        <v>317.30769230769232</v>
      </c>
      <c r="N7" s="95" cm="1">
        <f t="array" ref="N7">SUMPRODUCT(('Hours Log'!$A$2:$A$979=$A7)*('Hours Log'!$B$2:$B$979=N$2)*('Hours Log'!$C$2:$C$979=LOOKUP(2,1/($A$1:N$1&lt;&gt;""),$A$1:N$1))*'Hours Log'!$F$2:$F$979*'Hours Log'!$AN$2:$AN$979)</f>
        <v>317.30769230769232</v>
      </c>
      <c r="O7" s="95" cm="1">
        <f t="array" ref="O7">SUMPRODUCT(('Hours Log'!$A$2:$A$979=$A7)*('Hours Log'!$B$2:$B$979=O$2)*('Hours Log'!$C$2:$C$979=LOOKUP(2,1/($A$1:O$1&lt;&gt;""),$A$1:O$1))*'Hours Log'!$F$2:$F$979*'Hours Log'!$AN$2:$AN$979)</f>
        <v>317.30769230769232</v>
      </c>
      <c r="P7" s="96" cm="1">
        <f t="array" ref="P7">SUMPRODUCT(('Hours Log'!$A$2:$A$979=$A7)*('Hours Log'!$B$2:$B$979=P$2)*('Hours Log'!$C$2:$C$979=LOOKUP(2,1/($A$1:P$1&lt;&gt;""),$A$1:P$1))*'Hours Log'!$F$2:$F$979*'Hours Log'!$AN$2:$AN$979)</f>
        <v>317.30769230769232</v>
      </c>
      <c r="Q7" s="7" cm="1">
        <f t="array" ref="Q7">SUMPRODUCT(('Hours Log'!$A$2:$A$979=$A7)*('Hours Log'!$B$2:$B$979=Q$2)*('Hours Log'!$C$2:$C$979=LOOKUP(2,1/($A$1:Q$1&lt;&gt;""),$A$1:Q$1))*'Hours Log'!$F$2:$F$979*'Hours Log'!$AN$2:$AN$979)</f>
        <v>347.95673076923083</v>
      </c>
      <c r="R7" s="7" cm="1">
        <f t="array" ref="R7">SUMPRODUCT(('Hours Log'!$A$2:$A$979=$A7)*('Hours Log'!$B$2:$B$979=R$2)*('Hours Log'!$C$2:$C$979=LOOKUP(2,1/($A$1:R$1&lt;&gt;""),$A$1:R$1))*'Hours Log'!$F$2:$F$979*'Hours Log'!$AN$2:$AN$979)</f>
        <v>347.95673076923083</v>
      </c>
      <c r="S7" s="7" cm="1">
        <f t="array" ref="S7">SUMPRODUCT(('Hours Log'!$A$2:$A$979=$A7)*('Hours Log'!$B$2:$B$979=S$2)*('Hours Log'!$C$2:$C$979=LOOKUP(2,1/($A$1:S$1&lt;&gt;""),$A$1:S$1))*'Hours Log'!$F$2:$F$979*'Hours Log'!$AN$2:$AN$979)</f>
        <v>347.95673076923083</v>
      </c>
      <c r="T7" s="7" cm="1">
        <f t="array" ref="T7">SUMPRODUCT(('Hours Log'!$A$2:$A$979=$A7)*('Hours Log'!$B$2:$B$979=T$2)*('Hours Log'!$C$2:$C$979=LOOKUP(2,1/($A$1:T$1&lt;&gt;""),$A$1:T$1))*'Hours Log'!$F$2:$F$979*'Hours Log'!$AN$2:$AN$979)</f>
        <v>347.95673076923083</v>
      </c>
      <c r="U7" s="7" cm="1">
        <f t="array" ref="U7">SUMPRODUCT(('Hours Log'!$A$2:$A$979=$A7)*('Hours Log'!$B$2:$B$979=U$2)*('Hours Log'!$C$2:$C$979=LOOKUP(2,1/($A$1:U$1&lt;&gt;""),$A$1:U$1))*'Hours Log'!$F$2:$F$979*'Hours Log'!$AN$2:$AN$979)</f>
        <v>347.95673076923083</v>
      </c>
      <c r="V7" s="7" cm="1">
        <f t="array" ref="V7">SUMPRODUCT(('Hours Log'!$A$2:$A$979=$A7)*('Hours Log'!$B$2:$B$979=V$2)*('Hours Log'!$C$2:$C$979=LOOKUP(2,1/($A$1:V$1&lt;&gt;""),$A$1:V$1))*'Hours Log'!$F$2:$F$979*'Hours Log'!$AN$2:$AN$979)</f>
        <v>347.95673076923083</v>
      </c>
      <c r="W7" s="7" cm="1">
        <f t="array" ref="W7">SUMPRODUCT(('Hours Log'!$A$2:$A$979=$A7)*('Hours Log'!$B$2:$B$979=W$2)*('Hours Log'!$C$2:$C$979=LOOKUP(2,1/($A$1:W$1&lt;&gt;""),$A$1:W$1))*'Hours Log'!$F$2:$F$979*'Hours Log'!$AN$2:$AN$979)</f>
        <v>347.95673076923083</v>
      </c>
      <c r="X7" s="7" cm="1">
        <f t="array" ref="X7">SUMPRODUCT(('Hours Log'!$A$2:$A$979=$A7)*('Hours Log'!$B$2:$B$979=X$2)*('Hours Log'!$C$2:$C$979=LOOKUP(2,1/($A$1:X$1&lt;&gt;""),$A$1:X$1))*'Hours Log'!$F$2:$F$979*'Hours Log'!$AN$2:$AN$979)</f>
        <v>347.95673076923083</v>
      </c>
      <c r="Y7" s="7" cm="1">
        <f t="array" ref="Y7">SUMPRODUCT(('Hours Log'!$A$2:$A$979=$A7)*('Hours Log'!$B$2:$B$979=Y$2)*('Hours Log'!$C$2:$C$979=LOOKUP(2,1/($A$1:Y$1&lt;&gt;""),$A$1:Y$1))*'Hours Log'!$F$2:$F$979*'Hours Log'!$AN$2:$AN$979)</f>
        <v>347.95673076923083</v>
      </c>
      <c r="Z7" s="7" cm="1">
        <f t="array" ref="Z7">SUMPRODUCT(('Hours Log'!$A$2:$A$979=$A7)*('Hours Log'!$B$2:$B$979=Z$2)*('Hours Log'!$C$2:$C$979=LOOKUP(2,1/($A$1:Z$1&lt;&gt;""),$A$1:Z$1))*'Hours Log'!$F$2:$F$979*'Hours Log'!$AN$2:$AN$979)</f>
        <v>347.95673076923083</v>
      </c>
      <c r="AA7" s="7" cm="1">
        <f t="array" ref="AA7">SUMPRODUCT(('Hours Log'!$A$2:$A$979=$A7)*('Hours Log'!$B$2:$B$979=AA$2)*('Hours Log'!$C$2:$C$979=LOOKUP(2,1/($A$1:AA$1&lt;&gt;""),$A$1:AA$1))*'Hours Log'!$F$2:$F$979*'Hours Log'!$AN$2:$AN$979)</f>
        <v>347.95673076923083</v>
      </c>
      <c r="AB7" s="7" cm="1">
        <f t="array" ref="AB7">SUMPRODUCT(('Hours Log'!$A$2:$A$979=$A7)*('Hours Log'!$B$2:$B$979=AB$2)*('Hours Log'!$C$2:$C$979=LOOKUP(2,1/($A$1:AB$1&lt;&gt;""),$A$1:AB$1))*'Hours Log'!$F$2:$F$979*'Hours Log'!$AN$2:$AN$979)</f>
        <v>347.95673076923083</v>
      </c>
      <c r="AC7" s="7" cm="1">
        <f t="array" ref="AC7">SUMPRODUCT(('Hours Log'!$A$2:$A$979=$A7)*('Hours Log'!$B$2:$B$979=AC$2)*('Hours Log'!$C$2:$C$979=LOOKUP(2,1/($A$1:AC$1&lt;&gt;""),$A$1:AC$1))*'Hours Log'!$F$2:$F$979*'Hours Log'!$AN$2:$AN$979)</f>
        <v>389.42307692307691</v>
      </c>
      <c r="AD7" s="7" cm="1">
        <f t="array" ref="AD7">SUMPRODUCT(('Hours Log'!$A$2:$A$979=$A7)*('Hours Log'!$B$2:$B$979=AD$2)*('Hours Log'!$C$2:$C$979=LOOKUP(2,1/($A$1:AD$1&lt;&gt;""),$A$1:AD$1))*'Hours Log'!$F$2:$F$979*'Hours Log'!$AN$2:$AN$979)</f>
        <v>389.42307692307691</v>
      </c>
      <c r="AE7" s="7" cm="1">
        <f t="array" ref="AE7">SUMPRODUCT(('Hours Log'!$A$2:$A$979=$A7)*('Hours Log'!$B$2:$B$979=AE$2)*('Hours Log'!$C$2:$C$979=LOOKUP(2,1/($A$1:AE$1&lt;&gt;""),$A$1:AE$1))*'Hours Log'!$F$2:$F$979*'Hours Log'!$AN$2:$AN$979)</f>
        <v>389.42307692307691</v>
      </c>
      <c r="AF7" s="7" cm="1">
        <f t="array" ref="AF7">SUMPRODUCT(('Hours Log'!$A$2:$A$979=$A7)*('Hours Log'!$B$2:$B$979=AF$2)*('Hours Log'!$C$2:$C$979=LOOKUP(2,1/($A$1:AF$1&lt;&gt;""),$A$1:AF$1))*'Hours Log'!$F$2:$F$979*'Hours Log'!$AN$2:$AN$979)</f>
        <v>389.42307692307691</v>
      </c>
      <c r="AG7" s="7" cm="1">
        <f t="array" ref="AG7">SUMPRODUCT(('Hours Log'!$A$2:$A$979=$A7)*('Hours Log'!$B$2:$B$979=AG$2)*('Hours Log'!$C$2:$C$979=LOOKUP(2,1/($A$1:AG$1&lt;&gt;""),$A$1:AG$1))*'Hours Log'!$F$2:$F$979*'Hours Log'!$AN$2:$AN$979)</f>
        <v>389.42307692307691</v>
      </c>
      <c r="AH7" s="7" cm="1">
        <f t="array" ref="AH7">SUMPRODUCT(('Hours Log'!$A$2:$A$979=$A7)*('Hours Log'!$B$2:$B$979=AH$2)*('Hours Log'!$C$2:$C$979=LOOKUP(2,1/($A$1:AH$1&lt;&gt;""),$A$1:AH$1))*'Hours Log'!$F$2:$F$979*'Hours Log'!$AN$2:$AN$979)</f>
        <v>389.42307692307691</v>
      </c>
    </row>
    <row r="8" spans="1:34" x14ac:dyDescent="0.25">
      <c r="A8" s="103" t="s">
        <v>98</v>
      </c>
      <c r="B8" s="115">
        <f>SUM(B3:B7)</f>
        <v>8977.9407994415051</v>
      </c>
      <c r="C8" s="104">
        <f t="shared" ref="C8:AH8" si="0">SUM(C3:C7)</f>
        <v>9560.6158734629844</v>
      </c>
      <c r="D8" s="116">
        <f t="shared" si="0"/>
        <v>8038.6169142547215</v>
      </c>
      <c r="E8" s="115">
        <f t="shared" si="0"/>
        <v>7884.2157018788948</v>
      </c>
      <c r="F8" s="104">
        <f t="shared" si="0"/>
        <v>6536.5423490231606</v>
      </c>
      <c r="G8" s="104">
        <f t="shared" si="0"/>
        <v>4185.6790565184374</v>
      </c>
      <c r="H8" s="104">
        <f t="shared" si="0"/>
        <v>7353.6738720918729</v>
      </c>
      <c r="I8" s="104">
        <f t="shared" si="0"/>
        <v>7623.5592556308184</v>
      </c>
      <c r="J8" s="104">
        <f t="shared" si="0"/>
        <v>7679.3379855588682</v>
      </c>
      <c r="K8" s="104">
        <f t="shared" si="0"/>
        <v>8325.097658612096</v>
      </c>
      <c r="L8" s="104">
        <f t="shared" si="0"/>
        <v>6399.8446859179985</v>
      </c>
      <c r="M8" s="104">
        <f t="shared" si="0"/>
        <v>5650.0161977483658</v>
      </c>
      <c r="N8" s="104">
        <f t="shared" si="0"/>
        <v>6959.1353897397121</v>
      </c>
      <c r="O8" s="104">
        <f t="shared" si="0"/>
        <v>5184.6535412671165</v>
      </c>
      <c r="P8" s="116">
        <f t="shared" si="0"/>
        <v>5543.0898291291351</v>
      </c>
      <c r="Q8" s="104">
        <f t="shared" si="0"/>
        <v>9355.7187140580736</v>
      </c>
      <c r="R8" s="104">
        <f t="shared" si="0"/>
        <v>7468.8220270939582</v>
      </c>
      <c r="S8" s="104">
        <f t="shared" si="0"/>
        <v>6606.0204057919655</v>
      </c>
      <c r="T8" s="104">
        <f t="shared" si="0"/>
        <v>5382.7913436479557</v>
      </c>
      <c r="U8" s="104">
        <f t="shared" si="0"/>
        <v>6713.60484789573</v>
      </c>
      <c r="V8" s="104">
        <f t="shared" si="0"/>
        <v>6597.9057953826677</v>
      </c>
      <c r="W8" s="104">
        <f t="shared" si="0"/>
        <v>8013.3499937954975</v>
      </c>
      <c r="X8" s="104">
        <f t="shared" si="0"/>
        <v>8283.1138655094455</v>
      </c>
      <c r="Y8" s="104">
        <f t="shared" si="0"/>
        <v>9439.6907354324667</v>
      </c>
      <c r="Z8" s="104">
        <f t="shared" si="0"/>
        <v>3241.0971502002908</v>
      </c>
      <c r="AA8" s="104">
        <f t="shared" si="0"/>
        <v>4170.3682771128324</v>
      </c>
      <c r="AB8" s="104">
        <f t="shared" si="0"/>
        <v>6334.1550763098849</v>
      </c>
      <c r="AC8" s="104">
        <f t="shared" si="0"/>
        <v>4982.7530769230771</v>
      </c>
      <c r="AD8" s="104">
        <f t="shared" si="0"/>
        <v>3442.1330769230772</v>
      </c>
      <c r="AE8" s="104">
        <f t="shared" si="0"/>
        <v>3556.2530769230771</v>
      </c>
      <c r="AF8" s="104">
        <f t="shared" si="0"/>
        <v>3670.373076923077</v>
      </c>
      <c r="AG8" s="104">
        <f t="shared" si="0"/>
        <v>4183.9130769230769</v>
      </c>
      <c r="AH8" s="104">
        <f t="shared" si="0"/>
        <v>6295.1330769230772</v>
      </c>
    </row>
    <row r="9" spans="1:34" x14ac:dyDescent="0.25">
      <c r="A9" t="s">
        <v>99</v>
      </c>
      <c r="B9" s="107">
        <v>19168.47</v>
      </c>
      <c r="C9" s="95">
        <v>19168.47</v>
      </c>
      <c r="D9" s="96">
        <v>19168.47</v>
      </c>
      <c r="E9" s="107">
        <v>19168.47</v>
      </c>
      <c r="F9" s="95">
        <v>19168.47</v>
      </c>
      <c r="G9" s="95">
        <v>19168.47</v>
      </c>
      <c r="H9" s="95">
        <v>19168.47</v>
      </c>
      <c r="I9" s="95">
        <v>19168.47</v>
      </c>
      <c r="J9" s="95">
        <v>19168.47</v>
      </c>
      <c r="K9" s="95">
        <v>19168.47</v>
      </c>
      <c r="L9" s="95">
        <v>19168.47</v>
      </c>
      <c r="M9" s="95">
        <v>19168.47</v>
      </c>
      <c r="N9" s="95">
        <v>19168.47</v>
      </c>
      <c r="O9" s="95">
        <v>19168.47</v>
      </c>
      <c r="P9" s="96">
        <v>19168.47</v>
      </c>
      <c r="Q9" s="7">
        <v>19168.47</v>
      </c>
      <c r="R9" s="7">
        <v>19168.47</v>
      </c>
      <c r="S9" s="7">
        <v>19168.47</v>
      </c>
      <c r="T9" s="7">
        <v>19168.47</v>
      </c>
      <c r="U9" s="7">
        <v>19168.47</v>
      </c>
      <c r="V9" s="7">
        <v>19168.47</v>
      </c>
      <c r="W9" s="7">
        <v>19168.47</v>
      </c>
      <c r="X9" s="7">
        <v>19168.47</v>
      </c>
      <c r="Y9" s="7">
        <v>19168.47</v>
      </c>
      <c r="Z9" s="7">
        <v>1474</v>
      </c>
      <c r="AA9" s="7">
        <v>1374</v>
      </c>
      <c r="AB9" s="7">
        <v>1374</v>
      </c>
      <c r="AC9" s="7">
        <v>1374</v>
      </c>
      <c r="AD9" s="7">
        <v>1374</v>
      </c>
      <c r="AE9" s="7">
        <v>1374</v>
      </c>
      <c r="AF9" s="7">
        <v>1374</v>
      </c>
      <c r="AG9" s="7">
        <v>1374</v>
      </c>
      <c r="AH9" s="7">
        <v>1374</v>
      </c>
    </row>
    <row r="10" spans="1:34" x14ac:dyDescent="0.25">
      <c r="A10" s="103" t="s">
        <v>100</v>
      </c>
      <c r="B10" s="115">
        <f>B8-B9</f>
        <v>-10190.529200558496</v>
      </c>
      <c r="C10" s="104">
        <f t="shared" ref="C10:AH10" si="1">C8-C9</f>
        <v>-9607.8541265370168</v>
      </c>
      <c r="D10" s="116">
        <f t="shared" si="1"/>
        <v>-11129.853085745279</v>
      </c>
      <c r="E10" s="115">
        <f t="shared" si="1"/>
        <v>-11284.254298121106</v>
      </c>
      <c r="F10" s="104">
        <f t="shared" si="1"/>
        <v>-12631.927650976841</v>
      </c>
      <c r="G10" s="104">
        <f t="shared" si="1"/>
        <v>-14982.790943481563</v>
      </c>
      <c r="H10" s="104">
        <f t="shared" si="1"/>
        <v>-11814.796127908128</v>
      </c>
      <c r="I10" s="104">
        <f t="shared" si="1"/>
        <v>-11544.910744369183</v>
      </c>
      <c r="J10" s="104">
        <f t="shared" si="1"/>
        <v>-11489.132014441133</v>
      </c>
      <c r="K10" s="104">
        <f t="shared" si="1"/>
        <v>-10843.372341387905</v>
      </c>
      <c r="L10" s="104">
        <f t="shared" si="1"/>
        <v>-12768.625314082003</v>
      </c>
      <c r="M10" s="104">
        <f t="shared" si="1"/>
        <v>-13518.453802251635</v>
      </c>
      <c r="N10" s="104">
        <f t="shared" si="1"/>
        <v>-12209.334610260288</v>
      </c>
      <c r="O10" s="104">
        <f t="shared" si="1"/>
        <v>-13983.816458732885</v>
      </c>
      <c r="P10" s="116">
        <f t="shared" si="1"/>
        <v>-13625.380170870867</v>
      </c>
      <c r="Q10" s="104">
        <f t="shared" si="1"/>
        <v>-9812.7512859419276</v>
      </c>
      <c r="R10" s="104">
        <f t="shared" si="1"/>
        <v>-11699.647972906043</v>
      </c>
      <c r="S10" s="104">
        <f t="shared" si="1"/>
        <v>-12562.449594208036</v>
      </c>
      <c r="T10" s="104">
        <f t="shared" si="1"/>
        <v>-13785.678656352045</v>
      </c>
      <c r="U10" s="104">
        <f t="shared" si="1"/>
        <v>-12454.86515210427</v>
      </c>
      <c r="V10" s="104">
        <f t="shared" si="1"/>
        <v>-12570.564204617334</v>
      </c>
      <c r="W10" s="104">
        <f t="shared" si="1"/>
        <v>-11155.120006204503</v>
      </c>
      <c r="X10" s="104">
        <f t="shared" si="1"/>
        <v>-10885.356134490556</v>
      </c>
      <c r="Y10" s="104">
        <f t="shared" si="1"/>
        <v>-9728.7792645675345</v>
      </c>
      <c r="Z10" s="104">
        <f t="shared" si="1"/>
        <v>1767.0971502002908</v>
      </c>
      <c r="AA10" s="104">
        <f t="shared" si="1"/>
        <v>2796.3682771128324</v>
      </c>
      <c r="AB10" s="104">
        <f t="shared" si="1"/>
        <v>4960.1550763098849</v>
      </c>
      <c r="AC10" s="104">
        <f t="shared" si="1"/>
        <v>3608.7530769230771</v>
      </c>
      <c r="AD10" s="104">
        <f t="shared" si="1"/>
        <v>2068.1330769230772</v>
      </c>
      <c r="AE10" s="104">
        <f t="shared" si="1"/>
        <v>2182.2530769230771</v>
      </c>
      <c r="AF10" s="104">
        <f t="shared" si="1"/>
        <v>2296.373076923077</v>
      </c>
      <c r="AG10" s="104">
        <f t="shared" si="1"/>
        <v>2809.9130769230769</v>
      </c>
      <c r="AH10" s="104">
        <f t="shared" si="1"/>
        <v>4921.1330769230772</v>
      </c>
    </row>
    <row r="11" spans="1:34" x14ac:dyDescent="0.25">
      <c r="B11" s="68"/>
      <c r="D11" s="65"/>
      <c r="E11" s="68"/>
      <c r="P11" s="65"/>
    </row>
    <row r="12" spans="1:34" x14ac:dyDescent="0.25">
      <c r="A12" s="61" t="s">
        <v>103</v>
      </c>
      <c r="B12" s="68"/>
      <c r="D12" s="65"/>
      <c r="E12" s="68"/>
      <c r="P12" s="65"/>
    </row>
    <row r="13" spans="1:34" x14ac:dyDescent="0.25">
      <c r="A13" t="s">
        <v>97</v>
      </c>
      <c r="B13" s="107">
        <v>1666.66</v>
      </c>
      <c r="C13" s="95">
        <v>1666.66</v>
      </c>
      <c r="D13" s="96">
        <v>1666.66</v>
      </c>
      <c r="E13" s="107">
        <v>1666.66</v>
      </c>
      <c r="F13" s="95">
        <v>1666.66</v>
      </c>
      <c r="G13" s="95">
        <v>1666.66</v>
      </c>
      <c r="H13" s="95">
        <v>1666.66</v>
      </c>
      <c r="I13" s="95">
        <v>1666.66</v>
      </c>
      <c r="J13" s="95">
        <v>1666.66</v>
      </c>
      <c r="K13" s="95">
        <v>1666.66</v>
      </c>
      <c r="L13" s="95">
        <v>1666.66</v>
      </c>
      <c r="M13" s="95">
        <v>1666.66</v>
      </c>
      <c r="N13" s="95">
        <v>1666.66</v>
      </c>
      <c r="O13" s="95">
        <v>1666.66</v>
      </c>
      <c r="P13" s="96">
        <v>1666.66</v>
      </c>
      <c r="Q13" s="7">
        <v>1666.66</v>
      </c>
      <c r="R13" s="7">
        <v>1666.66</v>
      </c>
      <c r="S13" s="7">
        <v>1666.66</v>
      </c>
      <c r="T13" s="7">
        <v>1666.66</v>
      </c>
      <c r="U13" s="7">
        <v>1666.66</v>
      </c>
      <c r="V13" s="7">
        <v>1666.66</v>
      </c>
      <c r="W13" s="7">
        <v>1666.66</v>
      </c>
      <c r="X13" s="7">
        <v>1666.66</v>
      </c>
      <c r="Y13" s="7">
        <v>1666.66</v>
      </c>
      <c r="Z13" s="7"/>
      <c r="AA13" s="7"/>
      <c r="AB13" s="7"/>
      <c r="AC13" s="7"/>
      <c r="AD13" s="7"/>
      <c r="AE13" s="7"/>
      <c r="AF13" s="7"/>
      <c r="AG13" s="7"/>
      <c r="AH13" s="7"/>
    </row>
    <row r="14" spans="1:34" x14ac:dyDescent="0.25">
      <c r="A14" t="s">
        <v>102</v>
      </c>
      <c r="B14" s="107">
        <v>1666.66</v>
      </c>
      <c r="C14" s="95">
        <v>1666.66</v>
      </c>
      <c r="D14" s="96">
        <v>1666.66</v>
      </c>
      <c r="E14" s="107">
        <v>1666.66</v>
      </c>
      <c r="F14" s="95">
        <v>1666.66</v>
      </c>
      <c r="G14" s="95">
        <v>1666.66</v>
      </c>
      <c r="H14" s="95">
        <v>1666.66</v>
      </c>
      <c r="I14" s="95">
        <v>1666.66</v>
      </c>
      <c r="J14" s="95">
        <v>1666.66</v>
      </c>
      <c r="K14" s="95">
        <v>1666.66</v>
      </c>
      <c r="L14" s="95">
        <v>1666.66</v>
      </c>
      <c r="M14" s="95">
        <v>1666.66</v>
      </c>
      <c r="N14" s="95">
        <v>1666.66</v>
      </c>
      <c r="O14" s="95">
        <v>1666.66</v>
      </c>
      <c r="P14" s="96">
        <v>1666.66</v>
      </c>
      <c r="Q14" s="7">
        <v>1666.66</v>
      </c>
      <c r="R14" s="7">
        <v>1666.66</v>
      </c>
      <c r="S14" s="7">
        <v>1666.66</v>
      </c>
      <c r="T14" s="7">
        <v>1666.66</v>
      </c>
      <c r="U14" s="7">
        <v>1666.66</v>
      </c>
      <c r="V14" s="7">
        <v>1666.66</v>
      </c>
      <c r="W14" s="7">
        <v>1666.66</v>
      </c>
      <c r="X14" s="7">
        <v>1666.66</v>
      </c>
      <c r="Y14" s="7">
        <v>1666.66</v>
      </c>
      <c r="Z14" s="7"/>
      <c r="AA14" s="7"/>
      <c r="AB14" s="7"/>
      <c r="AC14" s="7"/>
      <c r="AD14" s="7"/>
      <c r="AE14" s="7"/>
      <c r="AF14" s="7"/>
      <c r="AG14" s="7"/>
      <c r="AH14" s="7"/>
    </row>
    <row r="15" spans="1:34" x14ac:dyDescent="0.25">
      <c r="A15" t="s">
        <v>100</v>
      </c>
      <c r="B15" s="107">
        <f>B13-B14</f>
        <v>0</v>
      </c>
      <c r="C15" s="95">
        <f t="shared" ref="C15:Y15" si="2">C13-C14</f>
        <v>0</v>
      </c>
      <c r="D15" s="96">
        <f t="shared" si="2"/>
        <v>0</v>
      </c>
      <c r="E15" s="107">
        <f t="shared" si="2"/>
        <v>0</v>
      </c>
      <c r="F15" s="95">
        <f t="shared" si="2"/>
        <v>0</v>
      </c>
      <c r="G15" s="95">
        <f t="shared" si="2"/>
        <v>0</v>
      </c>
      <c r="H15" s="95">
        <f t="shared" si="2"/>
        <v>0</v>
      </c>
      <c r="I15" s="95">
        <f t="shared" si="2"/>
        <v>0</v>
      </c>
      <c r="J15" s="95">
        <f t="shared" si="2"/>
        <v>0</v>
      </c>
      <c r="K15" s="95">
        <f t="shared" si="2"/>
        <v>0</v>
      </c>
      <c r="L15" s="95">
        <f t="shared" si="2"/>
        <v>0</v>
      </c>
      <c r="M15" s="95">
        <f t="shared" si="2"/>
        <v>0</v>
      </c>
      <c r="N15" s="95">
        <f t="shared" si="2"/>
        <v>0</v>
      </c>
      <c r="O15" s="95">
        <f t="shared" si="2"/>
        <v>0</v>
      </c>
      <c r="P15" s="96">
        <f t="shared" si="2"/>
        <v>0</v>
      </c>
      <c r="Q15" s="7">
        <f t="shared" si="2"/>
        <v>0</v>
      </c>
      <c r="R15" s="7">
        <f t="shared" si="2"/>
        <v>0</v>
      </c>
      <c r="S15" s="7">
        <f t="shared" si="2"/>
        <v>0</v>
      </c>
      <c r="T15" s="7">
        <f t="shared" si="2"/>
        <v>0</v>
      </c>
      <c r="U15" s="7">
        <f t="shared" si="2"/>
        <v>0</v>
      </c>
      <c r="V15" s="7">
        <f t="shared" si="2"/>
        <v>0</v>
      </c>
      <c r="W15" s="7">
        <f t="shared" si="2"/>
        <v>0</v>
      </c>
      <c r="X15" s="7">
        <f t="shared" si="2"/>
        <v>0</v>
      </c>
      <c r="Y15" s="7">
        <f t="shared" si="2"/>
        <v>0</v>
      </c>
      <c r="Z15" s="7"/>
      <c r="AA15" s="7"/>
      <c r="AB15" s="7"/>
      <c r="AC15" s="7"/>
      <c r="AD15" s="7"/>
      <c r="AE15" s="7"/>
      <c r="AF15" s="7"/>
      <c r="AG15" s="7"/>
      <c r="AH15" s="7"/>
    </row>
    <row r="16" spans="1:34" x14ac:dyDescent="0.25">
      <c r="B16" s="107"/>
      <c r="C16" s="95"/>
      <c r="D16" s="96"/>
      <c r="E16" s="107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6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  <c r="AG16" s="7"/>
      <c r="AH16" s="7"/>
    </row>
    <row r="17" spans="1:35" x14ac:dyDescent="0.25">
      <c r="A17" s="61" t="s">
        <v>104</v>
      </c>
      <c r="B17" s="107"/>
      <c r="C17" s="95"/>
      <c r="D17" s="96"/>
      <c r="E17" s="107"/>
      <c r="F17" s="95"/>
      <c r="G17" s="95"/>
      <c r="H17" s="95"/>
      <c r="I17" s="95"/>
      <c r="J17" s="95"/>
      <c r="K17" s="95"/>
      <c r="L17" s="95"/>
      <c r="M17" s="95"/>
      <c r="N17" s="95"/>
      <c r="O17" s="95"/>
      <c r="P17" s="96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</row>
    <row r="18" spans="1:35" x14ac:dyDescent="0.25">
      <c r="A18" t="s">
        <v>97</v>
      </c>
      <c r="B18" s="107"/>
      <c r="C18" s="95"/>
      <c r="D18" s="96"/>
      <c r="E18" s="107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6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  <c r="AG18" s="7"/>
      <c r="AH18" s="7"/>
    </row>
    <row r="19" spans="1:35" x14ac:dyDescent="0.25">
      <c r="A19" t="s">
        <v>102</v>
      </c>
      <c r="B19" s="107">
        <v>0</v>
      </c>
      <c r="C19" s="95">
        <v>0</v>
      </c>
      <c r="D19" s="96">
        <v>0</v>
      </c>
      <c r="E19" s="107">
        <v>0</v>
      </c>
      <c r="F19" s="95">
        <v>0</v>
      </c>
      <c r="G19" s="95">
        <v>0</v>
      </c>
      <c r="H19" s="95">
        <v>0</v>
      </c>
      <c r="I19" s="95">
        <v>0</v>
      </c>
      <c r="J19" s="95">
        <v>0</v>
      </c>
      <c r="K19" s="95">
        <v>0</v>
      </c>
      <c r="L19" s="95">
        <v>0</v>
      </c>
      <c r="M19" s="95">
        <v>0</v>
      </c>
      <c r="N19" s="95">
        <v>0</v>
      </c>
      <c r="O19" s="95">
        <v>0</v>
      </c>
      <c r="P19" s="96">
        <v>0</v>
      </c>
      <c r="Q19" s="7">
        <v>0</v>
      </c>
      <c r="R19" s="7">
        <v>0</v>
      </c>
      <c r="S19" s="7">
        <v>0</v>
      </c>
      <c r="T19" s="7">
        <v>0</v>
      </c>
      <c r="U19" s="7">
        <v>0</v>
      </c>
      <c r="V19" s="7">
        <v>0</v>
      </c>
      <c r="W19" s="7">
        <v>0</v>
      </c>
      <c r="X19" s="7">
        <v>0</v>
      </c>
      <c r="Y19" s="7">
        <v>0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</row>
    <row r="20" spans="1:35" x14ac:dyDescent="0.25">
      <c r="A20" t="s">
        <v>100</v>
      </c>
      <c r="B20" s="107"/>
      <c r="C20" s="95"/>
      <c r="D20" s="96"/>
      <c r="E20" s="107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6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</row>
    <row r="21" spans="1:35" x14ac:dyDescent="0.25">
      <c r="B21" s="107"/>
      <c r="C21" s="95"/>
      <c r="D21" s="96"/>
      <c r="E21" s="107"/>
      <c r="F21" s="95"/>
      <c r="G21" s="95"/>
      <c r="H21" s="95"/>
      <c r="I21" s="95"/>
      <c r="J21" s="95"/>
      <c r="K21" s="95"/>
      <c r="L21" s="95"/>
      <c r="M21" s="95"/>
      <c r="N21" s="95"/>
      <c r="O21" s="95"/>
      <c r="P21" s="96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</row>
    <row r="22" spans="1:35" x14ac:dyDescent="0.25">
      <c r="A22" s="61" t="s">
        <v>105</v>
      </c>
      <c r="B22" s="107"/>
      <c r="C22" s="95"/>
      <c r="D22" s="96"/>
      <c r="E22" s="107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6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</row>
    <row r="23" spans="1:35" x14ac:dyDescent="0.25">
      <c r="A23" t="s">
        <v>97</v>
      </c>
      <c r="B23" s="107"/>
      <c r="C23" s="95"/>
      <c r="D23" s="96"/>
      <c r="E23" s="107"/>
      <c r="F23" s="95"/>
      <c r="G23" s="95"/>
      <c r="H23" s="95"/>
      <c r="I23" s="95"/>
      <c r="J23" s="95"/>
      <c r="K23" s="95"/>
      <c r="L23" s="95"/>
      <c r="M23" s="95"/>
      <c r="N23" s="95"/>
      <c r="O23" s="95"/>
      <c r="P23" s="96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  <c r="AG23" s="7"/>
      <c r="AH23" s="7"/>
    </row>
    <row r="24" spans="1:35" x14ac:dyDescent="0.25">
      <c r="A24" t="s">
        <v>102</v>
      </c>
      <c r="B24" s="107">
        <v>0</v>
      </c>
      <c r="C24" s="95">
        <v>0</v>
      </c>
      <c r="D24" s="96">
        <v>0</v>
      </c>
      <c r="E24" s="107">
        <v>0</v>
      </c>
      <c r="F24" s="95">
        <v>0</v>
      </c>
      <c r="G24" s="95">
        <v>0</v>
      </c>
      <c r="H24" s="95">
        <v>0</v>
      </c>
      <c r="I24" s="95">
        <v>0</v>
      </c>
      <c r="J24" s="95">
        <v>0</v>
      </c>
      <c r="K24" s="95">
        <v>0</v>
      </c>
      <c r="L24" s="95">
        <v>0</v>
      </c>
      <c r="M24" s="95">
        <v>0</v>
      </c>
      <c r="N24" s="95">
        <v>0</v>
      </c>
      <c r="O24" s="95">
        <v>0</v>
      </c>
      <c r="P24" s="96">
        <v>0</v>
      </c>
      <c r="Q24" s="7">
        <v>0</v>
      </c>
      <c r="R24" s="7">
        <v>0</v>
      </c>
      <c r="S24" s="7">
        <v>0</v>
      </c>
      <c r="T24" s="7">
        <v>0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0</v>
      </c>
      <c r="AB24" s="7">
        <v>0</v>
      </c>
      <c r="AC24" s="7">
        <v>0</v>
      </c>
      <c r="AD24" s="7">
        <v>0</v>
      </c>
      <c r="AE24" s="7">
        <v>0</v>
      </c>
      <c r="AF24" s="7">
        <v>0</v>
      </c>
      <c r="AG24" s="7">
        <v>0</v>
      </c>
      <c r="AH24" s="7">
        <v>0</v>
      </c>
    </row>
    <row r="25" spans="1:35" x14ac:dyDescent="0.25">
      <c r="A25" t="s">
        <v>100</v>
      </c>
      <c r="B25" s="107"/>
      <c r="C25" s="95"/>
      <c r="D25" s="96"/>
      <c r="E25" s="107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6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</row>
    <row r="26" spans="1:35" x14ac:dyDescent="0.25">
      <c r="B26" s="107"/>
      <c r="C26" s="95"/>
      <c r="D26" s="96"/>
      <c r="E26" s="107"/>
      <c r="F26" s="95"/>
      <c r="G26" s="95"/>
      <c r="H26" s="95"/>
      <c r="I26" s="95"/>
      <c r="J26" s="95"/>
      <c r="K26" s="95"/>
      <c r="L26" s="95"/>
      <c r="M26" s="95"/>
      <c r="N26" s="95"/>
      <c r="O26" s="95"/>
      <c r="P26" s="96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</row>
    <row r="27" spans="1:35" x14ac:dyDescent="0.25">
      <c r="A27" t="s">
        <v>51</v>
      </c>
      <c r="B27" s="107">
        <f>B8+B13+B18+B23</f>
        <v>10644.600799441505</v>
      </c>
      <c r="C27" s="95">
        <f t="shared" ref="C27:AH27" si="3">C8+C13+C18+C23</f>
        <v>11227.275873462984</v>
      </c>
      <c r="D27" s="96">
        <f t="shared" si="3"/>
        <v>9705.2769142547222</v>
      </c>
      <c r="E27" s="107">
        <f t="shared" si="3"/>
        <v>9550.8757018788947</v>
      </c>
      <c r="F27" s="95">
        <f t="shared" si="3"/>
        <v>8203.2023490231604</v>
      </c>
      <c r="G27" s="95">
        <f t="shared" si="3"/>
        <v>5852.3390565184372</v>
      </c>
      <c r="H27" s="95">
        <f t="shared" si="3"/>
        <v>9020.3338720918728</v>
      </c>
      <c r="I27" s="95">
        <f t="shared" si="3"/>
        <v>9290.2192556308182</v>
      </c>
      <c r="J27" s="95">
        <f t="shared" si="3"/>
        <v>9345.9979855588681</v>
      </c>
      <c r="K27" s="95">
        <f t="shared" si="3"/>
        <v>9991.7576586120958</v>
      </c>
      <c r="L27" s="95">
        <f t="shared" si="3"/>
        <v>8066.5046859179984</v>
      </c>
      <c r="M27" s="95">
        <f t="shared" si="3"/>
        <v>7316.6761977483657</v>
      </c>
      <c r="N27" s="95">
        <f t="shared" si="3"/>
        <v>8625.7953897397128</v>
      </c>
      <c r="O27" s="95">
        <f t="shared" si="3"/>
        <v>6851.3135412671163</v>
      </c>
      <c r="P27" s="96">
        <f t="shared" si="3"/>
        <v>7209.7498291291349</v>
      </c>
      <c r="Q27" s="7">
        <f t="shared" si="3"/>
        <v>11022.378714058073</v>
      </c>
      <c r="R27" s="7">
        <f t="shared" si="3"/>
        <v>9135.4820270939581</v>
      </c>
      <c r="S27" s="7">
        <f t="shared" si="3"/>
        <v>8272.6804057919653</v>
      </c>
      <c r="T27" s="7">
        <f t="shared" si="3"/>
        <v>7049.4513436479556</v>
      </c>
      <c r="U27" s="7">
        <f t="shared" si="3"/>
        <v>8380.2648478957308</v>
      </c>
      <c r="V27" s="7">
        <f t="shared" si="3"/>
        <v>8264.5657953826685</v>
      </c>
      <c r="W27" s="7">
        <f t="shared" si="3"/>
        <v>9680.0099937954983</v>
      </c>
      <c r="X27" s="7">
        <f t="shared" si="3"/>
        <v>9949.7738655094454</v>
      </c>
      <c r="Y27" s="7">
        <f t="shared" si="3"/>
        <v>11106.350735432467</v>
      </c>
      <c r="Z27" s="7">
        <f t="shared" si="3"/>
        <v>3241.0971502002908</v>
      </c>
      <c r="AA27" s="7">
        <f t="shared" si="3"/>
        <v>4170.3682771128324</v>
      </c>
      <c r="AB27" s="7">
        <f t="shared" si="3"/>
        <v>6334.1550763098849</v>
      </c>
      <c r="AC27" s="7">
        <f t="shared" si="3"/>
        <v>4982.7530769230771</v>
      </c>
      <c r="AD27" s="7">
        <f t="shared" si="3"/>
        <v>3442.1330769230772</v>
      </c>
      <c r="AE27" s="7">
        <f t="shared" si="3"/>
        <v>3556.2530769230771</v>
      </c>
      <c r="AF27" s="7">
        <f t="shared" si="3"/>
        <v>3670.373076923077</v>
      </c>
      <c r="AG27" s="7">
        <f t="shared" si="3"/>
        <v>4183.9130769230769</v>
      </c>
      <c r="AH27" s="7">
        <f t="shared" si="3"/>
        <v>6295.1330769230772</v>
      </c>
    </row>
    <row r="28" spans="1:35" x14ac:dyDescent="0.25">
      <c r="A28" t="s">
        <v>106</v>
      </c>
      <c r="B28" s="107">
        <f>B9+B14+B19+B24</f>
        <v>20835.13</v>
      </c>
      <c r="C28" s="95">
        <f t="shared" ref="C28:AH28" si="4">C9+C14+C19+C24</f>
        <v>20835.13</v>
      </c>
      <c r="D28" s="96">
        <f t="shared" si="4"/>
        <v>20835.13</v>
      </c>
      <c r="E28" s="107">
        <f t="shared" si="4"/>
        <v>20835.13</v>
      </c>
      <c r="F28" s="95">
        <f t="shared" si="4"/>
        <v>20835.13</v>
      </c>
      <c r="G28" s="95">
        <f t="shared" si="4"/>
        <v>20835.13</v>
      </c>
      <c r="H28" s="95">
        <f t="shared" si="4"/>
        <v>20835.13</v>
      </c>
      <c r="I28" s="95">
        <f t="shared" si="4"/>
        <v>20835.13</v>
      </c>
      <c r="J28" s="95">
        <f t="shared" si="4"/>
        <v>20835.13</v>
      </c>
      <c r="K28" s="95">
        <f t="shared" si="4"/>
        <v>20835.13</v>
      </c>
      <c r="L28" s="95">
        <f t="shared" si="4"/>
        <v>20835.13</v>
      </c>
      <c r="M28" s="95">
        <f t="shared" si="4"/>
        <v>20835.13</v>
      </c>
      <c r="N28" s="95">
        <f t="shared" si="4"/>
        <v>20835.13</v>
      </c>
      <c r="O28" s="95">
        <f t="shared" si="4"/>
        <v>20835.13</v>
      </c>
      <c r="P28" s="96">
        <f t="shared" si="4"/>
        <v>20835.13</v>
      </c>
      <c r="Q28" s="7">
        <f t="shared" si="4"/>
        <v>20835.13</v>
      </c>
      <c r="R28" s="7">
        <f t="shared" si="4"/>
        <v>20835.13</v>
      </c>
      <c r="S28" s="7">
        <f t="shared" si="4"/>
        <v>20835.13</v>
      </c>
      <c r="T28" s="7">
        <f t="shared" si="4"/>
        <v>20835.13</v>
      </c>
      <c r="U28" s="7">
        <f t="shared" si="4"/>
        <v>20835.13</v>
      </c>
      <c r="V28" s="7">
        <f t="shared" si="4"/>
        <v>20835.13</v>
      </c>
      <c r="W28" s="7">
        <f t="shared" si="4"/>
        <v>20835.13</v>
      </c>
      <c r="X28" s="7">
        <f t="shared" si="4"/>
        <v>20835.13</v>
      </c>
      <c r="Y28" s="7">
        <f t="shared" si="4"/>
        <v>20835.13</v>
      </c>
      <c r="Z28" s="7">
        <f t="shared" si="4"/>
        <v>1474</v>
      </c>
      <c r="AA28" s="7">
        <f t="shared" si="4"/>
        <v>1374</v>
      </c>
      <c r="AB28" s="7">
        <f t="shared" si="4"/>
        <v>1374</v>
      </c>
      <c r="AC28" s="7">
        <f t="shared" si="4"/>
        <v>1374</v>
      </c>
      <c r="AD28" s="7">
        <f t="shared" si="4"/>
        <v>1374</v>
      </c>
      <c r="AE28" s="7">
        <f t="shared" si="4"/>
        <v>1374</v>
      </c>
      <c r="AF28" s="7">
        <f t="shared" si="4"/>
        <v>1374</v>
      </c>
      <c r="AG28" s="7">
        <f t="shared" si="4"/>
        <v>1374</v>
      </c>
      <c r="AH28" s="7">
        <f t="shared" si="4"/>
        <v>1374</v>
      </c>
    </row>
    <row r="29" spans="1:35" x14ac:dyDescent="0.25">
      <c r="A29" t="s">
        <v>100</v>
      </c>
      <c r="B29" s="107">
        <f>B27-B28</f>
        <v>-10190.529200558496</v>
      </c>
      <c r="C29" s="95">
        <f t="shared" ref="C29:AH29" si="5">C27-C28</f>
        <v>-9607.8541265370168</v>
      </c>
      <c r="D29" s="96">
        <f t="shared" si="5"/>
        <v>-11129.853085745279</v>
      </c>
      <c r="E29" s="107">
        <f t="shared" si="5"/>
        <v>-11284.254298121106</v>
      </c>
      <c r="F29" s="95">
        <f t="shared" si="5"/>
        <v>-12631.927650976841</v>
      </c>
      <c r="G29" s="95">
        <f t="shared" si="5"/>
        <v>-14982.790943481563</v>
      </c>
      <c r="H29" s="95">
        <f t="shared" si="5"/>
        <v>-11814.796127908128</v>
      </c>
      <c r="I29" s="95">
        <f t="shared" si="5"/>
        <v>-11544.910744369183</v>
      </c>
      <c r="J29" s="95">
        <f t="shared" si="5"/>
        <v>-11489.132014441133</v>
      </c>
      <c r="K29" s="95">
        <f t="shared" si="5"/>
        <v>-10843.372341387905</v>
      </c>
      <c r="L29" s="95">
        <f t="shared" si="5"/>
        <v>-12768.625314082003</v>
      </c>
      <c r="M29" s="95">
        <f t="shared" si="5"/>
        <v>-13518.453802251635</v>
      </c>
      <c r="N29" s="95">
        <f t="shared" si="5"/>
        <v>-12209.334610260288</v>
      </c>
      <c r="O29" s="95">
        <f t="shared" si="5"/>
        <v>-13983.816458732885</v>
      </c>
      <c r="P29" s="96">
        <f t="shared" si="5"/>
        <v>-13625.380170870867</v>
      </c>
      <c r="Q29" s="7">
        <f t="shared" si="5"/>
        <v>-9812.7512859419276</v>
      </c>
      <c r="R29" s="7">
        <f t="shared" si="5"/>
        <v>-11699.647972906043</v>
      </c>
      <c r="S29" s="7">
        <f t="shared" si="5"/>
        <v>-12562.449594208036</v>
      </c>
      <c r="T29" s="7">
        <f t="shared" si="5"/>
        <v>-13785.678656352045</v>
      </c>
      <c r="U29" s="7">
        <f t="shared" si="5"/>
        <v>-12454.86515210427</v>
      </c>
      <c r="V29" s="7">
        <f t="shared" si="5"/>
        <v>-12570.564204617333</v>
      </c>
      <c r="W29" s="7">
        <f t="shared" si="5"/>
        <v>-11155.120006204503</v>
      </c>
      <c r="X29" s="7">
        <f t="shared" si="5"/>
        <v>-10885.356134490556</v>
      </c>
      <c r="Y29" s="7">
        <f t="shared" si="5"/>
        <v>-9728.7792645675345</v>
      </c>
      <c r="Z29" s="7">
        <f t="shared" si="5"/>
        <v>1767.0971502002908</v>
      </c>
      <c r="AA29" s="7">
        <f t="shared" si="5"/>
        <v>2796.3682771128324</v>
      </c>
      <c r="AB29" s="7">
        <f t="shared" si="5"/>
        <v>4960.1550763098849</v>
      </c>
      <c r="AC29" s="7">
        <f t="shared" si="5"/>
        <v>3608.7530769230771</v>
      </c>
      <c r="AD29" s="7">
        <f t="shared" si="5"/>
        <v>2068.1330769230772</v>
      </c>
      <c r="AE29" s="7">
        <f t="shared" si="5"/>
        <v>2182.2530769230771</v>
      </c>
      <c r="AF29" s="7">
        <f t="shared" si="5"/>
        <v>2296.373076923077</v>
      </c>
      <c r="AG29" s="7">
        <f t="shared" si="5"/>
        <v>2809.9130769230769</v>
      </c>
      <c r="AH29" s="7">
        <f t="shared" si="5"/>
        <v>4921.1330769230772</v>
      </c>
      <c r="AI29" s="114">
        <f>SUM(B29:AH29)</f>
        <v>-258870.06419595511</v>
      </c>
    </row>
    <row r="30" spans="1:35" x14ac:dyDescent="0.25">
      <c r="B30" s="7"/>
      <c r="C30" s="7"/>
      <c r="D30" s="7"/>
      <c r="E30" s="7">
        <f>0.1*E28</f>
        <v>2083.5130000000004</v>
      </c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</row>
    <row r="31" spans="1:35" x14ac:dyDescent="0.25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  <c r="AG31" s="7"/>
      <c r="AH31" s="7"/>
    </row>
    <row r="32" spans="1:35" x14ac:dyDescent="0.25">
      <c r="A32" t="s">
        <v>120</v>
      </c>
      <c r="B32" s="7"/>
      <c r="C32" s="7"/>
      <c r="D32" s="7"/>
      <c r="E32" s="7">
        <f>E27*47.4%</f>
        <v>4527.115082690596</v>
      </c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</row>
    <row r="33" spans="2:34" x14ac:dyDescent="0.25">
      <c r="B33" s="7"/>
      <c r="C33" s="7"/>
      <c r="D33" s="7"/>
      <c r="E33" s="7">
        <f>E32*33</f>
        <v>149394.79772878968</v>
      </c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</row>
  </sheetData>
  <mergeCells count="4">
    <mergeCell ref="B1:D1"/>
    <mergeCell ref="E1:P1"/>
    <mergeCell ref="Q1:AB1"/>
    <mergeCell ref="AC1:AH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EB01AA-E7F8-49AB-88FC-73E4C2EE0F54}">
  <dimension ref="A1:X12"/>
  <sheetViews>
    <sheetView workbookViewId="0"/>
  </sheetViews>
  <sheetFormatPr defaultRowHeight="15" x14ac:dyDescent="0.25"/>
  <cols>
    <col min="1" max="1" width="17" bestFit="1" customWidth="1"/>
    <col min="2" max="22" width="11.28515625" bestFit="1" customWidth="1"/>
    <col min="23" max="23" width="10.28515625" bestFit="1" customWidth="1"/>
    <col min="24" max="24" width="11.28515625" bestFit="1" customWidth="1"/>
  </cols>
  <sheetData>
    <row r="1" spans="1:24" s="61" customFormat="1" x14ac:dyDescent="0.25">
      <c r="B1" s="135">
        <v>2024</v>
      </c>
      <c r="C1" s="128"/>
      <c r="D1" s="136"/>
      <c r="E1" s="135">
        <v>2025</v>
      </c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36"/>
      <c r="Q1" s="128">
        <v>2026</v>
      </c>
      <c r="R1" s="128"/>
      <c r="S1" s="128"/>
      <c r="T1" s="128"/>
      <c r="U1" s="128"/>
      <c r="V1" s="128"/>
      <c r="W1" s="128"/>
    </row>
    <row r="2" spans="1:24" s="61" customFormat="1" x14ac:dyDescent="0.25">
      <c r="A2" s="62" t="s">
        <v>3</v>
      </c>
      <c r="B2" s="70" t="s">
        <v>15</v>
      </c>
      <c r="C2" s="10" t="s">
        <v>16</v>
      </c>
      <c r="D2" s="117" t="s">
        <v>17</v>
      </c>
      <c r="E2" s="70" t="s">
        <v>6</v>
      </c>
      <c r="F2" s="10" t="s">
        <v>7</v>
      </c>
      <c r="G2" s="10" t="s">
        <v>8</v>
      </c>
      <c r="H2" s="10" t="s">
        <v>9</v>
      </c>
      <c r="I2" s="10" t="s">
        <v>10</v>
      </c>
      <c r="J2" s="10" t="s">
        <v>11</v>
      </c>
      <c r="K2" s="10" t="s">
        <v>12</v>
      </c>
      <c r="L2" s="10" t="s">
        <v>13</v>
      </c>
      <c r="M2" s="10" t="s">
        <v>14</v>
      </c>
      <c r="N2" s="10" t="s">
        <v>15</v>
      </c>
      <c r="O2" s="10" t="s">
        <v>16</v>
      </c>
      <c r="P2" s="117" t="s">
        <v>17</v>
      </c>
      <c r="Q2" s="10" t="s">
        <v>6</v>
      </c>
      <c r="R2" s="10" t="s">
        <v>7</v>
      </c>
      <c r="S2" s="10" t="s">
        <v>8</v>
      </c>
      <c r="T2" s="10" t="s">
        <v>9</v>
      </c>
      <c r="U2" s="10" t="s">
        <v>10</v>
      </c>
      <c r="V2" s="10" t="s">
        <v>11</v>
      </c>
      <c r="W2" s="10" t="s">
        <v>12</v>
      </c>
    </row>
    <row r="3" spans="1:24" x14ac:dyDescent="0.25">
      <c r="A3" t="s">
        <v>76</v>
      </c>
      <c r="B3" s="107" cm="1">
        <f t="array" ref="B3">SUMPRODUCT(('Hours Log'!$A$2:$A$980=$A3)*('Hours Log'!$B$2:$B$980=B$2)*('Hours Log'!$C$2:$C$980=LOOKUP(2,1/($A$1:B$1&lt;&gt;""),$A$1:B$1))*'Hours Log'!$F$2:$F$980*'Hours Log'!$AP$2:$AP$980)</f>
        <v>3503.4971406991167</v>
      </c>
      <c r="C3" s="95" cm="1">
        <f t="array" ref="C3">SUMPRODUCT(('Hours Log'!$A$2:$A$980=$A3)*('Hours Log'!$B$2:$B$980=C$2)*('Hours Log'!$C$2:$C$980=LOOKUP(2,1/($A$1:C$1&lt;&gt;""),$A$1:C$1))*'Hours Log'!$F$2:$F$980*'Hours Log'!$AP$2:$AP$980)</f>
        <v>3134.6113757538456</v>
      </c>
      <c r="D3" s="96" cm="1">
        <f t="array" ref="D3">SUMPRODUCT(('Hours Log'!$A$2:$A$980=$A3)*('Hours Log'!$B$2:$B$980=D$2)*('Hours Log'!$C$2:$C$980=LOOKUP(2,1/($A$1:D$1&lt;&gt;""),$A$1:D$1))*'Hours Log'!$F$2:$F$980*'Hours Log'!$AP$2:$AP$980)</f>
        <v>3283.8785841230761</v>
      </c>
      <c r="E3" s="107" cm="1">
        <f t="array" ref="E3">SUMPRODUCT(('Hours Log'!$A$2:$A$980=$A3)*('Hours Log'!$B$2:$B$980=E$2)*('Hours Log'!$C$2:$C$980=LOOKUP(2,1/($A$1:E$1&lt;&gt;""),$A$1:E$1))*'Hours Log'!$F$2:$F$980*'Hours Log'!$AP$2:$AP$980)</f>
        <v>3769.9482971880329</v>
      </c>
      <c r="F3" s="95" cm="1">
        <f t="array" ref="F3">SUMPRODUCT(('Hours Log'!$A$2:$A$980=$A3)*('Hours Log'!$B$2:$B$980=F$2)*('Hours Log'!$C$2:$C$980=LOOKUP(2,1/($A$1:F$1&lt;&gt;""),$A$1:F$1))*'Hours Log'!$F$2:$F$980*'Hours Log'!$AP$2:$AP$980)</f>
        <v>3687.9928994230759</v>
      </c>
      <c r="G3" s="95" cm="1">
        <f t="array" ref="G3">SUMPRODUCT(('Hours Log'!$A$2:$A$980=$A3)*('Hours Log'!$B$2:$B$980=G$2)*('Hours Log'!$C$2:$C$980=LOOKUP(2,1/($A$1:G$1&lt;&gt;""),$A$1:G$1))*'Hours Log'!$F$2:$F$980*'Hours Log'!$AP$2:$AP$980)</f>
        <v>3442.1267061282038</v>
      </c>
      <c r="H3" s="95" cm="1">
        <f t="array" ref="H3">SUMPRODUCT(('Hours Log'!$A$2:$A$980=$A3)*('Hours Log'!$B$2:$B$980=H$2)*('Hours Log'!$C$2:$C$980=LOOKUP(2,1/($A$1:H$1&lt;&gt;""),$A$1:H$1))*'Hours Log'!$F$2:$F$980*'Hours Log'!$AP$2:$AP$980)</f>
        <v>3606.0375016581183</v>
      </c>
      <c r="I3" s="95" cm="1">
        <f t="array" ref="I3">SUMPRODUCT(('Hours Log'!$A$2:$A$980=$A3)*('Hours Log'!$B$2:$B$980=I$2)*('Hours Log'!$C$2:$C$980=LOOKUP(2,1/($A$1:I$1&lt;&gt;""),$A$1:I$1))*'Hours Log'!$F$2:$F$980*'Hours Log'!$AP$2:$AP$980)</f>
        <v>2912.56875133925</v>
      </c>
      <c r="J3" s="95" cm="1">
        <f t="array" ref="J3">SUMPRODUCT(('Hours Log'!$A$2:$A$980=$A3)*('Hours Log'!$B$2:$B$980=J$2)*('Hours Log'!$C$2:$C$980=LOOKUP(2,1/($A$1:J$1&lt;&gt;""),$A$1:J$1))*'Hours Log'!$F$2:$F$980*'Hours Log'!$AP$2:$AP$980)</f>
        <v>3711.0428550444703</v>
      </c>
      <c r="K3" s="95" cm="1">
        <f t="array" ref="K3">SUMPRODUCT(('Hours Log'!$A$2:$A$980=$A3)*('Hours Log'!$B$2:$B$980=K$2)*('Hours Log'!$C$2:$C$980=LOOKUP(2,1/($A$1:K$1&lt;&gt;""),$A$1:K$1))*'Hours Log'!$F$2:$F$980*'Hours Log'!$AP$2:$AP$980)</f>
        <v>3769.9482971880329</v>
      </c>
      <c r="L3" s="95" cm="1">
        <f t="array" ref="L3">SUMPRODUCT(('Hours Log'!$A$2:$A$980=$A3)*('Hours Log'!$B$2:$B$980=L$2)*('Hours Log'!$C$2:$C$980=LOOKUP(2,1/($A$1:L$1&lt;&gt;""),$A$1:L$1))*'Hours Log'!$F$2:$F$980*'Hours Log'!$AP$2:$AP$980)</f>
        <v>3442.1267061282038</v>
      </c>
      <c r="M3" s="95" cm="1">
        <f t="array" ref="M3">SUMPRODUCT(('Hours Log'!$A$2:$A$980=$A3)*('Hours Log'!$B$2:$B$980=M$2)*('Hours Log'!$C$2:$C$980=LOOKUP(2,1/($A$1:M$1&lt;&gt;""),$A$1:M$1))*'Hours Log'!$F$2:$F$980*'Hours Log'!$AP$2:$AP$980)</f>
        <v>3606.0375016581183</v>
      </c>
      <c r="N3" s="95" cm="1">
        <f t="array" ref="N3">SUMPRODUCT(('Hours Log'!$A$2:$A$980=$A3)*('Hours Log'!$B$2:$B$980=N$2)*('Hours Log'!$C$2:$C$980=LOOKUP(2,1/($A$1:N$1&lt;&gt;""),$A$1:N$1))*'Hours Log'!$F$2:$F$980*'Hours Log'!$AP$2:$AP$980)</f>
        <v>3769.9482971880329</v>
      </c>
      <c r="O3" s="95" cm="1">
        <f t="array" ref="O3">SUMPRODUCT(('Hours Log'!$A$2:$A$980=$A3)*('Hours Log'!$B$2:$B$980=O$2)*('Hours Log'!$C$2:$C$980=LOOKUP(2,1/($A$1:O$1&lt;&gt;""),$A$1:O$1))*'Hours Log'!$F$2:$F$980*'Hours Log'!$AP$2:$AP$980)</f>
        <v>3278.2159105982901</v>
      </c>
      <c r="P3" s="96" cm="1">
        <f t="array" ref="P3">SUMPRODUCT(('Hours Log'!$A$2:$A$980=$A3)*('Hours Log'!$B$2:$B$980=P$2)*('Hours Log'!$C$2:$C$980=LOOKUP(2,1/($A$1:P$1&lt;&gt;""),$A$1:P$1))*'Hours Log'!$F$2:$F$980*'Hours Log'!$AP$2:$AP$980)</f>
        <v>3769.9482971880329</v>
      </c>
      <c r="Q3" s="7" cm="1">
        <f t="array" ref="Q3">SUMPRODUCT(('Hours Log'!$A$2:$A$980=$A3)*('Hours Log'!$B$2:$B$980=Q$2)*('Hours Log'!$C$2:$C$980=LOOKUP(2,1/($A$1:Q$1&lt;&gt;""),$A$1:Q$1))*'Hours Log'!$F$2:$F$980*'Hours Log'!$AP$2:$AP$980)</f>
        <v>3765.9599999999991</v>
      </c>
      <c r="R3" s="7" cm="1">
        <f t="array" ref="R3">SUMPRODUCT(('Hours Log'!$A$2:$A$980=$A3)*('Hours Log'!$B$2:$B$980=R$2)*('Hours Log'!$C$2:$C$980=LOOKUP(2,1/($A$1:R$1&lt;&gt;""),$A$1:R$1))*'Hours Log'!$F$2:$F$980*'Hours Log'!$AP$2:$AP$980)</f>
        <v>1578.8962732919254</v>
      </c>
      <c r="S3" s="7" cm="1">
        <f t="array" ref="S3">SUMPRODUCT(('Hours Log'!$A$2:$A$980=$A3)*('Hours Log'!$B$2:$B$980=S$2)*('Hours Log'!$C$2:$C$980=LOOKUP(2,1/($A$1:S$1&lt;&gt;""),$A$1:S$1))*'Hours Log'!$F$2:$F$980*'Hours Log'!$AP$2:$AP$980)</f>
        <v>2107.1442857142856</v>
      </c>
      <c r="T3" s="7" cm="1">
        <f t="array" ref="T3">SUMPRODUCT(('Hours Log'!$A$2:$A$980=$A3)*('Hours Log'!$B$2:$B$980=T$2)*('Hours Log'!$C$2:$C$980=LOOKUP(2,1/($A$1:T$1&lt;&gt;""),$A$1:T$1))*'Hours Log'!$F$2:$F$980*'Hours Log'!$AP$2:$AP$980)</f>
        <v>1713.7233707865169</v>
      </c>
      <c r="U3" s="7" cm="1">
        <f t="array" ref="U3">SUMPRODUCT(('Hours Log'!$A$2:$A$980=$A3)*('Hours Log'!$B$2:$B$980=U$2)*('Hours Log'!$C$2:$C$980=LOOKUP(2,1/($A$1:U$1&lt;&gt;""),$A$1:U$1))*'Hours Log'!$F$2:$F$980*'Hours Log'!$AP$2:$AP$980)</f>
        <v>1908.4646629213482</v>
      </c>
      <c r="V3" s="7" cm="1">
        <f t="array" ref="V3">SUMPRODUCT(('Hours Log'!$A$2:$A$980=$A3)*('Hours Log'!$B$2:$B$980=V$2)*('Hours Log'!$C$2:$C$980=LOOKUP(2,1/($A$1:V$1&lt;&gt;""),$A$1:V$1))*'Hours Log'!$F$2:$F$980*'Hours Log'!$AP$2:$AP$980)</f>
        <v>1835.9054999999998</v>
      </c>
      <c r="W3" s="7" cm="1">
        <f t="array" ref="W3">SUMPRODUCT(('Hours Log'!$A$2:$A$980=$A3)*('Hours Log'!$B$2:$B$980=W$2)*('Hours Log'!$C$2:$C$980=LOOKUP(2,1/($A$1:W$1&lt;&gt;""),$A$1:W$1))*'Hours Log'!$F$2:$F$980*'Hours Log'!$AP$2:$AP$980)</f>
        <v>8496.9909183673462</v>
      </c>
    </row>
    <row r="4" spans="1:24" x14ac:dyDescent="0.25">
      <c r="A4" t="s">
        <v>55</v>
      </c>
      <c r="B4" s="107" cm="1">
        <f t="array" ref="B4">SUMPRODUCT(('Hours Log'!$A$2:$A$980=$A4)*('Hours Log'!$B$2:$B$980=B$2)*('Hours Log'!$C$2:$C$980=LOOKUP(2,1/($A$1:B$1&lt;&gt;""),$A$1:B$1))*'Hours Log'!$F$2:$F$980*'Hours Log'!$AP$2:$AP$980)</f>
        <v>0</v>
      </c>
      <c r="C4" s="95" cm="1">
        <f t="array" ref="C4">SUMPRODUCT(('Hours Log'!$A$2:$A$980=$A4)*('Hours Log'!$B$2:$B$980=C$2)*('Hours Log'!$C$2:$C$980=LOOKUP(2,1/($A$1:C$1&lt;&gt;""),$A$1:C$1))*'Hours Log'!$F$2:$F$980*'Hours Log'!$AP$2:$AP$980)</f>
        <v>0</v>
      </c>
      <c r="D4" s="96" cm="1">
        <f t="array" ref="D4">SUMPRODUCT(('Hours Log'!$A$2:$A$980=$A4)*('Hours Log'!$B$2:$B$980=D$2)*('Hours Log'!$C$2:$C$980=LOOKUP(2,1/($A$1:D$1&lt;&gt;""),$A$1:D$1))*'Hours Log'!$F$2:$F$980*'Hours Log'!$AP$2:$AP$980)</f>
        <v>0</v>
      </c>
      <c r="E4" s="107" cm="1">
        <f t="array" ref="E4">SUMPRODUCT(('Hours Log'!$A$2:$A$980=$A4)*('Hours Log'!$B$2:$B$980=E$2)*('Hours Log'!$C$2:$C$980=LOOKUP(2,1/($A$1:E$1&lt;&gt;""),$A$1:E$1))*'Hours Log'!$F$2:$F$980*'Hours Log'!$AP$2:$AP$980)</f>
        <v>0</v>
      </c>
      <c r="F4" s="95" cm="1">
        <f t="array" ref="F4">SUMPRODUCT(('Hours Log'!$A$2:$A$980=$A4)*('Hours Log'!$B$2:$B$980=F$2)*('Hours Log'!$C$2:$C$980=LOOKUP(2,1/($A$1:F$1&lt;&gt;""),$A$1:F$1))*'Hours Log'!$F$2:$F$980*'Hours Log'!$AP$2:$AP$980)</f>
        <v>716.93713469463864</v>
      </c>
      <c r="G4" s="95" cm="1">
        <f t="array" ref="G4">SUMPRODUCT(('Hours Log'!$A$2:$A$980=$A4)*('Hours Log'!$B$2:$B$980=G$2)*('Hours Log'!$C$2:$C$980=LOOKUP(2,1/($A$1:G$1&lt;&gt;""),$A$1:G$1))*'Hours Log'!$F$2:$F$980*'Hours Log'!$AP$2:$AP$980)</f>
        <v>991.03211637643187</v>
      </c>
      <c r="H4" s="95" cm="1">
        <f t="array" ref="H4">SUMPRODUCT(('Hours Log'!$A$2:$A$980=$A4)*('Hours Log'!$B$2:$B$980=H$2)*('Hours Log'!$C$2:$C$980=LOOKUP(2,1/($A$1:H$1&lt;&gt;""),$A$1:H$1))*'Hours Log'!$F$2:$F$980*'Hours Log'!$AP$2:$AP$980)</f>
        <v>1043.7761225701358</v>
      </c>
      <c r="I4" s="95" cm="1">
        <f t="array" ref="I4">SUMPRODUCT(('Hours Log'!$A$2:$A$980=$A4)*('Hours Log'!$B$2:$B$980=I$2)*('Hours Log'!$C$2:$C$980=LOOKUP(2,1/($A$1:I$1&lt;&gt;""),$A$1:I$1))*'Hours Log'!$F$2:$F$980*'Hours Log'!$AP$2:$AP$980)</f>
        <v>593.96529821348304</v>
      </c>
      <c r="J4" s="95" cm="1">
        <f t="array" ref="J4">SUMPRODUCT(('Hours Log'!$A$2:$A$980=$A4)*('Hours Log'!$B$2:$B$980=J$2)*('Hours Log'!$C$2:$C$980=LOOKUP(2,1/($A$1:J$1&lt;&gt;""),$A$1:J$1))*'Hours Log'!$F$2:$F$980*'Hours Log'!$AP$2:$AP$980)</f>
        <v>410.98684826199093</v>
      </c>
      <c r="K4" s="95" cm="1">
        <f t="array" ref="K4">SUMPRODUCT(('Hours Log'!$A$2:$A$980=$A4)*('Hours Log'!$B$2:$B$980=K$2)*('Hours Log'!$C$2:$C$980=LOOKUP(2,1/($A$1:K$1&lt;&gt;""),$A$1:K$1))*'Hours Log'!$F$2:$F$980*'Hours Log'!$AP$2:$AP$980)</f>
        <v>0</v>
      </c>
      <c r="L4" s="95" cm="1">
        <f t="array" ref="L4">SUMPRODUCT(('Hours Log'!$A$2:$A$980=$A4)*('Hours Log'!$B$2:$B$980=L$2)*('Hours Log'!$C$2:$C$980=LOOKUP(2,1/($A$1:L$1&lt;&gt;""),$A$1:L$1))*'Hours Log'!$F$2:$F$980*'Hours Log'!$AP$2:$AP$980)</f>
        <v>585.8932008766327</v>
      </c>
      <c r="M4" s="95" cm="1">
        <f t="array" ref="M4">SUMPRODUCT(('Hours Log'!$A$2:$A$980=$A4)*('Hours Log'!$B$2:$B$980=M$2)*('Hours Log'!$C$2:$C$980=LOOKUP(2,1/($A$1:M$1&lt;&gt;""),$A$1:M$1))*'Hours Log'!$F$2:$F$980*'Hours Log'!$AP$2:$AP$980)</f>
        <v>759.65299763060011</v>
      </c>
      <c r="N4" s="95" cm="1">
        <f t="array" ref="N4">SUMPRODUCT(('Hours Log'!$A$2:$A$980=$A4)*('Hours Log'!$B$2:$B$980=N$2)*('Hours Log'!$C$2:$C$980=LOOKUP(2,1/($A$1:N$1&lt;&gt;""),$A$1:N$1))*'Hours Log'!$F$2:$F$980*'Hours Log'!$AP$2:$AP$980)</f>
        <v>361.80537581996725</v>
      </c>
      <c r="O4" s="95" cm="1">
        <f t="array" ref="O4">SUMPRODUCT(('Hours Log'!$A$2:$A$980=$A4)*('Hours Log'!$B$2:$B$980=O$2)*('Hours Log'!$C$2:$C$980=LOOKUP(2,1/($A$1:O$1&lt;&gt;""),$A$1:O$1))*'Hours Log'!$F$2:$F$980*'Hours Log'!$AP$2:$AP$980)</f>
        <v>337.9846492131868</v>
      </c>
      <c r="P4" s="96" cm="1">
        <f t="array" ref="P4">SUMPRODUCT(('Hours Log'!$A$2:$A$980=$A4)*('Hours Log'!$B$2:$B$980=P$2)*('Hours Log'!$C$2:$C$980=LOOKUP(2,1/($A$1:P$1&lt;&gt;""),$A$1:P$1))*'Hours Log'!$F$2:$F$980*'Hours Log'!$AP$2:$AP$980)</f>
        <v>0</v>
      </c>
      <c r="Q4" s="7" cm="1">
        <f t="array" ref="Q4">SUMPRODUCT(('Hours Log'!$A$2:$A$980=$A4)*('Hours Log'!$B$2:$B$980=Q$2)*('Hours Log'!$C$2:$C$980=LOOKUP(2,1/($A$1:Q$1&lt;&gt;""),$A$1:Q$1))*'Hours Log'!$F$2:$F$980*'Hours Log'!$AP$2:$AP$980)</f>
        <v>2200.0453608247421</v>
      </c>
      <c r="R4" s="7" cm="1">
        <f t="array" ref="R4">SUMPRODUCT(('Hours Log'!$A$2:$A$980=$A4)*('Hours Log'!$B$2:$B$980=R$2)*('Hours Log'!$C$2:$C$980=LOOKUP(2,1/($A$1:R$1&lt;&gt;""),$A$1:R$1))*'Hours Log'!$F$2:$F$980*'Hours Log'!$AP$2:$AP$980)</f>
        <v>1835.0954773869344</v>
      </c>
      <c r="S4" s="7" cm="1">
        <f t="array" ref="S4">SUMPRODUCT(('Hours Log'!$A$2:$A$980=$A4)*('Hours Log'!$B$2:$B$980=S$2)*('Hours Log'!$C$2:$C$980=LOOKUP(2,1/($A$1:S$1&lt;&gt;""),$A$1:S$1))*'Hours Log'!$F$2:$F$980*'Hours Log'!$AP$2:$AP$980)</f>
        <v>2251.5045685279188</v>
      </c>
      <c r="T4" s="7" cm="1">
        <f t="array" ref="T4">SUMPRODUCT(('Hours Log'!$A$2:$A$980=$A4)*('Hours Log'!$B$2:$B$980=T$2)*('Hours Log'!$C$2:$C$980=LOOKUP(2,1/($A$1:T$1&lt;&gt;""),$A$1:T$1))*'Hours Log'!$F$2:$F$980*'Hours Log'!$AP$2:$AP$980)</f>
        <v>2481.2020100502514</v>
      </c>
      <c r="U4" s="7" cm="1">
        <f t="array" ref="U4">SUMPRODUCT(('Hours Log'!$A$2:$A$980=$A4)*('Hours Log'!$B$2:$B$980=U$2)*('Hours Log'!$C$2:$C$980=LOOKUP(2,1/($A$1:U$1&lt;&gt;""),$A$1:U$1))*'Hours Log'!$F$2:$F$980*'Hours Log'!$AP$2:$AP$980)</f>
        <v>2247.9919597989947</v>
      </c>
      <c r="V4" s="7" cm="1">
        <f t="array" ref="V4">SUMPRODUCT(('Hours Log'!$A$2:$A$980=$A4)*('Hours Log'!$B$2:$B$980=V$2)*('Hours Log'!$C$2:$C$980=LOOKUP(2,1/($A$1:V$1&lt;&gt;""),$A$1:V$1))*'Hours Log'!$F$2:$F$980*'Hours Log'!$AP$2:$AP$980)</f>
        <v>2237.2039603960393</v>
      </c>
      <c r="W4" s="7" cm="1">
        <f t="array" ref="W4">SUMPRODUCT(('Hours Log'!$A$2:$A$980=$A4)*('Hours Log'!$B$2:$B$980=W$2)*('Hours Log'!$C$2:$C$980=LOOKUP(2,1/($A$1:W$1&lt;&gt;""),$A$1:W$1))*'Hours Log'!$F$2:$F$980*'Hours Log'!$AP$2:$AP$980)</f>
        <v>2523.8076923076919</v>
      </c>
    </row>
    <row r="5" spans="1:24" x14ac:dyDescent="0.25">
      <c r="A5" t="s">
        <v>54</v>
      </c>
      <c r="B5" s="107" cm="1">
        <f t="array" ref="B5">SUMPRODUCT(('Hours Log'!$A$2:$A$980=$A5)*('Hours Log'!$B$2:$B$980=B$2)*('Hours Log'!$C$2:$C$980=LOOKUP(2,1/($A$1:B$1&lt;&gt;""),$A$1:B$1))*'Hours Log'!$F$2:$F$980*'Hours Log'!$AP$2:$AP$980)</f>
        <v>0</v>
      </c>
      <c r="C5" s="95" cm="1">
        <f t="array" ref="C5">SUMPRODUCT(('Hours Log'!$A$2:$A$980=$A5)*('Hours Log'!$B$2:$B$980=C$2)*('Hours Log'!$C$2:$C$980=LOOKUP(2,1/($A$1:C$1&lt;&gt;""),$A$1:C$1))*'Hours Log'!$F$2:$F$980*'Hours Log'!$AP$2:$AP$980)</f>
        <v>2554.271204322115</v>
      </c>
      <c r="D5" s="96" cm="1">
        <f t="array" ref="D5">SUMPRODUCT(('Hours Log'!$A$2:$A$980=$A5)*('Hours Log'!$B$2:$B$980=D$2)*('Hours Log'!$C$2:$C$980=LOOKUP(2,1/($A$1:D$1&lt;&gt;""),$A$1:D$1))*'Hours Log'!$F$2:$F$980*'Hours Log'!$AP$2:$AP$980)</f>
        <v>2937.5470315949997</v>
      </c>
      <c r="E5" s="107" cm="1">
        <f t="array" ref="E5">SUMPRODUCT(('Hours Log'!$A$2:$A$980=$A5)*('Hours Log'!$B$2:$B$980=E$2)*('Hours Log'!$C$2:$C$980=LOOKUP(2,1/($A$1:E$1&lt;&gt;""),$A$1:E$1))*'Hours Log'!$F$2:$F$980*'Hours Log'!$AP$2:$AP$980)</f>
        <v>478.70025489092251</v>
      </c>
      <c r="F5" s="95" cm="1">
        <f t="array" ref="F5">SUMPRODUCT(('Hours Log'!$A$2:$A$980=$A5)*('Hours Log'!$B$2:$B$980=F$2)*('Hours Log'!$C$2:$C$980=LOOKUP(2,1/($A$1:F$1&lt;&gt;""),$A$1:F$1))*'Hours Log'!$F$2:$F$980*'Hours Log'!$AP$2:$AP$980)</f>
        <v>471.89744604916342</v>
      </c>
      <c r="G5" s="95" cm="1">
        <f t="array" ref="G5">SUMPRODUCT(('Hours Log'!$A$2:$A$980=$A5)*('Hours Log'!$B$2:$B$980=G$2)*('Hours Log'!$C$2:$C$980=LOOKUP(2,1/($A$1:G$1&lt;&gt;""),$A$1:G$1))*'Hours Log'!$F$2:$F$980*'Hours Log'!$AP$2:$AP$980)</f>
        <v>1383.7191668777523</v>
      </c>
      <c r="H5" s="95" cm="1">
        <f t="array" ref="H5">SUMPRODUCT(('Hours Log'!$A$2:$A$980=$A5)*('Hours Log'!$B$2:$B$980=H$2)*('Hours Log'!$C$2:$C$980=LOOKUP(2,1/($A$1:H$1&lt;&gt;""),$A$1:H$1))*'Hours Log'!$F$2:$F$980*'Hours Log'!$AP$2:$AP$980)</f>
        <v>682.31387490052896</v>
      </c>
      <c r="I5" s="95" cm="1">
        <f t="array" ref="I5">SUMPRODUCT(('Hours Log'!$A$2:$A$980=$A5)*('Hours Log'!$B$2:$B$980=I$2)*('Hours Log'!$C$2:$C$980=LOOKUP(2,1/($A$1:I$1&lt;&gt;""),$A$1:I$1))*'Hours Log'!$F$2:$F$980*'Hours Log'!$AP$2:$AP$980)</f>
        <v>667.26836497989984</v>
      </c>
      <c r="J5" s="95" cm="1">
        <f t="array" ref="J5">SUMPRODUCT(('Hours Log'!$A$2:$A$980=$A5)*('Hours Log'!$B$2:$B$980=J$2)*('Hours Log'!$C$2:$C$980=LOOKUP(2,1/($A$1:J$1&lt;&gt;""),$A$1:J$1))*'Hours Log'!$F$2:$F$980*'Hours Log'!$AP$2:$AP$980)</f>
        <v>1019.0834898200691</v>
      </c>
      <c r="K5" s="95" cm="1">
        <f t="array" ref="K5">SUMPRODUCT(('Hours Log'!$A$2:$A$980=$A5)*('Hours Log'!$B$2:$B$980=K$2)*('Hours Log'!$C$2:$C$980=LOOKUP(2,1/($A$1:K$1&lt;&gt;""),$A$1:K$1))*'Hours Log'!$F$2:$F$980*'Hours Log'!$AP$2:$AP$980)</f>
        <v>2214.896366051611</v>
      </c>
      <c r="L5" s="95" cm="1">
        <f t="array" ref="L5">SUMPRODUCT(('Hours Log'!$A$2:$A$980=$A5)*('Hours Log'!$B$2:$B$980=L$2)*('Hours Log'!$C$2:$C$980=LOOKUP(2,1/($A$1:L$1&lt;&gt;""),$A$1:L$1))*'Hours Log'!$F$2:$F$980*'Hours Log'!$AP$2:$AP$980)</f>
        <v>1906.6097431401367</v>
      </c>
      <c r="M5" s="95" cm="1">
        <f t="array" ref="M5">SUMPRODUCT(('Hours Log'!$A$2:$A$980=$A5)*('Hours Log'!$B$2:$B$980=M$2)*('Hours Log'!$C$2:$C$980=LOOKUP(2,1/($A$1:M$1&lt;&gt;""),$A$1:M$1))*'Hours Log'!$F$2:$F$980*'Hours Log'!$AP$2:$AP$980)</f>
        <v>1734.697798815572</v>
      </c>
      <c r="N5" s="95" cm="1">
        <f t="array" ref="N5">SUMPRODUCT(('Hours Log'!$A$2:$A$980=$A5)*('Hours Log'!$B$2:$B$980=N$2)*('Hours Log'!$C$2:$C$980=LOOKUP(2,1/($A$1:N$1&lt;&gt;""),$A$1:N$1))*'Hours Log'!$F$2:$F$980*'Hours Log'!$AP$2:$AP$980)</f>
        <v>1714.7995518134514</v>
      </c>
      <c r="O5" s="95" cm="1">
        <f t="array" ref="O5">SUMPRODUCT(('Hours Log'!$A$2:$A$980=$A5)*('Hours Log'!$B$2:$B$980=O$2)*('Hours Log'!$C$2:$C$980=LOOKUP(2,1/($A$1:O$1&lt;&gt;""),$A$1:O$1))*'Hours Log'!$F$2:$F$980*'Hours Log'!$AP$2:$AP$980)</f>
        <v>848.89966797477928</v>
      </c>
      <c r="P5" s="96" cm="1">
        <f t="array" ref="P5">SUMPRODUCT(('Hours Log'!$A$2:$A$980=$A5)*('Hours Log'!$B$2:$B$980=P$2)*('Hours Log'!$C$2:$C$980=LOOKUP(2,1/($A$1:P$1&lt;&gt;""),$A$1:P$1))*'Hours Log'!$F$2:$F$980*'Hours Log'!$AP$2:$AP$980)</f>
        <v>951.28293463946909</v>
      </c>
      <c r="Q5" s="7" cm="1">
        <f t="array" ref="Q5">SUMPRODUCT(('Hours Log'!$A$2:$A$980=$A5)*('Hours Log'!$B$2:$B$980=Q$2)*('Hours Log'!$C$2:$C$980=LOOKUP(2,1/($A$1:Q$1&lt;&gt;""),$A$1:Q$1))*'Hours Log'!$F$2:$F$980*'Hours Log'!$AP$2:$AP$980)</f>
        <v>1361.3401838235295</v>
      </c>
      <c r="R5" s="7" cm="1">
        <f t="array" ref="R5">SUMPRODUCT(('Hours Log'!$A$2:$A$980=$A5)*('Hours Log'!$B$2:$B$980=R$2)*('Hours Log'!$C$2:$C$980=LOOKUP(2,1/($A$1:R$1&lt;&gt;""),$A$1:R$1))*'Hours Log'!$F$2:$F$980*'Hours Log'!$AP$2:$AP$980)</f>
        <v>1812.8751984126982</v>
      </c>
      <c r="S5" s="7" cm="1">
        <f t="array" ref="S5">SUMPRODUCT(('Hours Log'!$A$2:$A$980=$A5)*('Hours Log'!$B$2:$B$980=S$2)*('Hours Log'!$C$2:$C$980=LOOKUP(2,1/($A$1:S$1&lt;&gt;""),$A$1:S$1))*'Hours Log'!$F$2:$F$980*'Hours Log'!$AP$2:$AP$980)</f>
        <v>1259.4711904761905</v>
      </c>
      <c r="T5" s="7" cm="1">
        <f t="array" ref="T5">SUMPRODUCT(('Hours Log'!$A$2:$A$980=$A5)*('Hours Log'!$B$2:$B$980=T$2)*('Hours Log'!$C$2:$C$980=LOOKUP(2,1/($A$1:T$1&lt;&gt;""),$A$1:T$1))*'Hours Log'!$F$2:$F$980*'Hours Log'!$AP$2:$AP$980)</f>
        <v>3473.7027995391704</v>
      </c>
      <c r="U5" s="7" cm="1">
        <f t="array" ref="U5">SUMPRODUCT(('Hours Log'!$A$2:$A$980=$A5)*('Hours Log'!$B$2:$B$980=U$2)*('Hours Log'!$C$2:$C$980=LOOKUP(2,1/($A$1:U$1&lt;&gt;""),$A$1:U$1))*'Hours Log'!$F$2:$F$980*'Hours Log'!$AP$2:$AP$980)</f>
        <v>887.57833007812496</v>
      </c>
      <c r="V5" s="7" cm="1">
        <f t="array" ref="V5">SUMPRODUCT(('Hours Log'!$A$2:$A$980=$A5)*('Hours Log'!$B$2:$B$980=V$2)*('Hours Log'!$C$2:$C$980=LOOKUP(2,1/($A$1:V$1&lt;&gt;""),$A$1:V$1))*'Hours Log'!$F$2:$F$980*'Hours Log'!$AP$2:$AP$980)</f>
        <v>1049.5593253968254</v>
      </c>
      <c r="W5" s="7" cm="1">
        <f t="array" ref="W5">SUMPRODUCT(('Hours Log'!$A$2:$A$980=$A5)*('Hours Log'!$B$2:$B$980=W$2)*('Hours Log'!$C$2:$C$980=LOOKUP(2,1/($A$1:W$1&lt;&gt;""),$A$1:W$1))*'Hours Log'!$F$2:$F$980*'Hours Log'!$AP$2:$AP$980)</f>
        <v>1169.8549711538462</v>
      </c>
    </row>
    <row r="6" spans="1:24" x14ac:dyDescent="0.25">
      <c r="A6" t="s">
        <v>61</v>
      </c>
      <c r="B6" s="107" cm="1">
        <f t="array" ref="B6">SUMPRODUCT(('Hours Log'!$A$2:$A$980=$A6)*('Hours Log'!$B$2:$B$980=B$2)*('Hours Log'!$C$2:$C$980=LOOKUP(2,1/($A$1:B$1&lt;&gt;""),$A$1:B$1))*'Hours Log'!$F$2:$F$980*'Hours Log'!$AP$2:$AP$980)</f>
        <v>0</v>
      </c>
      <c r="C6" s="95" cm="1">
        <f t="array" ref="C6">SUMPRODUCT(('Hours Log'!$A$2:$A$980=$A6)*('Hours Log'!$B$2:$B$980=C$2)*('Hours Log'!$C$2:$C$980=LOOKUP(2,1/($A$1:C$1&lt;&gt;""),$A$1:C$1))*'Hours Log'!$F$2:$F$980*'Hours Log'!$AP$2:$AP$980)</f>
        <v>0</v>
      </c>
      <c r="D6" s="96" cm="1">
        <f t="array" ref="D6">SUMPRODUCT(('Hours Log'!$A$2:$A$980=$A6)*('Hours Log'!$B$2:$B$980=D$2)*('Hours Log'!$C$2:$C$980=LOOKUP(2,1/($A$1:D$1&lt;&gt;""),$A$1:D$1))*'Hours Log'!$F$2:$F$980*'Hours Log'!$AP$2:$AP$980)</f>
        <v>0</v>
      </c>
      <c r="E6" s="107" cm="1">
        <f t="array" ref="E6">SUMPRODUCT(('Hours Log'!$A$2:$A$980=$A6)*('Hours Log'!$B$2:$B$980=E$2)*('Hours Log'!$C$2:$C$980=LOOKUP(2,1/($A$1:E$1&lt;&gt;""),$A$1:E$1))*'Hours Log'!$F$2:$F$980*'Hours Log'!$AP$2:$AP$980)</f>
        <v>0</v>
      </c>
      <c r="F6" s="95" cm="1">
        <f t="array" ref="F6">SUMPRODUCT(('Hours Log'!$A$2:$A$980=$A6)*('Hours Log'!$B$2:$B$980=F$2)*('Hours Log'!$C$2:$C$980=LOOKUP(2,1/($A$1:F$1&lt;&gt;""),$A$1:F$1))*'Hours Log'!$F$2:$F$980*'Hours Log'!$AP$2:$AP$980)</f>
        <v>0</v>
      </c>
      <c r="G6" s="95" cm="1">
        <f t="array" ref="G6">SUMPRODUCT(('Hours Log'!$A$2:$A$980=$A6)*('Hours Log'!$B$2:$B$980=G$2)*('Hours Log'!$C$2:$C$980=LOOKUP(2,1/($A$1:G$1&lt;&gt;""),$A$1:G$1))*'Hours Log'!$F$2:$F$980*'Hours Log'!$AP$2:$AP$980)</f>
        <v>0</v>
      </c>
      <c r="H6" s="95" cm="1">
        <f t="array" ref="H6">SUMPRODUCT(('Hours Log'!$A$2:$A$980=$A6)*('Hours Log'!$B$2:$B$980=H$2)*('Hours Log'!$C$2:$C$980=LOOKUP(2,1/($A$1:H$1&lt;&gt;""),$A$1:H$1))*'Hours Log'!$F$2:$F$980*'Hours Log'!$AP$2:$AP$980)</f>
        <v>0</v>
      </c>
      <c r="I6" s="95" cm="1">
        <f t="array" ref="I6">SUMPRODUCT(('Hours Log'!$A$2:$A$980=$A6)*('Hours Log'!$B$2:$B$980=I$2)*('Hours Log'!$C$2:$C$980=LOOKUP(2,1/($A$1:I$1&lt;&gt;""),$A$1:I$1))*'Hours Log'!$F$2:$F$980*'Hours Log'!$AP$2:$AP$980)</f>
        <v>0</v>
      </c>
      <c r="J6" s="95" cm="1">
        <f t="array" ref="J6">SUMPRODUCT(('Hours Log'!$A$2:$A$980=$A6)*('Hours Log'!$B$2:$B$980=J$2)*('Hours Log'!$C$2:$C$980=LOOKUP(2,1/($A$1:J$1&lt;&gt;""),$A$1:J$1))*'Hours Log'!$F$2:$F$980*'Hours Log'!$AP$2:$AP$980)</f>
        <v>0</v>
      </c>
      <c r="K6" s="95" cm="1">
        <f t="array" ref="K6">SUMPRODUCT(('Hours Log'!$A$2:$A$980=$A6)*('Hours Log'!$B$2:$B$980=K$2)*('Hours Log'!$C$2:$C$980=LOOKUP(2,1/($A$1:K$1&lt;&gt;""),$A$1:K$1))*'Hours Log'!$F$2:$F$980*'Hours Log'!$AP$2:$AP$980)</f>
        <v>0</v>
      </c>
      <c r="L6" s="95" cm="1">
        <f t="array" ref="L6">SUMPRODUCT(('Hours Log'!$A$2:$A$980=$A6)*('Hours Log'!$B$2:$B$980=L$2)*('Hours Log'!$C$2:$C$980=LOOKUP(2,1/($A$1:L$1&lt;&gt;""),$A$1:L$1))*'Hours Log'!$F$2:$F$980*'Hours Log'!$AP$2:$AP$980)</f>
        <v>0</v>
      </c>
      <c r="M6" s="95" cm="1">
        <f t="array" ref="M6">SUMPRODUCT(('Hours Log'!$A$2:$A$980=$A6)*('Hours Log'!$B$2:$B$980=M$2)*('Hours Log'!$C$2:$C$980=LOOKUP(2,1/($A$1:M$1&lt;&gt;""),$A$1:M$1))*'Hours Log'!$F$2:$F$980*'Hours Log'!$AP$2:$AP$980)</f>
        <v>0</v>
      </c>
      <c r="N6" s="95" cm="1">
        <f t="array" ref="N6">SUMPRODUCT(('Hours Log'!$A$2:$A$980=$A6)*('Hours Log'!$B$2:$B$980=N$2)*('Hours Log'!$C$2:$C$980=LOOKUP(2,1/($A$1:N$1&lt;&gt;""),$A$1:N$1))*'Hours Log'!$F$2:$F$980*'Hours Log'!$AP$2:$AP$980)</f>
        <v>0</v>
      </c>
      <c r="O6" s="95" cm="1">
        <f t="array" ref="O6">SUMPRODUCT(('Hours Log'!$A$2:$A$980=$A6)*('Hours Log'!$B$2:$B$980=O$2)*('Hours Log'!$C$2:$C$980=LOOKUP(2,1/($A$1:O$1&lt;&gt;""),$A$1:O$1))*'Hours Log'!$F$2:$F$980*'Hours Log'!$AP$2:$AP$980)</f>
        <v>0</v>
      </c>
      <c r="P6" s="96" cm="1">
        <f t="array" ref="P6">SUMPRODUCT(('Hours Log'!$A$2:$A$980=$A6)*('Hours Log'!$B$2:$B$980=P$2)*('Hours Log'!$C$2:$C$980=LOOKUP(2,1/($A$1:P$1&lt;&gt;""),$A$1:P$1))*'Hours Log'!$F$2:$F$980*'Hours Log'!$AP$2:$AP$980)</f>
        <v>0</v>
      </c>
      <c r="Q6" s="7" cm="1">
        <f t="array" ref="Q6">SUMPRODUCT(('Hours Log'!$A$2:$A$980=$A6)*('Hours Log'!$B$2:$B$980=Q$2)*('Hours Log'!$C$2:$C$980=LOOKUP(2,1/($A$1:Q$1&lt;&gt;""),$A$1:Q$1))*'Hours Log'!$F$2:$F$980*'Hours Log'!$AP$2:$AP$980)</f>
        <v>1844.7354838709678</v>
      </c>
      <c r="R6" s="7" cm="1">
        <f t="array" ref="R6">SUMPRODUCT(('Hours Log'!$A$2:$A$980=$A6)*('Hours Log'!$B$2:$B$980=R$2)*('Hours Log'!$C$2:$C$980=LOOKUP(2,1/($A$1:R$1&lt;&gt;""),$A$1:R$1))*'Hours Log'!$F$2:$F$980*'Hours Log'!$AP$2:$AP$980)</f>
        <v>1848.2711864406779</v>
      </c>
      <c r="S6" s="7" cm="1">
        <f t="array" ref="S6">SUMPRODUCT(('Hours Log'!$A$2:$A$980=$A6)*('Hours Log'!$B$2:$B$980=S$2)*('Hours Log'!$C$2:$C$980=LOOKUP(2,1/($A$1:S$1&lt;&gt;""),$A$1:S$1))*'Hours Log'!$F$2:$F$980*'Hours Log'!$AP$2:$AP$980)</f>
        <v>1907.9129533678756</v>
      </c>
      <c r="T6" s="7" cm="1">
        <f t="array" ref="T6">SUMPRODUCT(('Hours Log'!$A$2:$A$980=$A6)*('Hours Log'!$B$2:$B$980=T$2)*('Hours Log'!$C$2:$C$980=LOOKUP(2,1/($A$1:T$1&lt;&gt;""),$A$1:T$1))*'Hours Log'!$F$2:$F$980*'Hours Log'!$AP$2:$AP$980)</f>
        <v>1854.7070270270269</v>
      </c>
      <c r="U6" s="7" cm="1">
        <f t="array" ref="U6">SUMPRODUCT(('Hours Log'!$A$2:$A$980=$A6)*('Hours Log'!$B$2:$B$980=U$2)*('Hours Log'!$C$2:$C$980=LOOKUP(2,1/($A$1:U$1&lt;&gt;""),$A$1:U$1))*'Hours Log'!$F$2:$F$980*'Hours Log'!$AP$2:$AP$980)</f>
        <v>1780.0239130434779</v>
      </c>
      <c r="V6" s="7" cm="1">
        <f t="array" ref="V6">SUMPRODUCT(('Hours Log'!$A$2:$A$980=$A6)*('Hours Log'!$B$2:$B$980=V$2)*('Hours Log'!$C$2:$C$980=LOOKUP(2,1/($A$1:V$1&lt;&gt;""),$A$1:V$1))*'Hours Log'!$F$2:$F$980*'Hours Log'!$AP$2:$AP$980)</f>
        <v>1854.7070270270269</v>
      </c>
      <c r="W6" s="7" cm="1">
        <f t="array" ref="W6">SUMPRODUCT(('Hours Log'!$A$2:$A$980=$A6)*('Hours Log'!$B$2:$B$980=W$2)*('Hours Log'!$C$2:$C$980=LOOKUP(2,1/($A$1:W$1&lt;&gt;""),$A$1:W$1))*'Hours Log'!$F$2:$F$980*'Hours Log'!$AP$2:$AP$980)</f>
        <v>1954.6085106382977</v>
      </c>
    </row>
    <row r="7" spans="1:24" x14ac:dyDescent="0.25">
      <c r="A7" t="s">
        <v>58</v>
      </c>
      <c r="B7" s="107" cm="1">
        <f t="array" ref="B7">SUMPRODUCT(('Hours Log'!$A$2:$A$980=$A7)*('Hours Log'!$B$2:$B$980=B$2)*('Hours Log'!$C$2:$C$980=LOOKUP(2,1/($A$1:B$1&lt;&gt;""),$A$1:B$1))*'Hours Log'!$F$2:$F$980*'Hours Log'!$AP$2:$AP$980)</f>
        <v>122.58842981105771</v>
      </c>
      <c r="C7" s="95" cm="1">
        <f t="array" ref="C7">SUMPRODUCT(('Hours Log'!$A$2:$A$980=$A7)*('Hours Log'!$B$2:$B$980=C$2)*('Hours Log'!$C$2:$C$980=LOOKUP(2,1/($A$1:C$1&lt;&gt;""),$A$1:C$1))*'Hours Log'!$F$2:$F$980*'Hours Log'!$AP$2:$AP$980)</f>
        <v>0</v>
      </c>
      <c r="D7" s="96" cm="1">
        <f t="array" ref="D7">SUMPRODUCT(('Hours Log'!$A$2:$A$980=$A7)*('Hours Log'!$B$2:$B$980=D$2)*('Hours Log'!$C$2:$C$980=LOOKUP(2,1/($A$1:D$1&lt;&gt;""),$A$1:D$1))*'Hours Log'!$F$2:$F$980*'Hours Log'!$AP$2:$AP$980)</f>
        <v>102.15702484254808</v>
      </c>
      <c r="E7" s="107" cm="1">
        <f t="array" ref="E7">SUMPRODUCT(('Hours Log'!$A$2:$A$980=$A7)*('Hours Log'!$B$2:$B$980=E$2)*('Hours Log'!$C$2:$C$980=LOOKUP(2,1/($A$1:E$1&lt;&gt;""),$A$1:E$1))*'Hours Log'!$F$2:$F$980*'Hours Log'!$AP$2:$AP$980)</f>
        <v>160.00739561372762</v>
      </c>
      <c r="F7" s="95" cm="1">
        <f t="array" ref="F7">SUMPRODUCT(('Hours Log'!$A$2:$A$980=$A7)*('Hours Log'!$B$2:$B$980=F$2)*('Hours Log'!$C$2:$C$980=LOOKUP(2,1/($A$1:F$1&lt;&gt;""),$A$1:F$1))*'Hours Log'!$F$2:$F$980*'Hours Log'!$AP$2:$AP$980)</f>
        <v>539.76782142473235</v>
      </c>
      <c r="G7" s="95" cm="1">
        <f t="array" ref="G7">SUMPRODUCT(('Hours Log'!$A$2:$A$980=$A7)*('Hours Log'!$B$2:$B$980=G$2)*('Hours Log'!$C$2:$C$980=LOOKUP(2,1/($A$1:G$1&lt;&gt;""),$A$1:G$1))*'Hours Log'!$F$2:$F$980*'Hours Log'!$AP$2:$AP$980)</f>
        <v>38.919628496300923</v>
      </c>
      <c r="H7" s="95" cm="1">
        <f t="array" ref="H7">SUMPRODUCT(('Hours Log'!$A$2:$A$980=$A7)*('Hours Log'!$B$2:$B$980=H$2)*('Hours Log'!$C$2:$C$980=LOOKUP(2,1/($A$1:H$1&lt;&gt;""),$A$1:H$1))*'Hours Log'!$F$2:$F$980*'Hours Log'!$AP$2:$AP$980)</f>
        <v>38.632721630719359</v>
      </c>
      <c r="I7" s="95" cm="1">
        <f t="array" ref="I7">SUMPRODUCT(('Hours Log'!$A$2:$A$980=$A7)*('Hours Log'!$B$2:$B$980=I$2)*('Hours Log'!$C$2:$C$980=LOOKUP(2,1/($A$1:I$1&lt;&gt;""),$A$1:I$1))*'Hours Log'!$F$2:$F$980*'Hours Log'!$AP$2:$AP$980)</f>
        <v>272.64035517935599</v>
      </c>
      <c r="J7" s="95" cm="1">
        <f t="array" ref="J7">SUMPRODUCT(('Hours Log'!$A$2:$A$980=$A7)*('Hours Log'!$B$2:$B$980=J$2)*('Hours Log'!$C$2:$C$980=LOOKUP(2,1/($A$1:J$1&lt;&gt;""),$A$1:J$1))*'Hours Log'!$F$2:$F$980*'Hours Log'!$AP$2:$AP$980)</f>
        <v>353.63806516600084</v>
      </c>
      <c r="K7" s="95" cm="1">
        <f t="array" ref="K7">SUMPRODUCT(('Hours Log'!$A$2:$A$980=$A7)*('Hours Log'!$B$2:$B$980=K$2)*('Hours Log'!$C$2:$C$980=LOOKUP(2,1/($A$1:K$1&lt;&gt;""),$A$1:K$1))*'Hours Log'!$F$2:$F$980*'Hours Log'!$AP$2:$AP$980)</f>
        <v>135.14970364294555</v>
      </c>
      <c r="L7" s="95" cm="1">
        <f t="array" ref="L7">SUMPRODUCT(('Hours Log'!$A$2:$A$980=$A7)*('Hours Log'!$B$2:$B$980=L$2)*('Hours Log'!$C$2:$C$980=LOOKUP(2,1/($A$1:L$1&lt;&gt;""),$A$1:L$1))*'Hours Log'!$F$2:$F$980*'Hours Log'!$AP$2:$AP$980)</f>
        <v>41.741059725320241</v>
      </c>
      <c r="M7" s="95" cm="1">
        <f t="array" ref="M7">SUMPRODUCT(('Hours Log'!$A$2:$A$980=$A7)*('Hours Log'!$B$2:$B$980=M$2)*('Hours Log'!$C$2:$C$980=LOOKUP(2,1/($A$1:M$1&lt;&gt;""),$A$1:M$1))*'Hours Log'!$F$2:$F$980*'Hours Log'!$AP$2:$AP$980)</f>
        <v>271.41910223214285</v>
      </c>
      <c r="N7" s="95" cm="1">
        <f t="array" ref="N7">SUMPRODUCT(('Hours Log'!$A$2:$A$980=$A7)*('Hours Log'!$B$2:$B$980=N$2)*('Hours Log'!$C$2:$C$980=LOOKUP(2,1/($A$1:N$1&lt;&gt;""),$A$1:N$1))*'Hours Log'!$F$2:$F$980*'Hours Log'!$AP$2:$AP$980)</f>
        <v>44.659249972429002</v>
      </c>
      <c r="O7" s="95" cm="1">
        <f t="array" ref="O7">SUMPRODUCT(('Hours Log'!$A$2:$A$980=$A7)*('Hours Log'!$B$2:$B$980=O$2)*('Hours Log'!$C$2:$C$980=LOOKUP(2,1/($A$1:O$1&lt;&gt;""),$A$1:O$1))*'Hours Log'!$F$2:$F$980*'Hours Log'!$AP$2:$AP$980)</f>
        <v>38.445189025705595</v>
      </c>
      <c r="P7" s="96" cm="1">
        <f t="array" ref="P7">SUMPRODUCT(('Hours Log'!$A$2:$A$980=$A7)*('Hours Log'!$B$2:$B$980=P$2)*('Hours Log'!$C$2:$C$980=LOOKUP(2,1/($A$1:P$1&lt;&gt;""),$A$1:P$1))*'Hours Log'!$F$2:$F$980*'Hours Log'!$AP$2:$AP$980)</f>
        <v>88.932908078406356</v>
      </c>
      <c r="Q7" s="7" cm="1">
        <f t="array" ref="Q7">SUMPRODUCT(('Hours Log'!$A$2:$A$980=$A7)*('Hours Log'!$B$2:$B$980=Q$2)*('Hours Log'!$C$2:$C$980=LOOKUP(2,1/($A$1:Q$1&lt;&gt;""),$A$1:Q$1))*'Hours Log'!$F$2:$F$980*'Hours Log'!$AP$2:$AP$980)</f>
        <v>22.883437499999996</v>
      </c>
      <c r="R7" s="7" cm="1">
        <f t="array" ref="R7">SUMPRODUCT(('Hours Log'!$A$2:$A$980=$A7)*('Hours Log'!$B$2:$B$980=R$2)*('Hours Log'!$C$2:$C$980=LOOKUP(2,1/($A$1:R$1&lt;&gt;""),$A$1:R$1))*'Hours Log'!$F$2:$F$980*'Hours Log'!$AP$2:$AP$980)</f>
        <v>45.766874999999992</v>
      </c>
      <c r="S7" s="7" cm="1">
        <f t="array" ref="S7">SUMPRODUCT(('Hours Log'!$A$2:$A$980=$A7)*('Hours Log'!$B$2:$B$980=S$2)*('Hours Log'!$C$2:$C$980=LOOKUP(2,1/($A$1:S$1&lt;&gt;""),$A$1:S$1))*'Hours Log'!$F$2:$F$980*'Hours Log'!$AP$2:$AP$980)</f>
        <v>205.95093749999995</v>
      </c>
      <c r="T7" s="7" cm="1">
        <f t="array" ref="T7">SUMPRODUCT(('Hours Log'!$A$2:$A$980=$A7)*('Hours Log'!$B$2:$B$980=T$2)*('Hours Log'!$C$2:$C$980=LOOKUP(2,1/($A$1:T$1&lt;&gt;""),$A$1:T$1))*'Hours Log'!$F$2:$F$980*'Hours Log'!$AP$2:$AP$980)</f>
        <v>68.650312499999984</v>
      </c>
      <c r="U7" s="7" cm="1">
        <f t="array" ref="U7">SUMPRODUCT(('Hours Log'!$A$2:$A$980=$A7)*('Hours Log'!$B$2:$B$980=U$2)*('Hours Log'!$C$2:$C$980=LOOKUP(2,1/($A$1:U$1&lt;&gt;""),$A$1:U$1))*'Hours Log'!$F$2:$F$980*'Hours Log'!$AP$2:$AP$980)</f>
        <v>205.95093749999995</v>
      </c>
      <c r="V7" s="7" cm="1">
        <f t="array" ref="V7">SUMPRODUCT(('Hours Log'!$A$2:$A$980=$A7)*('Hours Log'!$B$2:$B$980=V$2)*('Hours Log'!$C$2:$C$980=LOOKUP(2,1/($A$1:V$1&lt;&gt;""),$A$1:V$1))*'Hours Log'!$F$2:$F$980*'Hours Log'!$AP$2:$AP$980)</f>
        <v>22.883437499999996</v>
      </c>
      <c r="W7" s="7" cm="1">
        <f t="array" ref="W7">SUMPRODUCT(('Hours Log'!$A$2:$A$980=$A7)*('Hours Log'!$B$2:$B$980=W$2)*('Hours Log'!$C$2:$C$980=LOOKUP(2,1/($A$1:W$1&lt;&gt;""),$A$1:W$1))*'Hours Log'!$F$2:$F$980*'Hours Log'!$AP$2:$AP$980)</f>
        <v>160.18406249999998</v>
      </c>
    </row>
    <row r="8" spans="1:24" x14ac:dyDescent="0.25">
      <c r="B8" s="68"/>
      <c r="D8" s="65"/>
      <c r="E8" s="68"/>
      <c r="P8" s="65"/>
    </row>
    <row r="9" spans="1:24" x14ac:dyDescent="0.25">
      <c r="B9" s="68"/>
      <c r="D9" s="65"/>
      <c r="E9" s="68"/>
      <c r="P9" s="65"/>
    </row>
    <row r="10" spans="1:24" x14ac:dyDescent="0.25">
      <c r="A10" t="s">
        <v>98</v>
      </c>
      <c r="B10" s="108">
        <f t="shared" ref="B10:W10" si="0">SUM(B3:B7)</f>
        <v>3626.0855705101744</v>
      </c>
      <c r="C10" s="98">
        <f t="shared" si="0"/>
        <v>5688.8825800759605</v>
      </c>
      <c r="D10" s="109">
        <f t="shared" si="0"/>
        <v>6323.5826405606231</v>
      </c>
      <c r="E10" s="108">
        <f t="shared" si="0"/>
        <v>4408.6559476926832</v>
      </c>
      <c r="F10" s="98">
        <f t="shared" si="0"/>
        <v>5416.5953015916111</v>
      </c>
      <c r="G10" s="98">
        <f t="shared" si="0"/>
        <v>5855.7976178786885</v>
      </c>
      <c r="H10" s="98">
        <f t="shared" si="0"/>
        <v>5370.7602207595028</v>
      </c>
      <c r="I10" s="98">
        <f t="shared" si="0"/>
        <v>4446.4427697119881</v>
      </c>
      <c r="J10" s="98">
        <f t="shared" si="0"/>
        <v>5494.7512582925319</v>
      </c>
      <c r="K10" s="98">
        <f t="shared" si="0"/>
        <v>6119.9943668825899</v>
      </c>
      <c r="L10" s="98">
        <f t="shared" si="0"/>
        <v>5976.3707098702935</v>
      </c>
      <c r="M10" s="98">
        <f t="shared" si="0"/>
        <v>6371.8074003364336</v>
      </c>
      <c r="N10" s="98">
        <f t="shared" si="0"/>
        <v>5891.2124747938806</v>
      </c>
      <c r="O10" s="98">
        <f t="shared" si="0"/>
        <v>4503.5454168119622</v>
      </c>
      <c r="P10" s="109">
        <f t="shared" si="0"/>
        <v>4810.1641399059081</v>
      </c>
      <c r="Q10" s="98">
        <f t="shared" si="0"/>
        <v>9194.9644660192389</v>
      </c>
      <c r="R10" s="98">
        <f t="shared" si="0"/>
        <v>7120.9050105322358</v>
      </c>
      <c r="S10" s="98">
        <f t="shared" si="0"/>
        <v>7731.9839355862714</v>
      </c>
      <c r="T10" s="98">
        <f t="shared" si="0"/>
        <v>9591.9855199029662</v>
      </c>
      <c r="U10" s="98">
        <f t="shared" si="0"/>
        <v>7030.0098033419454</v>
      </c>
      <c r="V10" s="98">
        <f t="shared" si="0"/>
        <v>7000.2592503198912</v>
      </c>
      <c r="W10" s="98">
        <f t="shared" si="0"/>
        <v>14305.446154967181</v>
      </c>
    </row>
    <row r="11" spans="1:24" x14ac:dyDescent="0.25">
      <c r="A11" t="s">
        <v>99</v>
      </c>
      <c r="B11" s="107">
        <v>7493.52</v>
      </c>
      <c r="C11" s="95">
        <v>7493.52</v>
      </c>
      <c r="D11" s="96">
        <v>7493.52</v>
      </c>
      <c r="E11" s="107">
        <v>7493.52</v>
      </c>
      <c r="F11" s="95">
        <v>7493.52</v>
      </c>
      <c r="G11" s="95">
        <v>7493.52</v>
      </c>
      <c r="H11" s="95">
        <v>7493.52</v>
      </c>
      <c r="I11" s="95">
        <v>7493.52</v>
      </c>
      <c r="J11" s="95">
        <v>7493.52</v>
      </c>
      <c r="K11" s="95">
        <v>7493.52</v>
      </c>
      <c r="L11" s="95">
        <v>7493.52</v>
      </c>
      <c r="M11" s="95">
        <v>7493.52</v>
      </c>
      <c r="N11" s="95">
        <v>7493.52</v>
      </c>
      <c r="O11" s="95">
        <v>7493.52</v>
      </c>
      <c r="P11" s="96">
        <v>7493.52</v>
      </c>
      <c r="Q11" s="7">
        <v>7493.52</v>
      </c>
      <c r="R11" s="7">
        <v>7493.52</v>
      </c>
      <c r="S11" s="7">
        <v>7493.52</v>
      </c>
      <c r="T11" s="7">
        <v>7493.52</v>
      </c>
      <c r="U11" s="7">
        <v>7493.52</v>
      </c>
      <c r="V11" s="7">
        <v>7493.52</v>
      </c>
      <c r="W11" s="7">
        <v>7493.52</v>
      </c>
    </row>
    <row r="12" spans="1:24" x14ac:dyDescent="0.25">
      <c r="A12" t="s">
        <v>100</v>
      </c>
      <c r="B12" s="108">
        <f t="shared" ref="B12:W12" si="1">B10-B11</f>
        <v>-3867.434429489826</v>
      </c>
      <c r="C12" s="98">
        <f t="shared" si="1"/>
        <v>-1804.6374199240399</v>
      </c>
      <c r="D12" s="109">
        <f t="shared" si="1"/>
        <v>-1169.9373594393774</v>
      </c>
      <c r="E12" s="108">
        <f t="shared" si="1"/>
        <v>-3084.8640523073173</v>
      </c>
      <c r="F12" s="98">
        <f t="shared" si="1"/>
        <v>-2076.9246984083893</v>
      </c>
      <c r="G12" s="98">
        <f>G10-G11</f>
        <v>-1637.722382121312</v>
      </c>
      <c r="H12" s="98">
        <f t="shared" si="1"/>
        <v>-2122.7597792404977</v>
      </c>
      <c r="I12" s="98">
        <f t="shared" si="1"/>
        <v>-3047.0772302880123</v>
      </c>
      <c r="J12" s="98">
        <f t="shared" si="1"/>
        <v>-1998.7687417074685</v>
      </c>
      <c r="K12" s="98">
        <f t="shared" si="1"/>
        <v>-1373.5256331174105</v>
      </c>
      <c r="L12" s="98">
        <f t="shared" si="1"/>
        <v>-1517.149290129707</v>
      </c>
      <c r="M12" s="98">
        <f t="shared" si="1"/>
        <v>-1121.7125996635668</v>
      </c>
      <c r="N12" s="98">
        <f t="shared" si="1"/>
        <v>-1602.3075252061199</v>
      </c>
      <c r="O12" s="98">
        <f t="shared" si="1"/>
        <v>-2989.9745831880382</v>
      </c>
      <c r="P12" s="109">
        <f t="shared" si="1"/>
        <v>-2683.3558600940923</v>
      </c>
      <c r="Q12" s="98">
        <f t="shared" si="1"/>
        <v>1701.4444660192385</v>
      </c>
      <c r="R12" s="98">
        <f t="shared" si="1"/>
        <v>-372.61498946776464</v>
      </c>
      <c r="S12" s="98">
        <f t="shared" si="1"/>
        <v>238.46393558627096</v>
      </c>
      <c r="T12" s="98">
        <f t="shared" si="1"/>
        <v>2098.4655199029658</v>
      </c>
      <c r="U12" s="98">
        <f t="shared" si="1"/>
        <v>-463.51019665805507</v>
      </c>
      <c r="V12" s="98">
        <f t="shared" si="1"/>
        <v>-493.26074968010926</v>
      </c>
      <c r="W12" s="98">
        <f t="shared" si="1"/>
        <v>6811.926154967181</v>
      </c>
      <c r="X12" s="113">
        <f>SUM(B12:W12)</f>
        <v>-22577.237443655453</v>
      </c>
    </row>
  </sheetData>
  <mergeCells count="3">
    <mergeCell ref="B1:D1"/>
    <mergeCell ref="E1:P1"/>
    <mergeCell ref="Q1:W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FBA3B-1378-4784-99A0-8A8A1169DC76}">
  <dimension ref="A1:AB30"/>
  <sheetViews>
    <sheetView workbookViewId="0">
      <selection activeCell="Z20" sqref="Z20"/>
    </sheetView>
  </sheetViews>
  <sheetFormatPr defaultRowHeight="15" x14ac:dyDescent="0.25"/>
  <cols>
    <col min="1" max="1" width="10" bestFit="1" customWidth="1"/>
    <col min="2" max="2" width="9.5703125" bestFit="1" customWidth="1"/>
    <col min="3" max="4" width="10.42578125" bestFit="1" customWidth="1"/>
    <col min="5" max="12" width="9.5703125" bestFit="1" customWidth="1"/>
    <col min="13" max="13" width="11" bestFit="1" customWidth="1"/>
    <col min="14" max="14" width="9.5703125" bestFit="1" customWidth="1"/>
    <col min="15" max="16" width="10.42578125" bestFit="1" customWidth="1"/>
    <col min="17" max="21" width="9.5703125" bestFit="1" customWidth="1"/>
    <col min="22" max="24" width="9.5703125" customWidth="1"/>
    <col min="25" max="25" width="22.7109375" bestFit="1" customWidth="1"/>
    <col min="26" max="26" width="11.5703125" bestFit="1" customWidth="1"/>
    <col min="27" max="27" width="18.5703125" bestFit="1" customWidth="1"/>
    <col min="28" max="28" width="11" bestFit="1" customWidth="1"/>
  </cols>
  <sheetData>
    <row r="1" spans="1:28" x14ac:dyDescent="0.25">
      <c r="B1" s="128">
        <v>2024</v>
      </c>
      <c r="C1" s="128"/>
      <c r="D1" s="128"/>
      <c r="E1" s="128">
        <v>2025</v>
      </c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>
        <v>2026</v>
      </c>
      <c r="R1" s="128"/>
      <c r="S1" s="128"/>
      <c r="T1" s="128"/>
      <c r="U1" s="128"/>
      <c r="V1" s="128"/>
      <c r="W1" s="128"/>
      <c r="X1" s="128"/>
    </row>
    <row r="2" spans="1:28" x14ac:dyDescent="0.25">
      <c r="A2" s="62" t="s">
        <v>3</v>
      </c>
      <c r="B2" s="10" t="s">
        <v>15</v>
      </c>
      <c r="C2" s="10" t="s">
        <v>16</v>
      </c>
      <c r="D2" s="117" t="s">
        <v>17</v>
      </c>
      <c r="E2" s="70" t="s">
        <v>6</v>
      </c>
      <c r="F2" s="10" t="s">
        <v>7</v>
      </c>
      <c r="G2" s="10" t="s">
        <v>8</v>
      </c>
      <c r="H2" s="10" t="s">
        <v>9</v>
      </c>
      <c r="I2" s="10" t="s">
        <v>10</v>
      </c>
      <c r="J2" s="10" t="s">
        <v>11</v>
      </c>
      <c r="K2" s="10" t="s">
        <v>12</v>
      </c>
      <c r="L2" s="10" t="s">
        <v>13</v>
      </c>
      <c r="M2" s="10" t="s">
        <v>14</v>
      </c>
      <c r="N2" s="10" t="s">
        <v>15</v>
      </c>
      <c r="O2" s="10" t="s">
        <v>16</v>
      </c>
      <c r="P2" s="117" t="s">
        <v>17</v>
      </c>
      <c r="Q2" s="10" t="s">
        <v>6</v>
      </c>
      <c r="R2" s="10" t="s">
        <v>7</v>
      </c>
      <c r="S2" s="10" t="s">
        <v>8</v>
      </c>
      <c r="T2" s="10" t="s">
        <v>9</v>
      </c>
      <c r="U2" s="10" t="s">
        <v>10</v>
      </c>
      <c r="V2" s="10" t="s">
        <v>11</v>
      </c>
      <c r="W2" s="10" t="s">
        <v>12</v>
      </c>
      <c r="X2" s="10" t="s">
        <v>13</v>
      </c>
      <c r="Y2" s="10" t="s">
        <v>121</v>
      </c>
      <c r="Z2" s="1" t="s">
        <v>122</v>
      </c>
      <c r="AA2" s="1" t="s">
        <v>123</v>
      </c>
      <c r="AB2" s="1" t="s">
        <v>124</v>
      </c>
    </row>
    <row r="3" spans="1:28" x14ac:dyDescent="0.25">
      <c r="A3" t="s">
        <v>56</v>
      </c>
      <c r="B3" s="110" cm="1">
        <f t="array" ref="B3">SUMPRODUCT(('Hours Log'!$A$2:$A$980=$A3)*('Hours Log'!$B$2:$B$980=B$2)*('Hours Log'!$C$2:$C$980=LOOKUP(2,1/($A$1:B$1&lt;&gt;""),$A$1:B$1))*'Hours Log'!$D$2:$D$980*'Hours Log'!$AS$2:$AS$980)</f>
        <v>1074.565264423077</v>
      </c>
      <c r="C3" s="110" cm="1">
        <f t="array" ref="C3">SUMPRODUCT(('Hours Log'!$A$2:$A$980=$A3)*('Hours Log'!$B$2:$B$980=C$2)*('Hours Log'!$C$2:$C$980=LOOKUP(2,1/($A$1:C$1&lt;&gt;""),$A$1:C$1))*'Hours Log'!$D$2:$D$980*'Hours Log'!$AS$2:$AS$980)</f>
        <v>1547.3739807692309</v>
      </c>
      <c r="D3" s="111" cm="1">
        <f t="array" ref="D3">SUMPRODUCT(('Hours Log'!$A$2:$A$980=$A3)*('Hours Log'!$B$2:$B$980=D$2)*('Hours Log'!$C$2:$C$980=LOOKUP(2,1/($A$1:D$1&lt;&gt;""),$A$1:D$1))*'Hours Log'!$D$2:$D$980*'Hours Log'!$AS$2:$AS$980)</f>
        <v>1504.3913701923077</v>
      </c>
      <c r="E3" s="107" cm="1">
        <f t="array" ref="E3">SUMPRODUCT(('Hours Log'!$A$2:$A$980=$A3)*('Hours Log'!$B$2:$B$980=E$2)*('Hours Log'!$C$2:$C$980=LOOKUP(2,1/($A$1:E$1&lt;&gt;""),$A$1:E$1))*'Hours Log'!$D$2:$D$980*'Hours Log'!$AS$2:$AS$980)</f>
        <v>2855.45</v>
      </c>
      <c r="F3" s="95" cm="1">
        <f t="array" ref="F3">SUMPRODUCT(('Hours Log'!$A$2:$A$980=$A3)*('Hours Log'!$B$2:$B$980=F$2)*('Hours Log'!$C$2:$C$980=LOOKUP(2,1/($A$1:F$1&lt;&gt;""),$A$1:F$1))*'Hours Log'!$D$2:$D$980*'Hours Log'!$AS$2:$AS$980)</f>
        <v>3250.82</v>
      </c>
      <c r="G3" s="95" cm="1">
        <f t="array" ref="G3">SUMPRODUCT(('Hours Log'!$A$2:$A$980=$A3)*('Hours Log'!$B$2:$B$980=G$2)*('Hours Log'!$C$2:$C$980=LOOKUP(2,1/($A$1:G$1&lt;&gt;""),$A$1:G$1))*'Hours Log'!$D$2:$D$980*'Hours Log'!$AS$2:$AS$980)</f>
        <v>3602.2599999999998</v>
      </c>
      <c r="H3" s="95" cm="1">
        <f t="array" ref="H3">SUMPRODUCT(('Hours Log'!$A$2:$A$980=$A3)*('Hours Log'!$B$2:$B$980=H$2)*('Hours Log'!$C$2:$C$980=LOOKUP(2,1/($A$1:H$1&lt;&gt;""),$A$1:H$1))*'Hours Log'!$D$2:$D$980*'Hours Log'!$AS$2:$AS$980)</f>
        <v>3534.4822857142858</v>
      </c>
      <c r="I3" s="95" cm="1">
        <f t="array" ref="I3">SUMPRODUCT(('Hours Log'!$A$2:$A$980=$A3)*('Hours Log'!$B$2:$B$980=I$2)*('Hours Log'!$C$2:$C$980=LOOKUP(2,1/($A$1:I$1&lt;&gt;""),$A$1:I$1))*'Hours Log'!$D$2:$D$980*'Hours Log'!$AS$2:$AS$980)</f>
        <v>3694.0248888888887</v>
      </c>
      <c r="J3" s="95" cm="1">
        <f t="array" ref="J3">SUMPRODUCT(('Hours Log'!$A$2:$A$980=$A3)*('Hours Log'!$B$2:$B$980=J$2)*('Hours Log'!$C$2:$C$980=LOOKUP(2,1/($A$1:J$1&lt;&gt;""),$A$1:J$1))*'Hours Log'!$D$2:$D$980*'Hours Log'!$AS$2:$AS$980)</f>
        <v>3514.4</v>
      </c>
      <c r="K3" s="95" cm="1">
        <f t="array" ref="K3">SUMPRODUCT(('Hours Log'!$A$2:$A$980=$A3)*('Hours Log'!$B$2:$B$980=K$2)*('Hours Log'!$C$2:$C$980=LOOKUP(2,1/($A$1:K$1&lt;&gt;""),$A$1:K$1))*'Hours Log'!$D$2:$D$980*'Hours Log'!$AS$2:$AS$980)</f>
        <v>4780.3397849462372</v>
      </c>
      <c r="L3" s="95" cm="1">
        <f t="array" ref="L3">SUMPRODUCT(('Hours Log'!$A$2:$A$980=$A3)*('Hours Log'!$B$2:$B$980=L$2)*('Hours Log'!$C$2:$C$980=LOOKUP(2,1/($A$1:L$1&lt;&gt;""),$A$1:L$1))*'Hours Log'!$D$2:$D$980*'Hours Log'!$AS$2:$AS$980)</f>
        <v>4520.3969999999999</v>
      </c>
      <c r="M3" s="95" cm="1">
        <f t="array" ref="M3">SUMPRODUCT(('Hours Log'!$A$2:$A$980=$A3)*('Hours Log'!$B$2:$B$980=M$2)*('Hours Log'!$C$2:$C$980=LOOKUP(2,1/($A$1:M$1&lt;&gt;""),$A$1:M$1))*'Hours Log'!$D$2:$D$980*'Hours Log'!$AS$2:$AS$980)</f>
        <v>3865.84</v>
      </c>
      <c r="N3" s="95" cm="1">
        <f t="array" ref="N3">SUMPRODUCT(('Hours Log'!$A$2:$A$980=$A3)*('Hours Log'!$B$2:$B$980=N$2)*('Hours Log'!$C$2:$C$980=LOOKUP(2,1/($A$1:N$1&lt;&gt;""),$A$1:N$1))*'Hours Log'!$D$2:$D$980*'Hours Log'!$AS$2:$AS$980)</f>
        <v>6721.29</v>
      </c>
      <c r="O3" s="95" cm="1">
        <f t="array" ref="O3">SUMPRODUCT(('Hours Log'!$A$2:$A$980=$A3)*('Hours Log'!$B$2:$B$980=O$2)*('Hours Log'!$C$2:$C$980=LOOKUP(2,1/($A$1:O$1&lt;&gt;""),$A$1:O$1))*'Hours Log'!$D$2:$D$980*'Hours Log'!$AS$2:$AS$980)</f>
        <v>4744.4399999999996</v>
      </c>
      <c r="P3" s="96" cm="1">
        <f t="array" ref="P3">SUMPRODUCT(('Hours Log'!$A$2:$A$980=$A3)*('Hours Log'!$B$2:$B$980=P$2)*('Hours Log'!$C$2:$C$980=LOOKUP(2,1/($A$1:P$1&lt;&gt;""),$A$1:P$1))*'Hours Log'!$D$2:$D$980*'Hours Log'!$AS$2:$AS$980)</f>
        <v>3997.63</v>
      </c>
      <c r="Q3" s="7" cm="1">
        <f t="array" ref="Q3">SUMPRODUCT(('Hours Log'!$A$2:$A$980=$A3)*('Hours Log'!$B$2:$B$980=Q$2)*('Hours Log'!$C$2:$C$980=LOOKUP(2,1/($A$1:Q$1&lt;&gt;""),$A$1:Q$1))*'Hours Log'!$D$2:$D$980*'Hours Log'!$AS$2:$AS$980)</f>
        <v>4892.3076923076924</v>
      </c>
      <c r="R3" s="7" cm="1">
        <f t="array" ref="R3">SUMPRODUCT(('Hours Log'!$A$2:$A$980=$A3)*('Hours Log'!$B$2:$B$980=R$2)*('Hours Log'!$C$2:$C$980=LOOKUP(2,1/($A$1:R$1&lt;&gt;""),$A$1:R$1))*'Hours Log'!$D$2:$D$980*'Hours Log'!$AS$2:$AS$980)</f>
        <v>5400</v>
      </c>
      <c r="S3" s="7" cm="1">
        <f t="array" ref="S3">SUMPRODUCT(('Hours Log'!$A$2:$A$980=$A3)*('Hours Log'!$B$2:$B$980=S$2)*('Hours Log'!$C$2:$C$980=LOOKUP(2,1/($A$1:S$1&lt;&gt;""),$A$1:S$1))*'Hours Log'!$D$2:$D$980*'Hours Log'!$AS$2:$AS$980)</f>
        <v>6046.1538461538457</v>
      </c>
      <c r="T3" s="7" cm="1">
        <f t="array" ref="T3">SUMPRODUCT(('Hours Log'!$A$2:$A$980=$A3)*('Hours Log'!$B$2:$B$980=T$2)*('Hours Log'!$C$2:$C$980=LOOKUP(2,1/($A$1:T$1&lt;&gt;""),$A$1:T$1))*'Hours Log'!$D$2:$D$980*'Hours Log'!$AS$2:$AS$980)</f>
        <v>5953.8461538461534</v>
      </c>
      <c r="U3" s="7" cm="1">
        <f t="array" ref="U3">SUMPRODUCT(('Hours Log'!$A$2:$A$980=$A3)*('Hours Log'!$B$2:$B$980=U$2)*('Hours Log'!$C$2:$C$980=LOOKUP(2,1/($A$1:U$1&lt;&gt;""),$A$1:U$1))*'Hours Log'!$D$2:$D$980*'Hours Log'!$AS$2:$AS$980)</f>
        <v>5169.2307692307695</v>
      </c>
      <c r="V3" s="7" cm="1">
        <f t="array" ref="V3">SUMPRODUCT(('Hours Log'!$A$2:$A$980=$A3)*('Hours Log'!$B$2:$B$980=V$2)*('Hours Log'!$C$2:$C$980=LOOKUP(2,1/($A$1:V$1&lt;&gt;""),$A$1:V$1))*'Hours Log'!$D$2:$D$980*'Hours Log'!$AS$2:$AS$980)</f>
        <v>3830.7692307692309</v>
      </c>
      <c r="W3" s="7" cm="1">
        <f t="array" ref="W3">SUMPRODUCT(('Hours Log'!$A$2:$A$980=$A3)*('Hours Log'!$B$2:$B$980=W$2)*('Hours Log'!$C$2:$C$980=LOOKUP(2,1/($A$1:W$1&lt;&gt;""),$A$1:W$1))*'Hours Log'!$D$2:$D$980*'Hours Log'!$AS$2:$AS$980)</f>
        <v>8492.3076923076915</v>
      </c>
      <c r="X3" s="7" cm="1">
        <f t="array" ref="X3">SUMPRODUCT(('Hours Log'!$A$2:$A$980=$A3)*('Hours Log'!$B$2:$B$980=X$2)*('Hours Log'!$C$2:$C$980=LOOKUP(2,1/($A$1:X$1&lt;&gt;""),$A$1:X$1))*'Hours Log'!$D$2:$D$980*'Hours Log'!$AS$2:$AS$980)</f>
        <v>8123.0769230769229</v>
      </c>
      <c r="Y3" s="7">
        <v>-9583.18</v>
      </c>
      <c r="Z3" s="98">
        <f>SUM(B3:Y3)</f>
        <v>91532.216882626351</v>
      </c>
      <c r="AA3" s="7">
        <v>81458.179999999993</v>
      </c>
      <c r="AB3" s="98">
        <f>AA3-Z3</f>
        <v>-10074.036882626358</v>
      </c>
    </row>
    <row r="4" spans="1:28" x14ac:dyDescent="0.25">
      <c r="A4" t="s">
        <v>54</v>
      </c>
      <c r="B4" s="110" cm="1">
        <f t="array" ref="B4">SUMPRODUCT(('Hours Log'!$A$2:$A$980=$A4)*('Hours Log'!$B$2:$B$980=B$2)*('Hours Log'!$C$2:$C$980=LOOKUP(2,1/($A$1:B$1&lt;&gt;""),$A$1:B$1))*'Hours Log'!$D$2:$D$980*'Hours Log'!$AS$2:$AS$980)</f>
        <v>0</v>
      </c>
      <c r="C4" s="110" cm="1">
        <f t="array" ref="C4">SUMPRODUCT(('Hours Log'!$A$2:$A$980=$A4)*('Hours Log'!$B$2:$B$980=C$2)*('Hours Log'!$C$2:$C$980=LOOKUP(2,1/($A$1:C$1&lt;&gt;""),$A$1:C$1))*'Hours Log'!$D$2:$D$980*'Hours Log'!$AS$2:$AS$980)</f>
        <v>2144.1040915991898</v>
      </c>
      <c r="D4" s="111" cm="1">
        <f t="array" ref="D4">SUMPRODUCT(('Hours Log'!$A$2:$A$980=$A4)*('Hours Log'!$B$2:$B$980=D$2)*('Hours Log'!$C$2:$C$980=LOOKUP(2,1/($A$1:D$1&lt;&gt;""),$A$1:D$1))*'Hours Log'!$D$2:$D$980*'Hours Log'!$AS$2:$AS$980)</f>
        <v>2370.9934134615387</v>
      </c>
      <c r="E4" s="107" cm="1">
        <f t="array" ref="E4">SUMPRODUCT(('Hours Log'!$A$2:$A$980=$A4)*('Hours Log'!$B$2:$B$980=E$2)*('Hours Log'!$C$2:$C$980=LOOKUP(2,1/($A$1:E$1&lt;&gt;""),$A$1:E$1))*'Hours Log'!$D$2:$D$980*'Hours Log'!$AS$2:$AS$980)</f>
        <v>2117.5661200428722</v>
      </c>
      <c r="F4" s="95" cm="1">
        <f t="array" ref="F4">SUMPRODUCT(('Hours Log'!$A$2:$A$980=$A4)*('Hours Log'!$B$2:$B$980=F$2)*('Hours Log'!$C$2:$C$980=LOOKUP(2,1/($A$1:F$1&lt;&gt;""),$A$1:F$1))*'Hours Log'!$D$2:$D$980*'Hours Log'!$AS$2:$AS$980)</f>
        <v>1926.8985138798016</v>
      </c>
      <c r="G4" s="95" cm="1">
        <f t="array" ref="G4">SUMPRODUCT(('Hours Log'!$A$2:$A$980=$A4)*('Hours Log'!$B$2:$B$980=G$2)*('Hours Log'!$C$2:$C$980=LOOKUP(2,1/($A$1:G$1&lt;&gt;""),$A$1:G$1))*'Hours Log'!$D$2:$D$980*'Hours Log'!$AS$2:$AS$980)</f>
        <v>1728.2779688622752</v>
      </c>
      <c r="H4" s="95" cm="1">
        <f t="array" ref="H4">SUMPRODUCT(('Hours Log'!$A$2:$A$980=$A4)*('Hours Log'!$B$2:$B$980=H$2)*('Hours Log'!$C$2:$C$980=LOOKUP(2,1/($A$1:H$1&lt;&gt;""),$A$1:H$1))*'Hours Log'!$D$2:$D$980*'Hours Log'!$AS$2:$AS$980)</f>
        <v>1802.7652640707656</v>
      </c>
      <c r="I4" s="95" cm="1">
        <f t="array" ref="I4">SUMPRODUCT(('Hours Log'!$A$2:$A$980=$A4)*('Hours Log'!$B$2:$B$980=I$2)*('Hours Log'!$C$2:$C$980=LOOKUP(2,1/($A$1:I$1&lt;&gt;""),$A$1:I$1))*'Hours Log'!$D$2:$D$980*'Hours Log'!$AS$2:$AS$980)</f>
        <v>1987.3964705283686</v>
      </c>
      <c r="J4" s="95" cm="1">
        <f t="array" ref="J4">SUMPRODUCT(('Hours Log'!$A$2:$A$980=$A4)*('Hours Log'!$B$2:$B$980=J$2)*('Hours Log'!$C$2:$C$980=LOOKUP(2,1/($A$1:J$1&lt;&gt;""),$A$1:J$1))*'Hours Log'!$D$2:$D$980*'Hours Log'!$AS$2:$AS$980)</f>
        <v>2688.7901857865318</v>
      </c>
      <c r="K4" s="95" cm="1">
        <f t="array" ref="K4">SUMPRODUCT(('Hours Log'!$A$2:$A$980=$A4)*('Hours Log'!$B$2:$B$980=K$2)*('Hours Log'!$C$2:$C$980=LOOKUP(2,1/($A$1:K$1&lt;&gt;""),$A$1:K$1))*'Hours Log'!$D$2:$D$980*'Hours Log'!$AS$2:$AS$980)</f>
        <v>1844.2839579929987</v>
      </c>
      <c r="L4" s="95" cm="1">
        <f t="array" ref="L4">SUMPRODUCT(('Hours Log'!$A$2:$A$980=$A4)*('Hours Log'!$B$2:$B$980=L$2)*('Hours Log'!$C$2:$C$980=LOOKUP(2,1/($A$1:L$1&lt;&gt;""),$A$1:L$1))*'Hours Log'!$D$2:$D$980*'Hours Log'!$AS$2:$AS$980)</f>
        <v>1526.5212236608274</v>
      </c>
      <c r="M4" s="95" cm="1">
        <f t="array" ref="M4">SUMPRODUCT(('Hours Log'!$A$2:$A$980=$A4)*('Hours Log'!$B$2:$B$980=M$2)*('Hours Log'!$C$2:$C$980=LOOKUP(2,1/($A$1:M$1&lt;&gt;""),$A$1:M$1))*'Hours Log'!$D$2:$D$980*'Hours Log'!$AS$2:$AS$980)</f>
        <v>1481.0516118919836</v>
      </c>
      <c r="N4" s="95" cm="1">
        <f t="array" ref="N4">SUMPRODUCT(('Hours Log'!$A$2:$A$980=$A4)*('Hours Log'!$B$2:$B$980=N$2)*('Hours Log'!$C$2:$C$980=LOOKUP(2,1/($A$1:N$1&lt;&gt;""),$A$1:N$1))*'Hours Log'!$D$2:$D$980*'Hours Log'!$AS$2:$AS$980)</f>
        <v>2036.9570384212645</v>
      </c>
      <c r="O4" s="95" cm="1">
        <f t="array" ref="O4">SUMPRODUCT(('Hours Log'!$A$2:$A$980=$A4)*('Hours Log'!$B$2:$B$980=O$2)*('Hours Log'!$C$2:$C$980=LOOKUP(2,1/($A$1:O$1&lt;&gt;""),$A$1:O$1))*'Hours Log'!$D$2:$D$980*'Hours Log'!$AS$2:$AS$980)</f>
        <v>1444.2964270701973</v>
      </c>
      <c r="P4" s="96" cm="1">
        <f t="array" ref="P4">SUMPRODUCT(('Hours Log'!$A$2:$A$980=$A4)*('Hours Log'!$B$2:$B$980=P$2)*('Hours Log'!$C$2:$C$980=LOOKUP(2,1/($A$1:P$1&lt;&gt;""),$A$1:P$1))*'Hours Log'!$D$2:$D$980*'Hours Log'!$AS$2:$AS$980)</f>
        <v>1618.4887277791431</v>
      </c>
      <c r="Q4" s="7" cm="1">
        <f t="array" ref="Q4">SUMPRODUCT(('Hours Log'!$A$2:$A$980=$A4)*('Hours Log'!$B$2:$B$980=Q$2)*('Hours Log'!$C$2:$C$980=LOOKUP(2,1/($A$1:Q$1&lt;&gt;""),$A$1:Q$1))*'Hours Log'!$D$2:$D$980*'Hours Log'!$AS$2:$AS$980)</f>
        <v>2438.240007541478</v>
      </c>
      <c r="R4" s="7" cm="1">
        <f t="array" ref="R4">SUMPRODUCT(('Hours Log'!$A$2:$A$980=$A4)*('Hours Log'!$B$2:$B$980=R$2)*('Hours Log'!$C$2:$C$980=LOOKUP(2,1/($A$1:R$1&lt;&gt;""),$A$1:R$1))*'Hours Log'!$D$2:$D$980*'Hours Log'!$AS$2:$AS$980)</f>
        <v>2160.968660968661</v>
      </c>
      <c r="S4" s="7" cm="1">
        <f t="array" ref="S4">SUMPRODUCT(('Hours Log'!$A$2:$A$980=$A4)*('Hours Log'!$B$2:$B$980=S$2)*('Hours Log'!$C$2:$C$980=LOOKUP(2,1/($A$1:S$1&lt;&gt;""),$A$1:S$1))*'Hours Log'!$D$2:$D$980*'Hours Log'!$AS$2:$AS$980)</f>
        <v>2801.5415140415139</v>
      </c>
      <c r="T4" s="7" cm="1">
        <f t="array" ref="T4">SUMPRODUCT(('Hours Log'!$A$2:$A$980=$A4)*('Hours Log'!$B$2:$B$980=T$2)*('Hours Log'!$C$2:$C$980=LOOKUP(2,1/($A$1:T$1&lt;&gt;""),$A$1:T$1))*'Hours Log'!$D$2:$D$980*'Hours Log'!$AS$2:$AS$980)</f>
        <v>1848.5244594115561</v>
      </c>
      <c r="U4" s="7" cm="1">
        <f t="array" ref="U4">SUMPRODUCT(('Hours Log'!$A$2:$A$980=$A4)*('Hours Log'!$B$2:$B$980=U$2)*('Hours Log'!$C$2:$C$980=LOOKUP(2,1/($A$1:U$1&lt;&gt;""),$A$1:U$1))*'Hours Log'!$D$2:$D$980*'Hours Log'!$AS$2:$AS$980)</f>
        <v>1754.9429086538462</v>
      </c>
      <c r="V4" s="7" cm="1">
        <f t="array" ref="V4">SUMPRODUCT(('Hours Log'!$A$2:$A$980=$A4)*('Hours Log'!$B$2:$B$980=V$2)*('Hours Log'!$C$2:$C$980=LOOKUP(2,1/($A$1:V$1&lt;&gt;""),$A$1:V$1))*'Hours Log'!$D$2:$D$980*'Hours Log'!$AS$2:$AS$980)</f>
        <v>2037.4847374847375</v>
      </c>
      <c r="W4" s="7" cm="1">
        <f t="array" ref="W4">SUMPRODUCT(('Hours Log'!$A$2:$A$980=$A4)*('Hours Log'!$B$2:$B$980=W$2)*('Hours Log'!$C$2:$C$980=LOOKUP(2,1/($A$1:W$1&lt;&gt;""),$A$1:W$1))*'Hours Log'!$D$2:$D$980*'Hours Log'!$AS$2:$AS$980)</f>
        <v>1806.4866863905327</v>
      </c>
      <c r="X4" s="7" cm="1">
        <f t="array" ref="X4">SUMPRODUCT(('Hours Log'!$A$2:$A$980=$A4)*('Hours Log'!$B$2:$B$980=X$2)*('Hours Log'!$C$2:$C$980=LOOKUP(2,1/($A$1:X$1&lt;&gt;""),$A$1:X$1))*'Hours Log'!$D$2:$D$980*'Hours Log'!$AS$2:$AS$980)</f>
        <v>0</v>
      </c>
      <c r="Z4" s="98">
        <f t="shared" ref="Z4:Z9" si="0">SUM(B4:Y4)</f>
        <v>41566.579989540085</v>
      </c>
      <c r="AA4" s="7">
        <v>62291.59</v>
      </c>
      <c r="AB4" s="98">
        <f t="shared" ref="AB4:AB9" si="1">AA4-Z4</f>
        <v>20725.010010459911</v>
      </c>
    </row>
    <row r="5" spans="1:28" x14ac:dyDescent="0.25">
      <c r="A5" t="s">
        <v>61</v>
      </c>
      <c r="B5" s="110" cm="1">
        <f t="array" ref="B5">SUMPRODUCT(('Hours Log'!$A$2:$A$980=$A5)*('Hours Log'!$B$2:$B$980=B$2)*('Hours Log'!$C$2:$C$980=LOOKUP(2,1/($A$1:B$1&lt;&gt;""),$A$1:B$1))*'Hours Log'!$D$2:$D$980*'Hours Log'!$AS$2:$AS$980)</f>
        <v>263.23965384615383</v>
      </c>
      <c r="C5" s="110" cm="1">
        <f t="array" ref="C5">SUMPRODUCT(('Hours Log'!$A$2:$A$980=$A5)*('Hours Log'!$B$2:$B$980=C$2)*('Hours Log'!$C$2:$C$980=LOOKUP(2,1/($A$1:C$1&lt;&gt;""),$A$1:C$1))*'Hours Log'!$D$2:$D$980*'Hours Log'!$AS$2:$AS$980)</f>
        <v>460.66939423076917</v>
      </c>
      <c r="D5" s="111" cm="1">
        <f t="array" ref="D5">SUMPRODUCT(('Hours Log'!$A$2:$A$980=$A5)*('Hours Log'!$B$2:$B$980=D$2)*('Hours Log'!$C$2:$C$980=LOOKUP(2,1/($A$1:D$1&lt;&gt;""),$A$1:D$1))*'Hours Log'!$D$2:$D$980*'Hours Log'!$AS$2:$AS$980)</f>
        <v>394.85948076923074</v>
      </c>
      <c r="E5" s="107" cm="1">
        <f t="array" ref="E5">SUMPRODUCT(('Hours Log'!$A$2:$A$980=$A5)*('Hours Log'!$B$2:$B$980=E$2)*('Hours Log'!$C$2:$C$980=LOOKUP(2,1/($A$1:E$1&lt;&gt;""),$A$1:E$1))*'Hours Log'!$D$2:$D$980*'Hours Log'!$AS$2:$AS$980)</f>
        <v>767.12328234265726</v>
      </c>
      <c r="F5" s="95" cm="1">
        <f t="array" ref="F5">SUMPRODUCT(('Hours Log'!$A$2:$A$980=$A5)*('Hours Log'!$B$2:$B$980=F$2)*('Hours Log'!$C$2:$C$980=LOOKUP(2,1/($A$1:F$1&lt;&gt;""),$A$1:F$1))*'Hours Log'!$D$2:$D$980*'Hours Log'!$AS$2:$AS$980)</f>
        <v>1540.9172019230768</v>
      </c>
      <c r="G5" s="95" cm="1">
        <f t="array" ref="G5">SUMPRODUCT(('Hours Log'!$A$2:$A$980=$A5)*('Hours Log'!$B$2:$B$980=G$2)*('Hours Log'!$C$2:$C$980=LOOKUP(2,1/($A$1:G$1&lt;&gt;""),$A$1:G$1))*'Hours Log'!$D$2:$D$980*'Hours Log'!$AS$2:$AS$980)</f>
        <v>1540.9172019230768</v>
      </c>
      <c r="H5" s="95" cm="1">
        <f t="array" ref="H5">SUMPRODUCT(('Hours Log'!$A$2:$A$980=$A5)*('Hours Log'!$B$2:$B$980=H$2)*('Hours Log'!$C$2:$C$980=LOOKUP(2,1/($A$1:H$1&lt;&gt;""),$A$1:H$1))*'Hours Log'!$D$2:$D$980*'Hours Log'!$AS$2:$AS$980)</f>
        <v>1557.3191217194569</v>
      </c>
      <c r="I5" s="95" cm="1">
        <f t="array" ref="I5">SUMPRODUCT(('Hours Log'!$A$2:$A$980=$A5)*('Hours Log'!$B$2:$B$980=I$2)*('Hours Log'!$C$2:$C$980=LOOKUP(2,1/($A$1:I$1&lt;&gt;""),$A$1:I$1))*'Hours Log'!$D$2:$D$980*'Hours Log'!$AS$2:$AS$980)</f>
        <v>2494.8183269230767</v>
      </c>
      <c r="J5" s="95" cm="1">
        <f t="array" ref="J5">SUMPRODUCT(('Hours Log'!$A$2:$A$980=$A5)*('Hours Log'!$B$2:$B$980=J$2)*('Hours Log'!$C$2:$C$980=LOOKUP(2,1/($A$1:J$1&lt;&gt;""),$A$1:J$1))*'Hours Log'!$D$2:$D$980*'Hours Log'!$AS$2:$AS$980)</f>
        <v>1205.9352015050167</v>
      </c>
      <c r="K5" s="95" cm="1">
        <f t="array" ref="K5">SUMPRODUCT(('Hours Log'!$A$2:$A$980=$A5)*('Hours Log'!$B$2:$B$980=K$2)*('Hours Log'!$C$2:$C$980=LOOKUP(2,1/($A$1:K$1&lt;&gt;""),$A$1:K$1))*'Hours Log'!$D$2:$D$980*'Hours Log'!$AS$2:$AS$980)</f>
        <v>2160.219163076923</v>
      </c>
      <c r="L5" s="95" cm="1">
        <f t="array" ref="L5">SUMPRODUCT(('Hours Log'!$A$2:$A$980=$A5)*('Hours Log'!$B$2:$B$980=L$2)*('Hours Log'!$C$2:$C$980=LOOKUP(2,1/($A$1:L$1&lt;&gt;""),$A$1:L$1))*'Hours Log'!$D$2:$D$980*'Hours Log'!$AS$2:$AS$980)</f>
        <v>1687.6712211538463</v>
      </c>
      <c r="M5" s="95" cm="1">
        <f t="array" ref="M5">SUMPRODUCT(('Hours Log'!$A$2:$A$980=$A5)*('Hours Log'!$B$2:$B$980=M$2)*('Hours Log'!$C$2:$C$980=LOOKUP(2,1/($A$1:M$1&lt;&gt;""),$A$1:M$1))*'Hours Log'!$D$2:$D$980*'Hours Log'!$AS$2:$AS$980)</f>
        <v>2714.9493557692304</v>
      </c>
      <c r="N5" s="95" cm="1">
        <f t="array" ref="N5">SUMPRODUCT(('Hours Log'!$A$2:$A$980=$A5)*('Hours Log'!$B$2:$B$980=N$2)*('Hours Log'!$C$2:$C$980=LOOKUP(2,1/($A$1:N$1&lt;&gt;""),$A$1:N$1))*'Hours Log'!$D$2:$D$980*'Hours Log'!$AS$2:$AS$980)</f>
        <v>2788.3263653846152</v>
      </c>
      <c r="O5" s="95" cm="1">
        <f t="array" ref="O5">SUMPRODUCT(('Hours Log'!$A$2:$A$980=$A5)*('Hours Log'!$B$2:$B$980=O$2)*('Hours Log'!$C$2:$C$980=LOOKUP(2,1/($A$1:O$1&lt;&gt;""),$A$1:O$1))*'Hours Log'!$D$2:$D$980*'Hours Log'!$AS$2:$AS$980)</f>
        <v>2935.0803846153844</v>
      </c>
      <c r="P5" s="96" cm="1">
        <f t="array" ref="P5">SUMPRODUCT(('Hours Log'!$A$2:$A$980=$A5)*('Hours Log'!$B$2:$B$980=P$2)*('Hours Log'!$C$2:$C$980=LOOKUP(2,1/($A$1:P$1&lt;&gt;""),$A$1:P$1))*'Hours Log'!$D$2:$D$980*'Hours Log'!$AS$2:$AS$980)</f>
        <v>2751.6378605769228</v>
      </c>
      <c r="Q5" s="7" cm="1">
        <f t="array" ref="Q5">SUMPRODUCT(('Hours Log'!$A$2:$A$980=$A5)*('Hours Log'!$B$2:$B$980=Q$2)*('Hours Log'!$C$2:$C$980=LOOKUP(2,1/($A$1:Q$1&lt;&gt;""),$A$1:Q$1))*'Hours Log'!$D$2:$D$980*'Hours Log'!$AS$2:$AS$980)</f>
        <v>800.66170388751038</v>
      </c>
      <c r="R5" s="7" cm="1">
        <f t="array" ref="R5">SUMPRODUCT(('Hours Log'!$A$2:$A$980=$A5)*('Hours Log'!$B$2:$B$980=R$2)*('Hours Log'!$C$2:$C$980=LOOKUP(2,1/($A$1:R$1&lt;&gt;""),$A$1:R$1))*'Hours Log'!$D$2:$D$980*'Hours Log'!$AS$2:$AS$980)</f>
        <v>695.34984789222074</v>
      </c>
      <c r="S5" s="7" cm="1">
        <f t="array" ref="S5">SUMPRODUCT(('Hours Log'!$A$2:$A$980=$A5)*('Hours Log'!$B$2:$B$980=S$2)*('Hours Log'!$C$2:$C$980=LOOKUP(2,1/($A$1:S$1&lt;&gt;""),$A$1:S$1))*'Hours Log'!$D$2:$D$980*'Hours Log'!$AS$2:$AS$980)</f>
        <v>771.62216022319649</v>
      </c>
      <c r="T5" s="7" cm="1">
        <f t="array" ref="T5">SUMPRODUCT(('Hours Log'!$A$2:$A$980=$A5)*('Hours Log'!$B$2:$B$980=T$2)*('Hours Log'!$C$2:$C$980=LOOKUP(2,1/($A$1:T$1&lt;&gt;""),$A$1:T$1))*'Hours Log'!$D$2:$D$980*'Hours Log'!$AS$2:$AS$980)</f>
        <v>768.39916839916839</v>
      </c>
      <c r="U5" s="7" cm="1">
        <f t="array" ref="U5">SUMPRODUCT(('Hours Log'!$A$2:$A$980=$A5)*('Hours Log'!$B$2:$B$980=U$2)*('Hours Log'!$C$2:$C$980=LOOKUP(2,1/($A$1:U$1&lt;&gt;""),$A$1:U$1))*'Hours Log'!$D$2:$D$980*'Hours Log'!$AS$2:$AS$980)</f>
        <v>702.34113712374574</v>
      </c>
      <c r="V5" s="7" cm="1">
        <f t="array" ref="V5">SUMPRODUCT(('Hours Log'!$A$2:$A$980=$A5)*('Hours Log'!$B$2:$B$980=V$2)*('Hours Log'!$C$2:$C$980=LOOKUP(2,1/($A$1:V$1&lt;&gt;""),$A$1:V$1))*'Hours Log'!$D$2:$D$980*'Hours Log'!$AS$2:$AS$980)</f>
        <v>768.39916839916839</v>
      </c>
      <c r="W5" s="7" cm="1">
        <f t="array" ref="W5">SUMPRODUCT(('Hours Log'!$A$2:$A$980=$A5)*('Hours Log'!$B$2:$B$980=W$2)*('Hours Log'!$C$2:$C$980=LOOKUP(2,1/($A$1:W$1&lt;&gt;""),$A$1:W$1))*'Hours Log'!$D$2:$D$980*'Hours Log'!$AS$2:$AS$980)</f>
        <v>790.50736497545006</v>
      </c>
      <c r="X5" s="7" cm="1">
        <f t="array" ref="X5">SUMPRODUCT(('Hours Log'!$A$2:$A$980=$A5)*('Hours Log'!$B$2:$B$980=X$2)*('Hours Log'!$C$2:$C$980=LOOKUP(2,1/($A$1:X$1&lt;&gt;""),$A$1:X$1))*'Hours Log'!$D$2:$D$980*'Hours Log'!$AS$2:$AS$980)</f>
        <v>3384.6153846153843</v>
      </c>
      <c r="Z5" s="98">
        <f t="shared" si="0"/>
        <v>33945.579151275284</v>
      </c>
      <c r="AA5" s="7">
        <v>28750</v>
      </c>
      <c r="AB5" s="98">
        <f t="shared" si="1"/>
        <v>-5195.5791512752839</v>
      </c>
    </row>
    <row r="6" spans="1:28" x14ac:dyDescent="0.25">
      <c r="A6" t="s">
        <v>55</v>
      </c>
      <c r="B6" s="110" cm="1">
        <f t="array" ref="B6">SUMPRODUCT(('Hours Log'!$A$2:$A$980=$A6)*('Hours Log'!$B$2:$B$980=B$2)*('Hours Log'!$C$2:$C$980=LOOKUP(2,1/($A$1:B$1&lt;&gt;""),$A$1:B$1))*'Hours Log'!$D$2:$D$980*'Hours Log'!$AS$2:$AS$980)</f>
        <v>0</v>
      </c>
      <c r="C6" s="110" cm="1">
        <f t="array" ref="C6">SUMPRODUCT(('Hours Log'!$A$2:$A$980=$A6)*('Hours Log'!$B$2:$B$980=C$2)*('Hours Log'!$C$2:$C$980=LOOKUP(2,1/($A$1:C$1&lt;&gt;""),$A$1:C$1))*'Hours Log'!$D$2:$D$980*'Hours Log'!$AS$2:$AS$980)</f>
        <v>0</v>
      </c>
      <c r="D6" s="111" cm="1">
        <f t="array" ref="D6">SUMPRODUCT(('Hours Log'!$A$2:$A$980=$A6)*('Hours Log'!$B$2:$B$980=D$2)*('Hours Log'!$C$2:$C$980=LOOKUP(2,1/($A$1:D$1&lt;&gt;""),$A$1:D$1))*'Hours Log'!$D$2:$D$980*'Hours Log'!$AS$2:$AS$980)</f>
        <v>0</v>
      </c>
      <c r="E6" s="107" cm="1">
        <f t="array" ref="E6">SUMPRODUCT(('Hours Log'!$A$2:$A$980=$A6)*('Hours Log'!$B$2:$B$980=E$2)*('Hours Log'!$C$2:$C$980=LOOKUP(2,1/($A$1:E$1&lt;&gt;""),$A$1:E$1))*'Hours Log'!$D$2:$D$980*'Hours Log'!$AS$2:$AS$980)</f>
        <v>0</v>
      </c>
      <c r="F6" s="95" cm="1">
        <f t="array" ref="F6">SUMPRODUCT(('Hours Log'!$A$2:$A$980=$A6)*('Hours Log'!$B$2:$B$980=F$2)*('Hours Log'!$C$2:$C$980=LOOKUP(2,1/($A$1:F$1&lt;&gt;""),$A$1:F$1))*'Hours Log'!$D$2:$D$980*'Hours Log'!$AS$2:$AS$980)</f>
        <v>365.93361305361304</v>
      </c>
      <c r="G6" s="95" cm="1">
        <f t="array" ref="G6">SUMPRODUCT(('Hours Log'!$A$2:$A$980=$A6)*('Hours Log'!$B$2:$B$980=G$2)*('Hours Log'!$C$2:$C$980=LOOKUP(2,1/($A$1:G$1&lt;&gt;""),$A$1:G$1))*'Hours Log'!$D$2:$D$980*'Hours Log'!$AS$2:$AS$980)</f>
        <v>640.72445253682486</v>
      </c>
      <c r="H6" s="95" cm="1">
        <f t="array" ref="H6">SUMPRODUCT(('Hours Log'!$A$2:$A$980=$A6)*('Hours Log'!$B$2:$B$980=H$2)*('Hours Log'!$C$2:$C$980=LOOKUP(2,1/($A$1:H$1&lt;&gt;""),$A$1:H$1))*'Hours Log'!$D$2:$D$980*'Hours Log'!$AS$2:$AS$980)</f>
        <v>781.37589140271496</v>
      </c>
      <c r="I6" s="95" cm="1">
        <f t="array" ref="I6">SUMPRODUCT(('Hours Log'!$A$2:$A$980=$A6)*('Hours Log'!$B$2:$B$980=I$2)*('Hours Log'!$C$2:$C$980=LOOKUP(2,1/($A$1:I$1&lt;&gt;""),$A$1:I$1))*'Hours Log'!$D$2:$D$980*'Hours Log'!$AS$2:$AS$980)</f>
        <v>0</v>
      </c>
      <c r="J6" s="95" cm="1">
        <f t="array" ref="J6">SUMPRODUCT(('Hours Log'!$A$2:$A$980=$A6)*('Hours Log'!$B$2:$B$980=J$2)*('Hours Log'!$C$2:$C$980=LOOKUP(2,1/($A$1:J$1&lt;&gt;""),$A$1:J$1))*'Hours Log'!$D$2:$D$980*'Hours Log'!$AS$2:$AS$980)</f>
        <v>186.46470135746605</v>
      </c>
      <c r="K6" s="95" cm="1">
        <f t="array" ref="K6">SUMPRODUCT(('Hours Log'!$A$2:$A$980=$A6)*('Hours Log'!$B$2:$B$980=K$2)*('Hours Log'!$C$2:$C$980=LOOKUP(2,1/($A$1:K$1&lt;&gt;""),$A$1:K$1))*'Hours Log'!$D$2:$D$980*'Hours Log'!$AS$2:$AS$980)</f>
        <v>0</v>
      </c>
      <c r="L6" s="95" cm="1">
        <f t="array" ref="L6">SUMPRODUCT(('Hours Log'!$A$2:$A$980=$A6)*('Hours Log'!$B$2:$B$980=L$2)*('Hours Log'!$C$2:$C$980=LOOKUP(2,1/($A$1:L$1&lt;&gt;""),$A$1:L$1))*'Hours Log'!$D$2:$D$980*'Hours Log'!$AS$2:$AS$980)</f>
        <v>518.34841509433954</v>
      </c>
      <c r="M6" s="95" cm="1">
        <f t="array" ref="M6">SUMPRODUCT(('Hours Log'!$A$2:$A$980=$A6)*('Hours Log'!$B$2:$B$980=M$2)*('Hours Log'!$C$2:$C$980=LOOKUP(2,1/($A$1:M$1&lt;&gt;""),$A$1:M$1))*'Hours Log'!$D$2:$D$980*'Hours Log'!$AS$2:$AS$980)</f>
        <v>1058.2920726965342</v>
      </c>
      <c r="N6" s="95" cm="1">
        <f t="array" ref="N6">SUMPRODUCT(('Hours Log'!$A$2:$A$980=$A6)*('Hours Log'!$B$2:$B$980=N$2)*('Hours Log'!$C$2:$C$980=LOOKUP(2,1/($A$1:N$1&lt;&gt;""),$A$1:N$1))*'Hours Log'!$D$2:$D$980*'Hours Log'!$AS$2:$AS$980)</f>
        <v>701.74582896890331</v>
      </c>
      <c r="O6" s="95" cm="1">
        <f t="array" ref="O6">SUMPRODUCT(('Hours Log'!$A$2:$A$980=$A6)*('Hours Log'!$B$2:$B$980=O$2)*('Hours Log'!$C$2:$C$980=LOOKUP(2,1/($A$1:O$1&lt;&gt;""),$A$1:O$1))*'Hours Log'!$D$2:$D$980*'Hours Log'!$AS$2:$AS$980)</f>
        <v>483.03236923076923</v>
      </c>
      <c r="P6" s="96" cm="1">
        <f t="array" ref="P6">SUMPRODUCT(('Hours Log'!$A$2:$A$980=$A6)*('Hours Log'!$B$2:$B$980=P$2)*('Hours Log'!$C$2:$C$980=LOOKUP(2,1/($A$1:P$1&lt;&gt;""),$A$1:P$1))*'Hours Log'!$D$2:$D$980*'Hours Log'!$AS$2:$AS$980)</f>
        <v>530.98043529411768</v>
      </c>
      <c r="Q6" s="7" cm="1">
        <f t="array" ref="Q6">SUMPRODUCT(('Hours Log'!$A$2:$A$980=$A6)*('Hours Log'!$B$2:$B$980=Q$2)*('Hours Log'!$C$2:$C$980=LOOKUP(2,1/($A$1:Q$1&lt;&gt;""),$A$1:Q$1))*'Hours Log'!$D$2:$D$980*'Hours Log'!$AS$2:$AS$980)</f>
        <v>0</v>
      </c>
      <c r="R6" s="7" cm="1">
        <f t="array" ref="R6">SUMPRODUCT(('Hours Log'!$A$2:$A$980=$A6)*('Hours Log'!$B$2:$B$980=R$2)*('Hours Log'!$C$2:$C$980=LOOKUP(2,1/($A$1:R$1&lt;&gt;""),$A$1:R$1))*'Hours Log'!$D$2:$D$980*'Hours Log'!$AS$2:$AS$980)</f>
        <v>0</v>
      </c>
      <c r="S6" s="7" cm="1">
        <f t="array" ref="S6">SUMPRODUCT(('Hours Log'!$A$2:$A$980=$A6)*('Hours Log'!$B$2:$B$980=S$2)*('Hours Log'!$C$2:$C$980=LOOKUP(2,1/($A$1:S$1&lt;&gt;""),$A$1:S$1))*'Hours Log'!$D$2:$D$980*'Hours Log'!$AS$2:$AS$980)</f>
        <v>0</v>
      </c>
      <c r="T6" s="7" cm="1">
        <f t="array" ref="T6">SUMPRODUCT(('Hours Log'!$A$2:$A$980=$A6)*('Hours Log'!$B$2:$B$980=T$2)*('Hours Log'!$C$2:$C$980=LOOKUP(2,1/($A$1:T$1&lt;&gt;""),$A$1:T$1))*'Hours Log'!$D$2:$D$980*'Hours Log'!$AS$2:$AS$980)</f>
        <v>0</v>
      </c>
      <c r="U6" s="7" cm="1">
        <f t="array" ref="U6">SUMPRODUCT(('Hours Log'!$A$2:$A$980=$A6)*('Hours Log'!$B$2:$B$980=U$2)*('Hours Log'!$C$2:$C$980=LOOKUP(2,1/($A$1:U$1&lt;&gt;""),$A$1:U$1))*'Hours Log'!$D$2:$D$980*'Hours Log'!$AS$2:$AS$980)</f>
        <v>0</v>
      </c>
      <c r="V6" s="7" cm="1">
        <f t="array" ref="V6">SUMPRODUCT(('Hours Log'!$A$2:$A$980=$A6)*('Hours Log'!$B$2:$B$980=V$2)*('Hours Log'!$C$2:$C$980=LOOKUP(2,1/($A$1:V$1&lt;&gt;""),$A$1:V$1))*'Hours Log'!$D$2:$D$980*'Hours Log'!$AS$2:$AS$980)</f>
        <v>0</v>
      </c>
      <c r="W6" s="7" cm="1">
        <f t="array" ref="W6">SUMPRODUCT(('Hours Log'!$A$2:$A$980=$A6)*('Hours Log'!$B$2:$B$980=W$2)*('Hours Log'!$C$2:$C$980=LOOKUP(2,1/($A$1:W$1&lt;&gt;""),$A$1:W$1))*'Hours Log'!$D$2:$D$980*'Hours Log'!$AS$2:$AS$980)</f>
        <v>0</v>
      </c>
      <c r="X6" s="7" cm="1">
        <f t="array" ref="X6">SUMPRODUCT(('Hours Log'!$A$2:$A$980=$A6)*('Hours Log'!$B$2:$B$980=X$2)*('Hours Log'!$C$2:$C$980=LOOKUP(2,1/($A$1:X$1&lt;&gt;""),$A$1:X$1))*'Hours Log'!$D$2:$D$980*'Hours Log'!$AS$2:$AS$980)</f>
        <v>2461.5384615384614</v>
      </c>
      <c r="Z6" s="98">
        <f t="shared" si="0"/>
        <v>7728.4362411737438</v>
      </c>
      <c r="AA6" s="7">
        <v>0</v>
      </c>
      <c r="AB6" s="98">
        <f t="shared" si="1"/>
        <v>-7728.4362411737438</v>
      </c>
    </row>
    <row r="7" spans="1:28" x14ac:dyDescent="0.25">
      <c r="A7" t="s">
        <v>74</v>
      </c>
      <c r="B7" s="110" cm="1">
        <f t="array" ref="B7">SUMPRODUCT(('Hours Log'!$A$2:$A$980=$A7)*('Hours Log'!$B$2:$B$980=B$2)*('Hours Log'!$C$2:$C$980=LOOKUP(2,1/($A$1:B$1&lt;&gt;""),$A$1:B$1))*'Hours Log'!$D$2:$D$980*'Hours Log'!$AS$2:$AS$980)</f>
        <v>0</v>
      </c>
      <c r="C7" s="110" cm="1">
        <f t="array" ref="C7">SUMPRODUCT(('Hours Log'!$A$2:$A$980=$A7)*('Hours Log'!$B$2:$B$980=C$2)*('Hours Log'!$C$2:$C$980=LOOKUP(2,1/($A$1:C$1&lt;&gt;""),$A$1:C$1))*'Hours Log'!$D$2:$D$980*'Hours Log'!$AS$2:$AS$980)</f>
        <v>0</v>
      </c>
      <c r="D7" s="111" cm="1">
        <f t="array" ref="D7">SUMPRODUCT(('Hours Log'!$A$2:$A$980=$A7)*('Hours Log'!$B$2:$B$980=D$2)*('Hours Log'!$C$2:$C$980=LOOKUP(2,1/($A$1:D$1&lt;&gt;""),$A$1:D$1))*'Hours Log'!$D$2:$D$980*'Hours Log'!$AS$2:$AS$980)</f>
        <v>0</v>
      </c>
      <c r="E7" s="107" cm="1">
        <f t="array" ref="E7">SUMPRODUCT(('Hours Log'!$A$2:$A$980=$A7)*('Hours Log'!$B$2:$B$980=E$2)*('Hours Log'!$C$2:$C$980=LOOKUP(2,1/($A$1:E$1&lt;&gt;""),$A$1:E$1))*'Hours Log'!$D$2:$D$980*'Hours Log'!$AS$2:$AS$980)</f>
        <v>171.08447960328238</v>
      </c>
      <c r="F7" s="95" cm="1">
        <f t="array" ref="F7">SUMPRODUCT(('Hours Log'!$A$2:$A$980=$A7)*('Hours Log'!$B$2:$B$980=F$2)*('Hours Log'!$C$2:$C$980=LOOKUP(2,1/($A$1:F$1&lt;&gt;""),$A$1:F$1))*'Hours Log'!$D$2:$D$980*'Hours Log'!$AS$2:$AS$980)</f>
        <v>77.187461712568592</v>
      </c>
      <c r="G7" s="95" cm="1">
        <f t="array" ref="G7">SUMPRODUCT(('Hours Log'!$A$2:$A$980=$A7)*('Hours Log'!$B$2:$B$980=G$2)*('Hours Log'!$C$2:$C$980=LOOKUP(2,1/($A$1:G$1&lt;&gt;""),$A$1:G$1))*'Hours Log'!$D$2:$D$980*'Hours Log'!$AS$2:$AS$980)</f>
        <v>68.917396179754945</v>
      </c>
      <c r="H7" s="95" cm="1">
        <f t="array" ref="H7">SUMPRODUCT(('Hours Log'!$A$2:$A$980=$A7)*('Hours Log'!$B$2:$B$980=H$2)*('Hours Log'!$C$2:$C$980=LOOKUP(2,1/($A$1:H$1&lt;&gt;""),$A$1:H$1))*'Hours Log'!$D$2:$D$980*'Hours Log'!$AS$2:$AS$980)</f>
        <v>122.42157469563622</v>
      </c>
      <c r="I7" s="95" cm="1">
        <f t="array" ref="I7">SUMPRODUCT(('Hours Log'!$A$2:$A$980=$A7)*('Hours Log'!$B$2:$B$980=I$2)*('Hours Log'!$C$2:$C$980=LOOKUP(2,1/($A$1:I$1&lt;&gt;""),$A$1:I$1))*'Hours Log'!$D$2:$D$980*'Hours Log'!$AS$2:$AS$980)</f>
        <v>0</v>
      </c>
      <c r="J7" s="95" cm="1">
        <f t="array" ref="J7">SUMPRODUCT(('Hours Log'!$A$2:$A$980=$A7)*('Hours Log'!$B$2:$B$980=J$2)*('Hours Log'!$C$2:$C$980=LOOKUP(2,1/($A$1:J$1&lt;&gt;""),$A$1:J$1))*'Hours Log'!$D$2:$D$980*'Hours Log'!$AS$2:$AS$980)</f>
        <v>255.90463004438649</v>
      </c>
      <c r="K7" s="95" cm="1">
        <f t="array" ref="K7">SUMPRODUCT(('Hours Log'!$A$2:$A$980=$A7)*('Hours Log'!$B$2:$B$980=K$2)*('Hours Log'!$C$2:$C$980=LOOKUP(2,1/($A$1:K$1&lt;&gt;""),$A$1:K$1))*'Hours Log'!$D$2:$D$980*'Hours Log'!$AS$2:$AS$980)</f>
        <v>89.519771347560166</v>
      </c>
      <c r="L7" s="95" cm="1">
        <f t="array" ref="L7">SUMPRODUCT(('Hours Log'!$A$2:$A$980=$A7)*('Hours Log'!$B$2:$B$980=L$2)*('Hours Log'!$C$2:$C$980=LOOKUP(2,1/($A$1:L$1&lt;&gt;""),$A$1:L$1))*'Hours Log'!$D$2:$D$980*'Hours Log'!$AS$2:$AS$980)</f>
        <v>0</v>
      </c>
      <c r="M7" s="95" cm="1">
        <f t="array" ref="M7">SUMPRODUCT(('Hours Log'!$A$2:$A$980=$A7)*('Hours Log'!$B$2:$B$980=M$2)*('Hours Log'!$C$2:$C$980=LOOKUP(2,1/($A$1:M$1&lt;&gt;""),$A$1:M$1))*'Hours Log'!$D$2:$D$980*'Hours Log'!$AS$2:$AS$980)</f>
        <v>0</v>
      </c>
      <c r="N7" s="95" cm="1">
        <f t="array" ref="N7">SUMPRODUCT(('Hours Log'!$A$2:$A$980=$A7)*('Hours Log'!$B$2:$B$980=N$2)*('Hours Log'!$C$2:$C$980=LOOKUP(2,1/($A$1:N$1&lt;&gt;""),$A$1:N$1))*'Hours Log'!$D$2:$D$980*'Hours Log'!$AS$2:$AS$980)</f>
        <v>0</v>
      </c>
      <c r="O7" s="95" cm="1">
        <f t="array" ref="O7">SUMPRODUCT(('Hours Log'!$A$2:$A$980=$A7)*('Hours Log'!$B$2:$B$980=O$2)*('Hours Log'!$C$2:$C$980=LOOKUP(2,1/($A$1:O$1&lt;&gt;""),$A$1:O$1))*'Hours Log'!$D$2:$D$980*'Hours Log'!$AS$2:$AS$980)</f>
        <v>0</v>
      </c>
      <c r="P7" s="96" cm="1">
        <f t="array" ref="P7">SUMPRODUCT(('Hours Log'!$A$2:$A$980=$A7)*('Hours Log'!$B$2:$B$980=P$2)*('Hours Log'!$C$2:$C$980=LOOKUP(2,1/($A$1:P$1&lt;&gt;""),$A$1:P$1))*'Hours Log'!$D$2:$D$980*'Hours Log'!$AS$2:$AS$980)</f>
        <v>0</v>
      </c>
      <c r="Q7" s="7" cm="1">
        <f t="array" ref="Q7">SUMPRODUCT(('Hours Log'!$A$2:$A$980=$A7)*('Hours Log'!$B$2:$B$980=Q$2)*('Hours Log'!$C$2:$C$980=LOOKUP(2,1/($A$1:Q$1&lt;&gt;""),$A$1:Q$1))*'Hours Log'!$D$2:$D$980*'Hours Log'!$AS$2:$AS$980)</f>
        <v>0</v>
      </c>
      <c r="R7" s="7" cm="1">
        <f t="array" ref="R7">SUMPRODUCT(('Hours Log'!$A$2:$A$980=$A7)*('Hours Log'!$B$2:$B$980=R$2)*('Hours Log'!$C$2:$C$980=LOOKUP(2,1/($A$1:R$1&lt;&gt;""),$A$1:R$1))*'Hours Log'!$D$2:$D$980*'Hours Log'!$AS$2:$AS$980)</f>
        <v>0</v>
      </c>
      <c r="S7" s="7" cm="1">
        <f t="array" ref="S7">SUMPRODUCT(('Hours Log'!$A$2:$A$980=$A7)*('Hours Log'!$B$2:$B$980=S$2)*('Hours Log'!$C$2:$C$980=LOOKUP(2,1/($A$1:S$1&lt;&gt;""),$A$1:S$1))*'Hours Log'!$D$2:$D$980*'Hours Log'!$AS$2:$AS$980)</f>
        <v>0</v>
      </c>
      <c r="T7" s="7" cm="1">
        <f t="array" ref="T7">SUMPRODUCT(('Hours Log'!$A$2:$A$980=$A7)*('Hours Log'!$B$2:$B$980=T$2)*('Hours Log'!$C$2:$C$980=LOOKUP(2,1/($A$1:T$1&lt;&gt;""),$A$1:T$1))*'Hours Log'!$D$2:$D$980*'Hours Log'!$AS$2:$AS$980)</f>
        <v>0</v>
      </c>
      <c r="U7" s="7" cm="1">
        <f t="array" ref="U7">SUMPRODUCT(('Hours Log'!$A$2:$A$980=$A7)*('Hours Log'!$B$2:$B$980=U$2)*('Hours Log'!$C$2:$C$980=LOOKUP(2,1/($A$1:U$1&lt;&gt;""),$A$1:U$1))*'Hours Log'!$D$2:$D$980*'Hours Log'!$AS$2:$AS$980)</f>
        <v>0</v>
      </c>
      <c r="V7" s="7" cm="1">
        <f t="array" ref="V7">SUMPRODUCT(('Hours Log'!$A$2:$A$980=$A7)*('Hours Log'!$B$2:$B$980=V$2)*('Hours Log'!$C$2:$C$980=LOOKUP(2,1/($A$1:V$1&lt;&gt;""),$A$1:V$1))*'Hours Log'!$D$2:$D$980*'Hours Log'!$AS$2:$AS$980)</f>
        <v>0</v>
      </c>
      <c r="W7" s="7" cm="1">
        <f t="array" ref="W7">SUMPRODUCT(('Hours Log'!$A$2:$A$980=$A7)*('Hours Log'!$B$2:$B$980=W$2)*('Hours Log'!$C$2:$C$980=LOOKUP(2,1/($A$1:W$1&lt;&gt;""),$A$1:W$1))*'Hours Log'!$D$2:$D$980*'Hours Log'!$AS$2:$AS$980)</f>
        <v>0</v>
      </c>
      <c r="X7" s="7" cm="1">
        <f t="array" ref="X7">SUMPRODUCT(('Hours Log'!$A$2:$A$980=$A7)*('Hours Log'!$B$2:$B$980=X$2)*('Hours Log'!$C$2:$C$980=LOOKUP(2,1/($A$1:X$1&lt;&gt;""),$A$1:X$1))*'Hours Log'!$D$2:$D$980*'Hours Log'!$AS$2:$AS$980)</f>
        <v>0</v>
      </c>
      <c r="Z7" s="98">
        <f>SUM(B7:Y7)</f>
        <v>785.03531358318889</v>
      </c>
      <c r="AA7" s="7">
        <v>36416.589999999997</v>
      </c>
      <c r="AB7" s="98">
        <f t="shared" si="1"/>
        <v>35631.554686416806</v>
      </c>
    </row>
    <row r="8" spans="1:28" x14ac:dyDescent="0.25">
      <c r="A8" t="s">
        <v>58</v>
      </c>
      <c r="B8" s="110" cm="1">
        <f t="array" ref="B8">SUMPRODUCT(('Hours Log'!$A$2:$A$980=$A8)*('Hours Log'!$B$2:$B$980=B$2)*('Hours Log'!$C$2:$C$980=LOOKUP(2,1/($A$1:B$1&lt;&gt;""),$A$1:B$1))*'Hours Log'!$D$2:$D$980*'Hours Log'!$AS$2:$AS$980)</f>
        <v>149.20945456730769</v>
      </c>
      <c r="C8" s="110" cm="1">
        <f t="array" ref="C8">SUMPRODUCT(('Hours Log'!$A$2:$A$980=$A8)*('Hours Log'!$B$2:$B$980=C$2)*('Hours Log'!$C$2:$C$980=LOOKUP(2,1/($A$1:C$1&lt;&gt;""),$A$1:C$1))*'Hours Log'!$D$2:$D$980*'Hours Log'!$AS$2:$AS$980)</f>
        <v>394.11876620192311</v>
      </c>
      <c r="D8" s="111" cm="1">
        <f t="array" ref="D8">SUMPRODUCT(('Hours Log'!$A$2:$A$980=$A8)*('Hours Log'!$B$2:$B$980=D$2)*('Hours Log'!$C$2:$C$980=LOOKUP(2,1/($A$1:D$1&lt;&gt;""),$A$1:D$1))*'Hours Log'!$D$2:$D$980*'Hours Log'!$AS$2:$AS$980)</f>
        <v>411.26927822115391</v>
      </c>
      <c r="E8" s="107" cm="1">
        <f t="array" ref="E8">SUMPRODUCT(('Hours Log'!$A$2:$A$980=$A8)*('Hours Log'!$B$2:$B$980=E$2)*('Hours Log'!$C$2:$C$980=LOOKUP(2,1/($A$1:E$1&lt;&gt;""),$A$1:E$1))*'Hours Log'!$D$2:$D$980*'Hours Log'!$AS$2:$AS$980)</f>
        <v>332.61866269604462</v>
      </c>
      <c r="F8" s="95" cm="1">
        <f t="array" ref="F8">SUMPRODUCT(('Hours Log'!$A$2:$A$980=$A8)*('Hours Log'!$B$2:$B$980=F$2)*('Hours Log'!$C$2:$C$980=LOOKUP(2,1/($A$1:F$1&lt;&gt;""),$A$1:F$1))*'Hours Log'!$D$2:$D$980*'Hours Log'!$AS$2:$AS$980)</f>
        <v>415.8915520058477</v>
      </c>
      <c r="G8" s="95" cm="1">
        <f t="array" ref="G8">SUMPRODUCT(('Hours Log'!$A$2:$A$980=$A8)*('Hours Log'!$B$2:$B$980=G$2)*('Hours Log'!$C$2:$C$980=LOOKUP(2,1/($A$1:G$1&lt;&gt;""),$A$1:G$1))*'Hours Log'!$D$2:$D$980*'Hours Log'!$AS$2:$AS$980)</f>
        <v>603.8978696853552</v>
      </c>
      <c r="H8" s="95" cm="1">
        <f t="array" ref="H8">SUMPRODUCT(('Hours Log'!$A$2:$A$980=$A8)*('Hours Log'!$B$2:$B$980=H$2)*('Hours Log'!$C$2:$C$980=LOOKUP(2,1/($A$1:H$1&lt;&gt;""),$A$1:H$1))*'Hours Log'!$D$2:$D$980*'Hours Log'!$AS$2:$AS$980)</f>
        <v>851.84441325391822</v>
      </c>
      <c r="I8" s="95" cm="1">
        <f t="array" ref="I8">SUMPRODUCT(('Hours Log'!$A$2:$A$980=$A8)*('Hours Log'!$B$2:$B$980=I$2)*('Hours Log'!$C$2:$C$980=LOOKUP(2,1/($A$1:I$1&lt;&gt;""),$A$1:I$1))*'Hours Log'!$D$2:$D$980*'Hours Log'!$AS$2:$AS$980)</f>
        <v>831.24322254220431</v>
      </c>
      <c r="J8" s="95" cm="1">
        <f t="array" ref="J8">SUMPRODUCT(('Hours Log'!$A$2:$A$980=$A8)*('Hours Log'!$B$2:$B$980=J$2)*('Hours Log'!$C$2:$C$980=LOOKUP(2,1/($A$1:J$1&lt;&gt;""),$A$1:J$1))*'Hours Log'!$D$2:$D$980*'Hours Log'!$AS$2:$AS$980)</f>
        <v>340.78637557850635</v>
      </c>
      <c r="K8" s="95" cm="1">
        <f t="array" ref="K8">SUMPRODUCT(('Hours Log'!$A$2:$A$980=$A8)*('Hours Log'!$B$2:$B$980=K$2)*('Hours Log'!$C$2:$C$980=LOOKUP(2,1/($A$1:K$1&lt;&gt;""),$A$1:K$1))*'Hours Log'!$D$2:$D$980*'Hours Log'!$AS$2:$AS$980)</f>
        <v>228.46867010281534</v>
      </c>
      <c r="L8" s="95" cm="1">
        <f t="array" ref="L8">SUMPRODUCT(('Hours Log'!$A$2:$A$980=$A8)*('Hours Log'!$B$2:$B$980=L$2)*('Hours Log'!$C$2:$C$980=LOOKUP(2,1/($A$1:L$1&lt;&gt;""),$A$1:L$1))*'Hours Log'!$D$2:$D$980*'Hours Log'!$AS$2:$AS$980)</f>
        <v>228.73214435026449</v>
      </c>
      <c r="M8" s="95" cm="1">
        <f t="array" ref="M8">SUMPRODUCT(('Hours Log'!$A$2:$A$980=$A8)*('Hours Log'!$B$2:$B$980=M$2)*('Hours Log'!$C$2:$C$980=LOOKUP(2,1/($A$1:M$1&lt;&gt;""),$A$1:M$1))*'Hours Log'!$D$2:$D$980*'Hours Log'!$AS$2:$AS$980)</f>
        <v>297.02049570524417</v>
      </c>
      <c r="N8" s="95" cm="1">
        <f t="array" ref="N8">SUMPRODUCT(('Hours Log'!$A$2:$A$980=$A8)*('Hours Log'!$B$2:$B$980=N$2)*('Hours Log'!$C$2:$C$980=LOOKUP(2,1/($A$1:N$1&lt;&gt;""),$A$1:N$1))*'Hours Log'!$D$2:$D$980*'Hours Log'!$AS$2:$AS$980)</f>
        <v>317.66604104520752</v>
      </c>
      <c r="O8" s="95" cm="1">
        <f t="array" ref="O8">SUMPRODUCT(('Hours Log'!$A$2:$A$980=$A8)*('Hours Log'!$B$2:$B$980=O$2)*('Hours Log'!$C$2:$C$980=LOOKUP(2,1/($A$1:O$1&lt;&gt;""),$A$1:O$1))*'Hours Log'!$D$2:$D$980*'Hours Log'!$AS$2:$AS$980)</f>
        <v>391.20216844450124</v>
      </c>
      <c r="P8" s="96" cm="1">
        <f t="array" ref="P8">SUMPRODUCT(('Hours Log'!$A$2:$A$980=$A8)*('Hours Log'!$B$2:$B$980=P$2)*('Hours Log'!$C$2:$C$980=LOOKUP(2,1/($A$1:P$1&lt;&gt;""),$A$1:P$1))*'Hours Log'!$D$2:$D$980*'Hours Log'!$AS$2:$AS$980)</f>
        <v>343.53013900437912</v>
      </c>
      <c r="Q8" s="7" cm="1">
        <f t="array" ref="Q8">SUMPRODUCT(('Hours Log'!$A$2:$A$980=$A8)*('Hours Log'!$B$2:$B$980=Q$2)*('Hours Log'!$C$2:$C$980=LOOKUP(2,1/($A$1:Q$1&lt;&gt;""),$A$1:Q$1))*'Hours Log'!$D$2:$D$980*'Hours Log'!$AS$2:$AS$980)</f>
        <v>563.0625</v>
      </c>
      <c r="R8" s="7" cm="1">
        <f t="array" ref="R8">SUMPRODUCT(('Hours Log'!$A$2:$A$980=$A8)*('Hours Log'!$B$2:$B$980=R$2)*('Hours Log'!$C$2:$C$980=LOOKUP(2,1/($A$1:R$1&lt;&gt;""),$A$1:R$1))*'Hours Log'!$D$2:$D$980*'Hours Log'!$AS$2:$AS$980)</f>
        <v>703.36538461538453</v>
      </c>
      <c r="S8" s="7" cm="1">
        <f t="array" ref="S8">SUMPRODUCT(('Hours Log'!$A$2:$A$980=$A8)*('Hours Log'!$B$2:$B$980=S$2)*('Hours Log'!$C$2:$C$980=LOOKUP(2,1/($A$1:S$1&lt;&gt;""),$A$1:S$1))*'Hours Log'!$D$2:$D$980*'Hours Log'!$AS$2:$AS$980)</f>
        <v>0</v>
      </c>
      <c r="T8" s="7" cm="1">
        <f t="array" ref="T8">SUMPRODUCT(('Hours Log'!$A$2:$A$980=$A8)*('Hours Log'!$B$2:$B$980=T$2)*('Hours Log'!$C$2:$C$980=LOOKUP(2,1/($A$1:T$1&lt;&gt;""),$A$1:T$1))*'Hours Log'!$D$2:$D$980*'Hours Log'!$AS$2:$AS$980)</f>
        <v>714.10096153846143</v>
      </c>
      <c r="U8" s="7" cm="1">
        <f t="array" ref="U8">SUMPRODUCT(('Hours Log'!$A$2:$A$980=$A8)*('Hours Log'!$B$2:$B$980=U$2)*('Hours Log'!$C$2:$C$980=LOOKUP(2,1/($A$1:U$1&lt;&gt;""),$A$1:U$1))*'Hours Log'!$D$2:$D$980*'Hours Log'!$AS$2:$AS$980)</f>
        <v>2618.3701923076924</v>
      </c>
      <c r="V8" s="7" cm="1">
        <f t="array" ref="V8">SUMPRODUCT(('Hours Log'!$A$2:$A$980=$A8)*('Hours Log'!$B$2:$B$980=V$2)*('Hours Log'!$C$2:$C$980=LOOKUP(2,1/($A$1:V$1&lt;&gt;""),$A$1:V$1))*'Hours Log'!$D$2:$D$980*'Hours Log'!$AS$2:$AS$980)</f>
        <v>0</v>
      </c>
      <c r="W8" s="7" cm="1">
        <f t="array" ref="W8">SUMPRODUCT(('Hours Log'!$A$2:$A$980=$A8)*('Hours Log'!$B$2:$B$980=W$2)*('Hours Log'!$C$2:$C$980=LOOKUP(2,1/($A$1:W$1&lt;&gt;""),$A$1:W$1))*'Hours Log'!$D$2:$D$980*'Hours Log'!$AS$2:$AS$980)</f>
        <v>0</v>
      </c>
      <c r="X8" s="7" cm="1">
        <f t="array" ref="X8">SUMPRODUCT(('Hours Log'!$A$2:$A$980=$A8)*('Hours Log'!$B$2:$B$980=X$2)*('Hours Log'!$C$2:$C$980=LOOKUP(2,1/($A$1:X$1&lt;&gt;""),$A$1:X$1))*'Hours Log'!$D$2:$D$980*'Hours Log'!$AS$2:$AS$980)</f>
        <v>0</v>
      </c>
      <c r="Z8" s="98">
        <f t="shared" si="0"/>
        <v>10736.398291866211</v>
      </c>
      <c r="AA8" s="7">
        <v>25875</v>
      </c>
      <c r="AB8" s="98">
        <f t="shared" si="1"/>
        <v>15138.601708133789</v>
      </c>
    </row>
    <row r="9" spans="1:28" x14ac:dyDescent="0.25">
      <c r="A9" t="s">
        <v>75</v>
      </c>
      <c r="B9" s="110" cm="1">
        <f t="array" ref="B9">SUMPRODUCT(('Hours Log'!$A$2:$A$980=$A9)*('Hours Log'!$B$2:$B$980=B$2)*('Hours Log'!$C$2:$C$980=LOOKUP(2,1/($A$1:B$1&lt;&gt;""),$A$1:B$1))*'Hours Log'!$D$2:$D$980*'Hours Log'!$AS$2:$AS$980)</f>
        <v>317.30769230769232</v>
      </c>
      <c r="C9" s="110" cm="1">
        <f t="array" ref="C9">SUMPRODUCT(('Hours Log'!$A$2:$A$980=$A9)*('Hours Log'!$B$2:$B$980=C$2)*('Hours Log'!$C$2:$C$980=LOOKUP(2,1/($A$1:C$1&lt;&gt;""),$A$1:C$1))*'Hours Log'!$D$2:$D$980*'Hours Log'!$AS$2:$AS$980)</f>
        <v>317.30769230769232</v>
      </c>
      <c r="D9" s="111" cm="1">
        <f t="array" ref="D9">SUMPRODUCT(('Hours Log'!$A$2:$A$980=$A9)*('Hours Log'!$B$2:$B$980=D$2)*('Hours Log'!$C$2:$C$980=LOOKUP(2,1/($A$1:D$1&lt;&gt;""),$A$1:D$1))*'Hours Log'!$D$2:$D$980*'Hours Log'!$AS$2:$AS$980)</f>
        <v>317.30769230769232</v>
      </c>
      <c r="E9" s="107" cm="1">
        <f t="array" ref="E9">SUMPRODUCT(('Hours Log'!$A$2:$A$980=$A9)*('Hours Log'!$B$2:$B$980=E$2)*('Hours Log'!$C$2:$C$980=LOOKUP(2,1/($A$1:E$1&lt;&gt;""),$A$1:E$1))*'Hours Log'!$D$2:$D$980*'Hours Log'!$AS$2:$AS$980)</f>
        <v>347.95673076923083</v>
      </c>
      <c r="F9" s="95" cm="1">
        <f t="array" ref="F9">SUMPRODUCT(('Hours Log'!$A$2:$A$980=$A9)*('Hours Log'!$B$2:$B$980=F$2)*('Hours Log'!$C$2:$C$980=LOOKUP(2,1/($A$1:F$1&lt;&gt;""),$A$1:F$1))*'Hours Log'!$D$2:$D$980*'Hours Log'!$AS$2:$AS$980)</f>
        <v>347.95673076923083</v>
      </c>
      <c r="G9" s="95" cm="1">
        <f t="array" ref="G9">SUMPRODUCT(('Hours Log'!$A$2:$A$980=$A9)*('Hours Log'!$B$2:$B$980=G$2)*('Hours Log'!$C$2:$C$980=LOOKUP(2,1/($A$1:G$1&lt;&gt;""),$A$1:G$1))*'Hours Log'!$D$2:$D$980*'Hours Log'!$AS$2:$AS$980)</f>
        <v>347.95673076923083</v>
      </c>
      <c r="H9" s="95" cm="1">
        <f t="array" ref="H9">SUMPRODUCT(('Hours Log'!$A$2:$A$980=$A9)*('Hours Log'!$B$2:$B$980=H$2)*('Hours Log'!$C$2:$C$980=LOOKUP(2,1/($A$1:H$1&lt;&gt;""),$A$1:H$1))*'Hours Log'!$D$2:$D$980*'Hours Log'!$AS$2:$AS$980)</f>
        <v>347.95673076923083</v>
      </c>
      <c r="I9" s="95" cm="1">
        <f t="array" ref="I9">SUMPRODUCT(('Hours Log'!$A$2:$A$980=$A9)*('Hours Log'!$B$2:$B$980=I$2)*('Hours Log'!$C$2:$C$980=LOOKUP(2,1/($A$1:I$1&lt;&gt;""),$A$1:I$1))*'Hours Log'!$D$2:$D$980*'Hours Log'!$AS$2:$AS$980)</f>
        <v>347.95673076923083</v>
      </c>
      <c r="J9" s="95" cm="1">
        <f t="array" ref="J9">SUMPRODUCT(('Hours Log'!$A$2:$A$980=$A9)*('Hours Log'!$B$2:$B$980=J$2)*('Hours Log'!$C$2:$C$980=LOOKUP(2,1/($A$1:J$1&lt;&gt;""),$A$1:J$1))*'Hours Log'!$D$2:$D$980*'Hours Log'!$AS$2:$AS$980)</f>
        <v>347.95673076923083</v>
      </c>
      <c r="K9" s="95" cm="1">
        <f t="array" ref="K9">SUMPRODUCT(('Hours Log'!$A$2:$A$980=$A9)*('Hours Log'!$B$2:$B$980=K$2)*('Hours Log'!$C$2:$C$980=LOOKUP(2,1/($A$1:K$1&lt;&gt;""),$A$1:K$1))*'Hours Log'!$D$2:$D$980*'Hours Log'!$AS$2:$AS$980)</f>
        <v>347.95673076923083</v>
      </c>
      <c r="L9" s="95" cm="1">
        <f t="array" ref="L9">SUMPRODUCT(('Hours Log'!$A$2:$A$980=$A9)*('Hours Log'!$B$2:$B$980=L$2)*('Hours Log'!$C$2:$C$980=LOOKUP(2,1/($A$1:L$1&lt;&gt;""),$A$1:L$1))*'Hours Log'!$D$2:$D$980*'Hours Log'!$AS$2:$AS$980)</f>
        <v>347.95673076923083</v>
      </c>
      <c r="M9" s="95" cm="1">
        <f t="array" ref="M9">SUMPRODUCT(('Hours Log'!$A$2:$A$980=$A9)*('Hours Log'!$B$2:$B$980=M$2)*('Hours Log'!$C$2:$C$980=LOOKUP(2,1/($A$1:M$1&lt;&gt;""),$A$1:M$1))*'Hours Log'!$D$2:$D$980*'Hours Log'!$AS$2:$AS$980)</f>
        <v>347.95673076923083</v>
      </c>
      <c r="N9" s="95" cm="1">
        <f t="array" ref="N9">SUMPRODUCT(('Hours Log'!$A$2:$A$980=$A9)*('Hours Log'!$B$2:$B$980=N$2)*('Hours Log'!$C$2:$C$980=LOOKUP(2,1/($A$1:N$1&lt;&gt;""),$A$1:N$1))*'Hours Log'!$D$2:$D$980*'Hours Log'!$AS$2:$AS$980)</f>
        <v>347.95673076923083</v>
      </c>
      <c r="O9" s="95" cm="1">
        <f t="array" ref="O9">SUMPRODUCT(('Hours Log'!$A$2:$A$980=$A9)*('Hours Log'!$B$2:$B$980=O$2)*('Hours Log'!$C$2:$C$980=LOOKUP(2,1/($A$1:O$1&lt;&gt;""),$A$1:O$1))*'Hours Log'!$D$2:$D$980*'Hours Log'!$AS$2:$AS$980)</f>
        <v>347.95673076923083</v>
      </c>
      <c r="P9" s="96" cm="1">
        <f t="array" ref="P9">SUMPRODUCT(('Hours Log'!$A$2:$A$980=$A9)*('Hours Log'!$B$2:$B$980=P$2)*('Hours Log'!$C$2:$C$980=LOOKUP(2,1/($A$1:P$1&lt;&gt;""),$A$1:P$1))*'Hours Log'!$D$2:$D$980*'Hours Log'!$AS$2:$AS$980)</f>
        <v>347.95673076923083</v>
      </c>
      <c r="Q9" s="7" cm="1">
        <f t="array" ref="Q9">SUMPRODUCT(('Hours Log'!$A$2:$A$980=$A9)*('Hours Log'!$B$2:$B$980=Q$2)*('Hours Log'!$C$2:$C$980=LOOKUP(2,1/($A$1:Q$1&lt;&gt;""),$A$1:Q$1))*'Hours Log'!$D$2:$D$980*'Hours Log'!$AS$2:$AS$980)</f>
        <v>389.42307692307691</v>
      </c>
      <c r="R9" s="7" cm="1">
        <f t="array" ref="R9">SUMPRODUCT(('Hours Log'!$A$2:$A$980=$A9)*('Hours Log'!$B$2:$B$980=R$2)*('Hours Log'!$C$2:$C$980=LOOKUP(2,1/($A$1:R$1&lt;&gt;""),$A$1:R$1))*'Hours Log'!$D$2:$D$980*'Hours Log'!$AS$2:$AS$980)</f>
        <v>389.42307692307691</v>
      </c>
      <c r="S9" s="7" cm="1">
        <f t="array" ref="S9">SUMPRODUCT(('Hours Log'!$A$2:$A$980=$A9)*('Hours Log'!$B$2:$B$980=S$2)*('Hours Log'!$C$2:$C$980=LOOKUP(2,1/($A$1:S$1&lt;&gt;""),$A$1:S$1))*'Hours Log'!$D$2:$D$980*'Hours Log'!$AS$2:$AS$980)</f>
        <v>389.42307692307691</v>
      </c>
      <c r="T9" s="7" cm="1">
        <f t="array" ref="T9">SUMPRODUCT(('Hours Log'!$A$2:$A$980=$A9)*('Hours Log'!$B$2:$B$980=T$2)*('Hours Log'!$C$2:$C$980=LOOKUP(2,1/($A$1:T$1&lt;&gt;""),$A$1:T$1))*'Hours Log'!$D$2:$D$980*'Hours Log'!$AS$2:$AS$980)</f>
        <v>389.42307692307691</v>
      </c>
      <c r="U9" s="7" cm="1">
        <f t="array" ref="U9">SUMPRODUCT(('Hours Log'!$A$2:$A$980=$A9)*('Hours Log'!$B$2:$B$980=U$2)*('Hours Log'!$C$2:$C$980=LOOKUP(2,1/($A$1:U$1&lt;&gt;""),$A$1:U$1))*'Hours Log'!$D$2:$D$980*'Hours Log'!$AS$2:$AS$980)</f>
        <v>389.42307692307691</v>
      </c>
      <c r="V9" s="7" cm="1">
        <f t="array" ref="V9">SUMPRODUCT(('Hours Log'!$A$2:$A$980=$A9)*('Hours Log'!$B$2:$B$980=V$2)*('Hours Log'!$C$2:$C$980=LOOKUP(2,1/($A$1:V$1&lt;&gt;""),$A$1:V$1))*'Hours Log'!$D$2:$D$980*'Hours Log'!$AS$2:$AS$980)</f>
        <v>0</v>
      </c>
      <c r="W9" s="7" cm="1">
        <f t="array" ref="W9">SUMPRODUCT(('Hours Log'!$A$2:$A$980=$A9)*('Hours Log'!$B$2:$B$980=W$2)*('Hours Log'!$C$2:$C$980=LOOKUP(2,1/($A$1:W$1&lt;&gt;""),$A$1:W$1))*'Hours Log'!$D$2:$D$980*'Hours Log'!$AS$2:$AS$980)</f>
        <v>0</v>
      </c>
      <c r="X9" s="7" cm="1">
        <f t="array" ref="X9">SUMPRODUCT(('Hours Log'!$A$2:$A$980=$A9)*('Hours Log'!$B$2:$B$980=X$2)*('Hours Log'!$C$2:$C$980=LOOKUP(2,1/($A$1:X$1&lt;&gt;""),$A$1:X$1))*'Hours Log'!$D$2:$D$980*'Hours Log'!$AS$2:$AS$980)</f>
        <v>0</v>
      </c>
      <c r="Z9" s="98">
        <f t="shared" si="0"/>
        <v>7074.5192307692323</v>
      </c>
      <c r="AA9" s="7"/>
      <c r="AB9" s="98">
        <f t="shared" si="1"/>
        <v>-7074.5192307692323</v>
      </c>
    </row>
    <row r="14" spans="1:28" x14ac:dyDescent="0.25">
      <c r="Z14" s="98">
        <f>SUM(Z3:Z13)</f>
        <v>193368.76510083408</v>
      </c>
    </row>
    <row r="17" spans="1:28" x14ac:dyDescent="0.25">
      <c r="B17" s="128">
        <v>2024</v>
      </c>
      <c r="C17" s="128"/>
      <c r="D17" s="128"/>
      <c r="E17" s="128">
        <v>2025</v>
      </c>
      <c r="F17" s="128"/>
      <c r="G17" s="128"/>
      <c r="H17" s="128"/>
      <c r="I17" s="128"/>
      <c r="J17" s="128"/>
      <c r="K17" s="128"/>
      <c r="L17" s="128"/>
      <c r="M17" s="128"/>
      <c r="N17" s="128"/>
      <c r="O17" s="128"/>
      <c r="P17" s="128"/>
      <c r="Q17" s="128">
        <v>2026</v>
      </c>
      <c r="R17" s="128"/>
      <c r="S17" s="128"/>
      <c r="T17" s="128"/>
      <c r="U17" s="128"/>
      <c r="V17" s="1"/>
      <c r="W17" s="1"/>
      <c r="X17" s="1"/>
    </row>
    <row r="18" spans="1:28" x14ac:dyDescent="0.25">
      <c r="A18" s="62" t="s">
        <v>3</v>
      </c>
      <c r="B18" s="10" t="s">
        <v>15</v>
      </c>
      <c r="C18" s="10" t="s">
        <v>16</v>
      </c>
      <c r="D18" s="117" t="s">
        <v>17</v>
      </c>
      <c r="E18" s="70" t="s">
        <v>6</v>
      </c>
      <c r="F18" s="10" t="s">
        <v>7</v>
      </c>
      <c r="G18" s="10" t="s">
        <v>8</v>
      </c>
      <c r="H18" s="10" t="s">
        <v>9</v>
      </c>
      <c r="I18" s="10" t="s">
        <v>10</v>
      </c>
      <c r="J18" s="10" t="s">
        <v>11</v>
      </c>
      <c r="K18" s="10" t="s">
        <v>12</v>
      </c>
      <c r="L18" s="10" t="s">
        <v>13</v>
      </c>
      <c r="M18" s="10" t="s">
        <v>14</v>
      </c>
      <c r="N18" s="10" t="s">
        <v>15</v>
      </c>
      <c r="O18" s="10" t="s">
        <v>16</v>
      </c>
      <c r="P18" s="117" t="s">
        <v>17</v>
      </c>
      <c r="Q18" s="10" t="s">
        <v>6</v>
      </c>
      <c r="R18" s="10" t="s">
        <v>7</v>
      </c>
      <c r="S18" s="10" t="s">
        <v>8</v>
      </c>
      <c r="T18" s="10" t="s">
        <v>9</v>
      </c>
      <c r="U18" s="10" t="s">
        <v>10</v>
      </c>
      <c r="V18" s="10" t="s">
        <v>11</v>
      </c>
      <c r="W18" s="10" t="s">
        <v>12</v>
      </c>
      <c r="X18" s="10" t="s">
        <v>13</v>
      </c>
      <c r="Y18" s="10" t="s">
        <v>121</v>
      </c>
      <c r="Z18" s="1" t="s">
        <v>122</v>
      </c>
      <c r="AA18" s="1" t="s">
        <v>123</v>
      </c>
      <c r="AB18" s="1" t="s">
        <v>124</v>
      </c>
    </row>
    <row r="19" spans="1:28" x14ac:dyDescent="0.25">
      <c r="A19" t="s">
        <v>56</v>
      </c>
      <c r="B19" s="110" cm="1">
        <f t="array" ref="B19">SUMPRODUCT(('Hours Log'!$A$2:$A$980=$A19)*('Hours Log'!$B$2:$B$980=B$2)*('Hours Log'!$C$2:$C$980=LOOKUP(2,1/($A$1:B$1&lt;&gt;""),$A$1:B$1))*(('Hours Log'!$F$2:$F$980)-('Hours Log'!$D$2:$D$980))*'Hours Log'!$AS$2:$AS$980)</f>
        <v>205.56433508413471</v>
      </c>
      <c r="C19" s="110" cm="1">
        <f t="array" ref="C19">SUMPRODUCT(('Hours Log'!$A$2:$A$980=$A19)*('Hours Log'!$B$2:$B$980=C$2)*('Hours Log'!$C$2:$C$980=LOOKUP(2,1/($A$1:C$1&lt;&gt;""),$A$1:C$1))*(('Hours Log'!$F$2:$F$980)-('Hours Log'!$D$2:$D$980))*'Hours Log'!$AS$2:$AS$980)</f>
        <v>296.01264252115396</v>
      </c>
      <c r="D19" s="111" cm="1">
        <f t="array" ref="D19">SUMPRODUCT(('Hours Log'!$A$2:$A$980=$A19)*('Hours Log'!$B$2:$B$980=D$2)*('Hours Log'!$C$2:$C$980=LOOKUP(2,1/($A$1:D$1&lt;&gt;""),$A$1:D$1))*(('Hours Log'!$F$2:$F$980)-('Hours Log'!$D$2:$D$980))*'Hours Log'!$AS$2:$AS$980)</f>
        <v>287.79006911778856</v>
      </c>
      <c r="E19" s="107" cm="1">
        <f t="array" ref="E19">SUMPRODUCT(('Hours Log'!$A$2:$A$980=$A19)*('Hours Log'!$B$2:$B$980=E$2)*('Hours Log'!$C$2:$C$980=LOOKUP(2,1/($A$1:E$1&lt;&gt;""),$A$1:E$1))*(('Hours Log'!$F$2:$F$980)-('Hours Log'!$D$2:$D$980))*'Hours Log'!$AS$2:$AS$980)</f>
        <v>641.04852500000004</v>
      </c>
      <c r="F19" s="95" cm="1">
        <f t="array" ref="F19">SUMPRODUCT(('Hours Log'!$A$2:$A$980=$A19)*('Hours Log'!$B$2:$B$980=F$2)*('Hours Log'!$C$2:$C$980=LOOKUP(2,1/($A$1:F$1&lt;&gt;""),$A$1:F$1))*(('Hours Log'!$F$2:$F$980)-('Hours Log'!$D$2:$D$980))*'Hours Log'!$AS$2:$AS$980)</f>
        <v>729.80908999999997</v>
      </c>
      <c r="G19" s="95" cm="1">
        <f t="array" ref="G19">SUMPRODUCT(('Hours Log'!$A$2:$A$980=$A19)*('Hours Log'!$B$2:$B$980=G$2)*('Hours Log'!$C$2:$C$980=LOOKUP(2,1/($A$1:G$1&lt;&gt;""),$A$1:G$1))*(('Hours Log'!$F$2:$F$980)-('Hours Log'!$D$2:$D$980))*'Hours Log'!$AS$2:$AS$980)</f>
        <v>808.70736999999997</v>
      </c>
      <c r="H19" s="95" cm="1">
        <f t="array" ref="H19">SUMPRODUCT(('Hours Log'!$A$2:$A$980=$A19)*('Hours Log'!$B$2:$B$980=H$2)*('Hours Log'!$C$2:$C$980=LOOKUP(2,1/($A$1:H$1&lt;&gt;""),$A$1:H$1))*(('Hours Log'!$F$2:$F$980)-('Hours Log'!$D$2:$D$980))*'Hours Log'!$AS$2:$AS$980)</f>
        <v>793.49127314285715</v>
      </c>
      <c r="I19" s="95" cm="1">
        <f t="array" ref="I19">SUMPRODUCT(('Hours Log'!$A$2:$A$980=$A19)*('Hours Log'!$B$2:$B$980=I$2)*('Hours Log'!$C$2:$C$980=LOOKUP(2,1/($A$1:I$1&lt;&gt;""),$A$1:I$1))*(('Hours Log'!$F$2:$F$980)-('Hours Log'!$D$2:$D$980))*'Hours Log'!$AS$2:$AS$980)</f>
        <v>829.3085875555555</v>
      </c>
      <c r="J19" s="95" cm="1">
        <f t="array" ref="J19">SUMPRODUCT(('Hours Log'!$A$2:$A$980=$A19)*('Hours Log'!$B$2:$B$980=J$2)*('Hours Log'!$C$2:$C$980=LOOKUP(2,1/($A$1:J$1&lt;&gt;""),$A$1:J$1))*(('Hours Log'!$F$2:$F$980)-('Hours Log'!$D$2:$D$980))*'Hours Log'!$AS$2:$AS$980)</f>
        <v>788.9828</v>
      </c>
      <c r="K19" s="95" cm="1">
        <f t="array" ref="K19">SUMPRODUCT(('Hours Log'!$A$2:$A$980=$A19)*('Hours Log'!$B$2:$B$980=K$2)*('Hours Log'!$C$2:$C$980=LOOKUP(2,1/($A$1:K$1&lt;&gt;""),$A$1:K$1))*(('Hours Log'!$F$2:$F$980)-('Hours Log'!$D$2:$D$980))*'Hours Log'!$AS$2:$AS$980)</f>
        <v>1073.1862817204303</v>
      </c>
      <c r="L19" s="95" cm="1">
        <f t="array" ref="L19">SUMPRODUCT(('Hours Log'!$A$2:$A$980=$A19)*('Hours Log'!$B$2:$B$980=L$2)*('Hours Log'!$C$2:$C$980=LOOKUP(2,1/($A$1:L$1&lt;&gt;""),$A$1:L$1))*(('Hours Log'!$F$2:$F$980)-('Hours Log'!$D$2:$D$980))*'Hours Log'!$AS$2:$AS$980)</f>
        <v>1014.8291265</v>
      </c>
      <c r="M19" s="95" cm="1">
        <f t="array" ref="M19">SUMPRODUCT(('Hours Log'!$A$2:$A$980=$A19)*('Hours Log'!$B$2:$B$980=M$2)*('Hours Log'!$C$2:$C$980=LOOKUP(2,1/($A$1:M$1&lt;&gt;""),$A$1:M$1))*(('Hours Log'!$F$2:$F$980)-('Hours Log'!$D$2:$D$980))*'Hours Log'!$AS$2:$AS$980)</f>
        <v>867.88108</v>
      </c>
      <c r="N19" s="95" cm="1">
        <f t="array" ref="N19">SUMPRODUCT(('Hours Log'!$A$2:$A$980=$A19)*('Hours Log'!$B$2:$B$980=N$2)*('Hours Log'!$C$2:$C$980=LOOKUP(2,1/($A$1:N$1&lt;&gt;""),$A$1:N$1))*(('Hours Log'!$F$2:$F$980)-('Hours Log'!$D$2:$D$980))*'Hours Log'!$AS$2:$AS$980)</f>
        <v>1508.929605</v>
      </c>
      <c r="O19" s="95" cm="1">
        <f t="array" ref="O19">SUMPRODUCT(('Hours Log'!$A$2:$A$980=$A19)*('Hours Log'!$B$2:$B$980=O$2)*('Hours Log'!$C$2:$C$980=LOOKUP(2,1/($A$1:O$1&lt;&gt;""),$A$1:O$1))*(('Hours Log'!$F$2:$F$980)-('Hours Log'!$D$2:$D$980))*'Hours Log'!$AS$2:$AS$980)</f>
        <v>1065.1267800000001</v>
      </c>
      <c r="P19" s="96" cm="1">
        <f t="array" ref="P19">SUMPRODUCT(('Hours Log'!$A$2:$A$980=$A19)*('Hours Log'!$B$2:$B$980=P$2)*('Hours Log'!$C$2:$C$980=LOOKUP(2,1/($A$1:P$1&lt;&gt;""),$A$1:P$1))*(('Hours Log'!$F$2:$F$980)-('Hours Log'!$D$2:$D$980))*'Hours Log'!$AS$2:$AS$980)</f>
        <v>897.46793500000001</v>
      </c>
      <c r="Q19" s="7" cm="1">
        <f t="array" ref="Q19">SUMPRODUCT(('Hours Log'!$A$2:$A$980=$A19)*('Hours Log'!$B$2:$B$980=Q$2)*('Hours Log'!$C$2:$C$980=LOOKUP(2,1/($A$1:Q$1&lt;&gt;""),$A$1:Q$1))*(('Hours Log'!$F$2:$F$980)-('Hours Log'!$D$2:$D$980))*'Hours Log'!$AS$2:$AS$980)</f>
        <v>1156.0523076923073</v>
      </c>
      <c r="R19" s="7" cm="1">
        <f t="array" ref="R19">SUMPRODUCT(('Hours Log'!$A$2:$A$980=$A19)*('Hours Log'!$B$2:$B$980=R$2)*('Hours Log'!$C$2:$C$980=LOOKUP(2,1/($A$1:R$1&lt;&gt;""),$A$1:R$1))*(('Hours Log'!$F$2:$F$980)-('Hours Log'!$D$2:$D$980))*'Hours Log'!$AS$2:$AS$980)</f>
        <v>1276.0199999999995</v>
      </c>
      <c r="S19" s="7" cm="1">
        <f t="array" ref="S19">SUMPRODUCT(('Hours Log'!$A$2:$A$980=$A19)*('Hours Log'!$B$2:$B$980=S$2)*('Hours Log'!$C$2:$C$980=LOOKUP(2,1/($A$1:S$1&lt;&gt;""),$A$1:S$1))*(('Hours Log'!$F$2:$F$980)-('Hours Log'!$D$2:$D$980))*'Hours Log'!$AS$2:$AS$980)</f>
        <v>1428.7061538461533</v>
      </c>
      <c r="T19" s="7" cm="1">
        <f t="array" ref="T19">SUMPRODUCT(('Hours Log'!$A$2:$A$980=$A19)*('Hours Log'!$B$2:$B$980=T$2)*('Hours Log'!$C$2:$C$980=LOOKUP(2,1/($A$1:T$1&lt;&gt;""),$A$1:T$1))*(('Hours Log'!$F$2:$F$980)-('Hours Log'!$D$2:$D$980))*'Hours Log'!$AS$2:$AS$980)</f>
        <v>1406.8938461538455</v>
      </c>
      <c r="U19" s="7" cm="1">
        <f t="array" ref="U19">SUMPRODUCT(('Hours Log'!$A$2:$A$980=$A19)*('Hours Log'!$B$2:$B$980=U$2)*('Hours Log'!$C$2:$C$980=LOOKUP(2,1/($A$1:U$1&lt;&gt;""),$A$1:U$1))*(('Hours Log'!$F$2:$F$980)-('Hours Log'!$D$2:$D$980))*'Hours Log'!$AS$2:$AS$980)</f>
        <v>1221.4892307692303</v>
      </c>
      <c r="V19" s="7" cm="1">
        <f t="array" ref="V19">SUMPRODUCT(('Hours Log'!$A$2:$A$980=$A19)*('Hours Log'!$B$2:$B$980=V$2)*('Hours Log'!$C$2:$C$980=LOOKUP(2,1/($A$1:V$1&lt;&gt;""),$A$1:V$1))*(('Hours Log'!$F$2:$F$980)-('Hours Log'!$D$2:$D$980))*'Hours Log'!$AS$2:$AS$980)</f>
        <v>905.21076923076885</v>
      </c>
      <c r="W19" s="7" cm="1">
        <f t="array" ref="W19">SUMPRODUCT(('Hours Log'!$A$2:$A$980=$A19)*('Hours Log'!$B$2:$B$980=W$2)*('Hours Log'!$C$2:$C$980=LOOKUP(2,1/($A$1:W$1&lt;&gt;""),$A$1:W$1))*(('Hours Log'!$F$2:$F$980)-('Hours Log'!$D$2:$D$980))*'Hours Log'!$AS$2:$AS$980)</f>
        <v>2006.7323076923069</v>
      </c>
      <c r="X19" s="7" cm="1">
        <f t="array" ref="X19">SUMPRODUCT(('Hours Log'!$A$2:$A$980=$A19)*('Hours Log'!$B$2:$B$980=X$2)*('Hours Log'!$C$2:$C$980=LOOKUP(2,1/($A$1:X$1&lt;&gt;""),$A$1:X$1))*(('Hours Log'!$F$2:$F$980)-('Hours Log'!$D$2:$D$980))*'Hours Log'!$AS$2:$AS$980)</f>
        <v>1919.4830769230762</v>
      </c>
      <c r="Y19" s="7">
        <v>-682.18</v>
      </c>
      <c r="Z19" s="98">
        <f>SUM(B19:Y19)</f>
        <v>22446.543192949608</v>
      </c>
      <c r="AA19" s="7">
        <v>71862.48</v>
      </c>
      <c r="AB19" s="98">
        <f>AA19-Z19-Z20-Z21-Z23-Z24</f>
        <v>29763.710214214196</v>
      </c>
    </row>
    <row r="20" spans="1:28" x14ac:dyDescent="0.25">
      <c r="A20" t="s">
        <v>54</v>
      </c>
      <c r="B20" s="110" cm="1">
        <f t="array" ref="B20">SUMPRODUCT(('Hours Log'!$A$2:$A$980=$A20)*('Hours Log'!$B$2:$B$980=B$2)*('Hours Log'!$C$2:$C$980=LOOKUP(2,1/($A$1:B$1&lt;&gt;""),$A$1:B$1))*(('Hours Log'!$F$2:$F$980)-('Hours Log'!$D$2:$D$980))*'Hours Log'!$AS$2:$AS$980)</f>
        <v>0</v>
      </c>
      <c r="C20" s="110" cm="1">
        <f t="array" ref="C20">SUMPRODUCT(('Hours Log'!$A$2:$A$980=$A20)*('Hours Log'!$B$2:$B$980=C$2)*('Hours Log'!$C$2:$C$980=LOOKUP(2,1/($A$1:C$1&lt;&gt;""),$A$1:C$1))*(('Hours Log'!$F$2:$F$980)-('Hours Log'!$D$2:$D$980))*'Hours Log'!$AS$2:$AS$980)</f>
        <v>410.16711272292514</v>
      </c>
      <c r="D20" s="111" cm="1">
        <f t="array" ref="D20">SUMPRODUCT(('Hours Log'!$A$2:$A$980=$A20)*('Hours Log'!$B$2:$B$980=D$2)*('Hours Log'!$C$2:$C$980=LOOKUP(2,1/($A$1:D$1&lt;&gt;""),$A$1:D$1))*(('Hours Log'!$F$2:$F$980)-('Hours Log'!$D$2:$D$980))*'Hours Log'!$AS$2:$AS$980)</f>
        <v>453.57103999519245</v>
      </c>
      <c r="E20" s="107" cm="1">
        <f t="array" ref="E20">SUMPRODUCT(('Hours Log'!$A$2:$A$980=$A20)*('Hours Log'!$B$2:$B$980=E$2)*('Hours Log'!$C$2:$C$980=LOOKUP(2,1/($A$1:E$1&lt;&gt;""),$A$1:E$1))*(('Hours Log'!$F$2:$F$980)-('Hours Log'!$D$2:$D$980))*'Hours Log'!$AS$2:$AS$980)</f>
        <v>475.3935939496248</v>
      </c>
      <c r="F20" s="95" cm="1">
        <f t="array" ref="F20">SUMPRODUCT(('Hours Log'!$A$2:$A$980=$A20)*('Hours Log'!$B$2:$B$980=F$2)*('Hours Log'!$C$2:$C$980=LOOKUP(2,1/($A$1:F$1&lt;&gt;""),$A$1:F$1))*(('Hours Log'!$F$2:$F$980)-('Hours Log'!$D$2:$D$980))*'Hours Log'!$AS$2:$AS$980)</f>
        <v>432.58871636601549</v>
      </c>
      <c r="G20" s="95" cm="1">
        <f t="array" ref="G20">SUMPRODUCT(('Hours Log'!$A$2:$A$980=$A20)*('Hours Log'!$B$2:$B$980=G$2)*('Hours Log'!$C$2:$C$980=LOOKUP(2,1/($A$1:G$1&lt;&gt;""),$A$1:G$1))*(('Hours Log'!$F$2:$F$980)-('Hours Log'!$D$2:$D$980))*'Hours Log'!$AS$2:$AS$980)</f>
        <v>387.99840400958078</v>
      </c>
      <c r="H20" s="95" cm="1">
        <f t="array" ref="H20">SUMPRODUCT(('Hours Log'!$A$2:$A$980=$A20)*('Hours Log'!$B$2:$B$980=H$2)*('Hours Log'!$C$2:$C$980=LOOKUP(2,1/($A$1:H$1&lt;&gt;""),$A$1:H$1))*(('Hours Log'!$F$2:$F$980)-('Hours Log'!$D$2:$D$980))*'Hours Log'!$AS$2:$AS$980)</f>
        <v>404.72080178388688</v>
      </c>
      <c r="I20" s="95" cm="1">
        <f t="array" ref="I20">SUMPRODUCT(('Hours Log'!$A$2:$A$980=$A20)*('Hours Log'!$B$2:$B$980=I$2)*('Hours Log'!$C$2:$C$980=LOOKUP(2,1/($A$1:I$1&lt;&gt;""),$A$1:I$1))*(('Hours Log'!$F$2:$F$980)-('Hours Log'!$D$2:$D$980))*'Hours Log'!$AS$2:$AS$980)</f>
        <v>446.1705076336188</v>
      </c>
      <c r="J20" s="95" cm="1">
        <f t="array" ref="J20">SUMPRODUCT(('Hours Log'!$A$2:$A$980=$A20)*('Hours Log'!$B$2:$B$980=J$2)*('Hours Log'!$C$2:$C$980=LOOKUP(2,1/($A$1:J$1&lt;&gt;""),$A$1:J$1))*(('Hours Log'!$F$2:$F$980)-('Hours Log'!$D$2:$D$980))*'Hours Log'!$AS$2:$AS$980)</f>
        <v>603.63339670907635</v>
      </c>
      <c r="K20" s="95" cm="1">
        <f t="array" ref="K20">SUMPRODUCT(('Hours Log'!$A$2:$A$980=$A20)*('Hours Log'!$B$2:$B$980=K$2)*('Hours Log'!$C$2:$C$980=LOOKUP(2,1/($A$1:K$1&lt;&gt;""),$A$1:K$1))*(('Hours Log'!$F$2:$F$980)-('Hours Log'!$D$2:$D$980))*'Hours Log'!$AS$2:$AS$980)</f>
        <v>414.04174856942819</v>
      </c>
      <c r="L20" s="95" cm="1">
        <f t="array" ref="L20">SUMPRODUCT(('Hours Log'!$A$2:$A$980=$A20)*('Hours Log'!$B$2:$B$980=L$2)*('Hours Log'!$C$2:$C$980=LOOKUP(2,1/($A$1:L$1&lt;&gt;""),$A$1:L$1))*(('Hours Log'!$F$2:$F$980)-('Hours Log'!$D$2:$D$980))*'Hours Log'!$AS$2:$AS$980)</f>
        <v>342.70401471185579</v>
      </c>
      <c r="M20" s="95" cm="1">
        <f t="array" ref="M20">SUMPRODUCT(('Hours Log'!$A$2:$A$980=$A20)*('Hours Log'!$B$2:$B$980=M$2)*('Hours Log'!$C$2:$C$980=LOOKUP(2,1/($A$1:M$1&lt;&gt;""),$A$1:M$1))*(('Hours Log'!$F$2:$F$980)-('Hours Log'!$D$2:$D$980))*'Hours Log'!$AS$2:$AS$980)</f>
        <v>332.49608686975034</v>
      </c>
      <c r="N20" s="95" cm="1">
        <f t="array" ref="N20">SUMPRODUCT(('Hours Log'!$A$2:$A$980=$A20)*('Hours Log'!$B$2:$B$980=N$2)*('Hours Log'!$C$2:$C$980=LOOKUP(2,1/($A$1:N$1&lt;&gt;""),$A$1:N$1))*(('Hours Log'!$F$2:$F$980)-('Hours Log'!$D$2:$D$980))*'Hours Log'!$AS$2:$AS$980)</f>
        <v>457.29685512557393</v>
      </c>
      <c r="O20" s="95" cm="1">
        <f t="array" ref="O20">SUMPRODUCT(('Hours Log'!$A$2:$A$980=$A20)*('Hours Log'!$B$2:$B$980=O$2)*('Hours Log'!$C$2:$C$980=LOOKUP(2,1/($A$1:O$1&lt;&gt;""),$A$1:O$1))*(('Hours Log'!$F$2:$F$980)-('Hours Log'!$D$2:$D$980))*'Hours Log'!$AS$2:$AS$980)</f>
        <v>324.24454787725932</v>
      </c>
      <c r="P20" s="96" cm="1">
        <f t="array" ref="P20">SUMPRODUCT(('Hours Log'!$A$2:$A$980=$A20)*('Hours Log'!$B$2:$B$980=P$2)*('Hours Log'!$C$2:$C$980=LOOKUP(2,1/($A$1:P$1&lt;&gt;""),$A$1:P$1))*(('Hours Log'!$F$2:$F$980)-('Hours Log'!$D$2:$D$980))*'Hours Log'!$AS$2:$AS$980)</f>
        <v>363.35071938641761</v>
      </c>
      <c r="Q20" s="7" cm="1">
        <f t="array" ref="Q20">SUMPRODUCT(('Hours Log'!$A$2:$A$980=$A20)*('Hours Log'!$B$2:$B$980=Q$2)*('Hours Log'!$C$2:$C$980=LOOKUP(2,1/($A$1:Q$1&lt;&gt;""),$A$1:Q$1))*(('Hours Log'!$F$2:$F$980)-('Hours Log'!$D$2:$D$980))*'Hours Log'!$AS$2:$AS$980)</f>
        <v>576.15611378205119</v>
      </c>
      <c r="R20" s="7" cm="1">
        <f t="array" ref="R20">SUMPRODUCT(('Hours Log'!$A$2:$A$980=$A20)*('Hours Log'!$B$2:$B$980=R$2)*('Hours Log'!$C$2:$C$980=LOOKUP(2,1/($A$1:R$1&lt;&gt;""),$A$1:R$1))*(('Hours Log'!$F$2:$F$980)-('Hours Log'!$D$2:$D$980))*'Hours Log'!$AS$2:$AS$980)</f>
        <v>510.63689458689453</v>
      </c>
      <c r="S20" s="7" cm="1">
        <f t="array" ref="S20">SUMPRODUCT(('Hours Log'!$A$2:$A$980=$A20)*('Hours Log'!$B$2:$B$980=S$2)*('Hours Log'!$C$2:$C$980=LOOKUP(2,1/($A$1:S$1&lt;&gt;""),$A$1:S$1))*(('Hours Log'!$F$2:$F$980)-('Hours Log'!$D$2:$D$980))*'Hours Log'!$AS$2:$AS$980)</f>
        <v>662.00425976800966</v>
      </c>
      <c r="T20" s="7" cm="1">
        <f t="array" ref="T20">SUMPRODUCT(('Hours Log'!$A$2:$A$980=$A20)*('Hours Log'!$B$2:$B$980=T$2)*('Hours Log'!$C$2:$C$980=LOOKUP(2,1/($A$1:T$1&lt;&gt;""),$A$1:T$1))*(('Hours Log'!$F$2:$F$980)-('Hours Log'!$D$2:$D$980))*'Hours Log'!$AS$2:$AS$980)</f>
        <v>436.80632975895065</v>
      </c>
      <c r="U20" s="7" cm="1">
        <f t="array" ref="U20">SUMPRODUCT(('Hours Log'!$A$2:$A$980=$A20)*('Hours Log'!$B$2:$B$980=U$2)*('Hours Log'!$C$2:$C$980=LOOKUP(2,1/($A$1:U$1&lt;&gt;""),$A$1:U$1))*(('Hours Log'!$F$2:$F$980)-('Hours Log'!$D$2:$D$980))*'Hours Log'!$AS$2:$AS$980)</f>
        <v>414.6930093149038</v>
      </c>
      <c r="V20" s="7" cm="1">
        <f t="array" ref="V20">SUMPRODUCT(('Hours Log'!$A$2:$A$980=$A20)*('Hours Log'!$B$2:$B$980=V$2)*('Hours Log'!$C$2:$C$980=LOOKUP(2,1/($A$1:V$1&lt;&gt;""),$A$1:V$1))*(('Hours Log'!$F$2:$F$980)-('Hours Log'!$D$2:$D$980))*'Hours Log'!$AS$2:$AS$980)</f>
        <v>481.45764346764338</v>
      </c>
      <c r="W20" s="7" cm="1">
        <f t="array" ref="W20">SUMPRODUCT(('Hours Log'!$A$2:$A$980=$A20)*('Hours Log'!$B$2:$B$980=W$2)*('Hours Log'!$C$2:$C$980=LOOKUP(2,1/($A$1:W$1&lt;&gt;""),$A$1:W$1))*(('Hours Log'!$F$2:$F$980)-('Hours Log'!$D$2:$D$980))*'Hours Log'!$AS$2:$AS$980)</f>
        <v>426.8728039940828</v>
      </c>
      <c r="X20" s="7" cm="1">
        <f t="array" ref="X20">SUMPRODUCT(('Hours Log'!$A$2:$A$980=$A20)*('Hours Log'!$B$2:$B$980=X$2)*('Hours Log'!$C$2:$C$980=LOOKUP(2,1/($A$1:X$1&lt;&gt;""),$A$1:X$1))*(('Hours Log'!$F$2:$F$980)-('Hours Log'!$D$2:$D$980))*'Hours Log'!$AS$2:$AS$980)</f>
        <v>0</v>
      </c>
      <c r="Z20" s="98">
        <f t="shared" ref="Z20:Z21" si="2">SUM(B20:Y20)</f>
        <v>9357.0046003827429</v>
      </c>
    </row>
    <row r="21" spans="1:28" x14ac:dyDescent="0.25">
      <c r="A21" t="s">
        <v>61</v>
      </c>
      <c r="B21" s="110" cm="1">
        <f t="array" ref="B21">SUMPRODUCT(('Hours Log'!$A$2:$A$980=$A21)*('Hours Log'!$B$2:$B$980=B$2)*('Hours Log'!$C$2:$C$980=LOOKUP(2,1/($A$1:B$1&lt;&gt;""),$A$1:B$1))*(('Hours Log'!$F$2:$F$980)-('Hours Log'!$D$2:$D$980))*'Hours Log'!$AS$2:$AS$980)</f>
        <v>50.357745780769221</v>
      </c>
      <c r="C21" s="110" cm="1">
        <f t="array" ref="C21">SUMPRODUCT(('Hours Log'!$A$2:$A$980=$A21)*('Hours Log'!$B$2:$B$980=C$2)*('Hours Log'!$C$2:$C$980=LOOKUP(2,1/($A$1:C$1&lt;&gt;""),$A$1:C$1))*(('Hours Log'!$F$2:$F$980)-('Hours Log'!$D$2:$D$980))*'Hours Log'!$AS$2:$AS$980)</f>
        <v>88.126055116346137</v>
      </c>
      <c r="D21" s="111" cm="1">
        <f t="array" ref="D21">SUMPRODUCT(('Hours Log'!$A$2:$A$980=$A21)*('Hours Log'!$B$2:$B$980=D$2)*('Hours Log'!$C$2:$C$980=LOOKUP(2,1/($A$1:D$1&lt;&gt;""),$A$1:D$1))*(('Hours Log'!$F$2:$F$980)-('Hours Log'!$D$2:$D$980))*'Hours Log'!$AS$2:$AS$980)</f>
        <v>75.536618671153832</v>
      </c>
      <c r="E21" s="107" cm="1">
        <f t="array" ref="E21">SUMPRODUCT(('Hours Log'!$A$2:$A$980=$A21)*('Hours Log'!$B$2:$B$980=E$2)*('Hours Log'!$C$2:$C$980=LOOKUP(2,1/($A$1:E$1&lt;&gt;""),$A$1:E$1))*(('Hours Log'!$F$2:$F$980)-('Hours Log'!$D$2:$D$980))*'Hours Log'!$AS$2:$AS$980)</f>
        <v>172.21917688592649</v>
      </c>
      <c r="F21" s="95" cm="1">
        <f t="array" ref="F21">SUMPRODUCT(('Hours Log'!$A$2:$A$980=$A21)*('Hours Log'!$B$2:$B$980=F$2)*('Hours Log'!$C$2:$C$980=LOOKUP(2,1/($A$1:F$1&lt;&gt;""),$A$1:F$1))*(('Hours Log'!$F$2:$F$980)-('Hours Log'!$D$2:$D$980))*'Hours Log'!$AS$2:$AS$980)</f>
        <v>345.93591183173061</v>
      </c>
      <c r="G21" s="95" cm="1">
        <f t="array" ref="G21">SUMPRODUCT(('Hours Log'!$A$2:$A$980=$A21)*('Hours Log'!$B$2:$B$980=G$2)*('Hours Log'!$C$2:$C$980=LOOKUP(2,1/($A$1:G$1&lt;&gt;""),$A$1:G$1))*(('Hours Log'!$F$2:$F$980)-('Hours Log'!$D$2:$D$980))*'Hours Log'!$AS$2:$AS$980)</f>
        <v>345.93591183173061</v>
      </c>
      <c r="H21" s="95" cm="1">
        <f t="array" ref="H21">SUMPRODUCT(('Hours Log'!$A$2:$A$980=$A21)*('Hours Log'!$B$2:$B$980=H$2)*('Hours Log'!$C$2:$C$980=LOOKUP(2,1/($A$1:H$1&lt;&gt;""),$A$1:H$1))*(('Hours Log'!$F$2:$F$980)-('Hours Log'!$D$2:$D$980))*'Hours Log'!$AS$2:$AS$980)</f>
        <v>349.6181428260179</v>
      </c>
      <c r="I21" s="95" cm="1">
        <f t="array" ref="I21">SUMPRODUCT(('Hours Log'!$A$2:$A$980=$A21)*('Hours Log'!$B$2:$B$980=I$2)*('Hours Log'!$C$2:$C$980=LOOKUP(2,1/($A$1:I$1&lt;&gt;""),$A$1:I$1))*(('Hours Log'!$F$2:$F$980)-('Hours Log'!$D$2:$D$980))*'Hours Log'!$AS$2:$AS$980)</f>
        <v>560.08671439423051</v>
      </c>
      <c r="J21" s="95" cm="1">
        <f t="array" ref="J21">SUMPRODUCT(('Hours Log'!$A$2:$A$980=$A21)*('Hours Log'!$B$2:$B$980=J$2)*('Hours Log'!$C$2:$C$980=LOOKUP(2,1/($A$1:J$1&lt;&gt;""),$A$1:J$1))*(('Hours Log'!$F$2:$F$980)-('Hours Log'!$D$2:$D$980))*'Hours Log'!$AS$2:$AS$980)</f>
        <v>270.73245273787614</v>
      </c>
      <c r="K21" s="95" cm="1">
        <f t="array" ref="K21">SUMPRODUCT(('Hours Log'!$A$2:$A$980=$A21)*('Hours Log'!$B$2:$B$980=K$2)*('Hours Log'!$C$2:$C$980=LOOKUP(2,1/($A$1:K$1&lt;&gt;""),$A$1:K$1))*(('Hours Log'!$F$2:$F$980)-('Hours Log'!$D$2:$D$980))*'Hours Log'!$AS$2:$AS$980)</f>
        <v>484.969202110769</v>
      </c>
      <c r="L21" s="95" cm="1">
        <f t="array" ref="L21">SUMPRODUCT(('Hours Log'!$A$2:$A$980=$A21)*('Hours Log'!$B$2:$B$980=L$2)*('Hours Log'!$C$2:$C$980=LOOKUP(2,1/($A$1:L$1&lt;&gt;""),$A$1:L$1))*(('Hours Log'!$F$2:$F$980)-('Hours Log'!$D$2:$D$980))*'Hours Log'!$AS$2:$AS$980)</f>
        <v>378.88218914903831</v>
      </c>
      <c r="M21" s="95" cm="1">
        <f t="array" ref="M21">SUMPRODUCT(('Hours Log'!$A$2:$A$980=$A21)*('Hours Log'!$B$2:$B$980=M$2)*('Hours Log'!$C$2:$C$980=LOOKUP(2,1/($A$1:M$1&lt;&gt;""),$A$1:M$1))*(('Hours Log'!$F$2:$F$980)-('Hours Log'!$D$2:$D$980))*'Hours Log'!$AS$2:$AS$980)</f>
        <v>609.50613037019195</v>
      </c>
      <c r="N21" s="95" cm="1">
        <f t="array" ref="N21">SUMPRODUCT(('Hours Log'!$A$2:$A$980=$A21)*('Hours Log'!$B$2:$B$980=N$2)*('Hours Log'!$C$2:$C$980=LOOKUP(2,1/($A$1:N$1&lt;&gt;""),$A$1:N$1))*(('Hours Log'!$F$2:$F$980)-('Hours Log'!$D$2:$D$980))*'Hours Log'!$AS$2:$AS$980)</f>
        <v>625.97926902884581</v>
      </c>
      <c r="O21" s="95" cm="1">
        <f t="array" ref="O21">SUMPRODUCT(('Hours Log'!$A$2:$A$980=$A21)*('Hours Log'!$B$2:$B$980=O$2)*('Hours Log'!$C$2:$C$980=LOOKUP(2,1/($A$1:O$1&lt;&gt;""),$A$1:O$1))*(('Hours Log'!$F$2:$F$980)-('Hours Log'!$D$2:$D$980))*'Hours Log'!$AS$2:$AS$980)</f>
        <v>658.92554634615351</v>
      </c>
      <c r="P21" s="96" cm="1">
        <f t="array" ref="P21">SUMPRODUCT(('Hours Log'!$A$2:$A$980=$A21)*('Hours Log'!$B$2:$B$980=P$2)*('Hours Log'!$C$2:$C$980=LOOKUP(2,1/($A$1:P$1&lt;&gt;""),$A$1:P$1))*(('Hours Log'!$F$2:$F$980)-('Hours Log'!$D$2:$D$980))*'Hours Log'!$AS$2:$AS$980)</f>
        <v>617.74269969951888</v>
      </c>
      <c r="Q21" s="7" cm="1">
        <f t="array" ref="Q21">SUMPRODUCT(('Hours Log'!$A$2:$A$980=$A21)*('Hours Log'!$B$2:$B$980=Q$2)*('Hours Log'!$C$2:$C$980=LOOKUP(2,1/($A$1:Q$1&lt;&gt;""),$A$1:Q$1))*(('Hours Log'!$F$2:$F$980)-('Hours Log'!$D$2:$D$980))*'Hours Log'!$AS$2:$AS$980)</f>
        <v>189.19636062861869</v>
      </c>
      <c r="R21" s="7" cm="1">
        <f t="array" ref="R21">SUMPRODUCT(('Hours Log'!$A$2:$A$980=$A21)*('Hours Log'!$B$2:$B$980=R$2)*('Hours Log'!$C$2:$C$980=LOOKUP(2,1/($A$1:R$1&lt;&gt;""),$A$1:R$1))*(('Hours Log'!$F$2:$F$980)-('Hours Log'!$D$2:$D$980))*'Hours Log'!$AS$2:$AS$980)</f>
        <v>164.31116905693176</v>
      </c>
      <c r="S21" s="7" cm="1">
        <f t="array" ref="S21">SUMPRODUCT(('Hours Log'!$A$2:$A$980=$A21)*('Hours Log'!$B$2:$B$980=S$2)*('Hours Log'!$C$2:$C$980=LOOKUP(2,1/($A$1:S$1&lt;&gt;""),$A$1:S$1))*(('Hours Log'!$F$2:$F$980)-('Hours Log'!$D$2:$D$980))*'Hours Log'!$AS$2:$AS$980)</f>
        <v>182.33431646074132</v>
      </c>
      <c r="T21" s="7" cm="1">
        <f t="array" ref="T21">SUMPRODUCT(('Hours Log'!$A$2:$A$980=$A21)*('Hours Log'!$B$2:$B$980=T$2)*('Hours Log'!$C$2:$C$980=LOOKUP(2,1/($A$1:T$1&lt;&gt;""),$A$1:T$1))*(('Hours Log'!$F$2:$F$980)-('Hours Log'!$D$2:$D$980))*'Hours Log'!$AS$2:$AS$980)</f>
        <v>181.5727234927235</v>
      </c>
      <c r="U21" s="7" cm="1">
        <f t="array" ref="U21">SUMPRODUCT(('Hours Log'!$A$2:$A$980=$A21)*('Hours Log'!$B$2:$B$980=U$2)*('Hours Log'!$C$2:$C$980=LOOKUP(2,1/($A$1:U$1&lt;&gt;""),$A$1:U$1))*(('Hours Log'!$F$2:$F$980)-('Hours Log'!$D$2:$D$980))*'Hours Log'!$AS$2:$AS$980)</f>
        <v>165.96321070234112</v>
      </c>
      <c r="V21" s="7" cm="1">
        <f t="array" ref="V21">SUMPRODUCT(('Hours Log'!$A$2:$A$980=$A21)*('Hours Log'!$B$2:$B$980=V$2)*('Hours Log'!$C$2:$C$980=LOOKUP(2,1/($A$1:V$1&lt;&gt;""),$A$1:V$1))*(('Hours Log'!$F$2:$F$980)-('Hours Log'!$D$2:$D$980))*'Hours Log'!$AS$2:$AS$980)</f>
        <v>181.5727234927235</v>
      </c>
      <c r="W21" s="7" cm="1">
        <f t="array" ref="W21">SUMPRODUCT(('Hours Log'!$A$2:$A$980=$A21)*('Hours Log'!$B$2:$B$980=W$2)*('Hours Log'!$C$2:$C$980=LOOKUP(2,1/($A$1:W$1&lt;&gt;""),$A$1:W$1))*(('Hours Log'!$F$2:$F$980)-('Hours Log'!$D$2:$D$980))*'Hours Log'!$AS$2:$AS$980)</f>
        <v>186.79689034369883</v>
      </c>
      <c r="X21" s="7" cm="1">
        <f t="array" ref="X21">SUMPRODUCT(('Hours Log'!$A$2:$A$980=$A21)*('Hours Log'!$B$2:$B$980=X$2)*('Hours Log'!$C$2:$C$980=LOOKUP(2,1/($A$1:X$1&lt;&gt;""),$A$1:X$1))*(('Hours Log'!$F$2:$F$980)-('Hours Log'!$D$2:$D$980))*'Hours Log'!$AS$2:$AS$980)</f>
        <v>799.78461538461534</v>
      </c>
      <c r="Z21" s="98">
        <f t="shared" si="2"/>
        <v>7686.085776342692</v>
      </c>
    </row>
    <row r="22" spans="1:28" x14ac:dyDescent="0.25">
      <c r="A22" t="s">
        <v>55</v>
      </c>
      <c r="B22" s="110" cm="1">
        <f t="array" ref="B22">SUMPRODUCT(('Hours Log'!$A$2:$A$980=$A22)*('Hours Log'!$B$2:$B$980=B$2)*('Hours Log'!$C$2:$C$980=LOOKUP(2,1/($A$1:B$1&lt;&gt;""),$A$1:B$1))*(('Hours Log'!$F$2:$F$980)-('Hours Log'!$D$2:$D$980))*'Hours Log'!$AS$2:$AS$980)</f>
        <v>0</v>
      </c>
      <c r="C22" s="110" cm="1">
        <f t="array" ref="C22">SUMPRODUCT(('Hours Log'!$A$2:$A$980=$A22)*('Hours Log'!$B$2:$B$980=C$2)*('Hours Log'!$C$2:$C$980=LOOKUP(2,1/($A$1:C$1&lt;&gt;""),$A$1:C$1))*(('Hours Log'!$F$2:$F$980)-('Hours Log'!$D$2:$D$980))*'Hours Log'!$AS$2:$AS$980)</f>
        <v>0</v>
      </c>
      <c r="D22" s="111" cm="1">
        <f t="array" ref="D22">SUMPRODUCT(('Hours Log'!$A$2:$A$980=$A22)*('Hours Log'!$B$2:$B$980=D$2)*('Hours Log'!$C$2:$C$980=LOOKUP(2,1/($A$1:D$1&lt;&gt;""),$A$1:D$1))*(('Hours Log'!$F$2:$F$980)-('Hours Log'!$D$2:$D$980))*'Hours Log'!$AS$2:$AS$980)</f>
        <v>0</v>
      </c>
      <c r="E22" s="107" cm="1">
        <f t="array" ref="E22">SUMPRODUCT(('Hours Log'!$A$2:$A$980=$A22)*('Hours Log'!$B$2:$B$980=E$2)*('Hours Log'!$C$2:$C$980=LOOKUP(2,1/($A$1:E$1&lt;&gt;""),$A$1:E$1))*(('Hours Log'!$F$2:$F$980)-('Hours Log'!$D$2:$D$980))*'Hours Log'!$AS$2:$AS$980)</f>
        <v>0</v>
      </c>
      <c r="F22" s="95" cm="1">
        <f t="array" ref="F22">SUMPRODUCT(('Hours Log'!$A$2:$A$980=$A22)*('Hours Log'!$B$2:$B$980=F$2)*('Hours Log'!$C$2:$C$980=LOOKUP(2,1/($A$1:F$1&lt;&gt;""),$A$1:F$1))*(('Hours Log'!$F$2:$F$980)-('Hours Log'!$D$2:$D$980))*'Hours Log'!$AS$2:$AS$980)</f>
        <v>82.152096130536137</v>
      </c>
      <c r="G22" s="95" cm="1">
        <f t="array" ref="G22">SUMPRODUCT(('Hours Log'!$A$2:$A$980=$A22)*('Hours Log'!$B$2:$B$980=G$2)*('Hours Log'!$C$2:$C$980=LOOKUP(2,1/($A$1:G$1&lt;&gt;""),$A$1:G$1))*(('Hours Log'!$F$2:$F$980)-('Hours Log'!$D$2:$D$980))*'Hours Log'!$AS$2:$AS$980)</f>
        <v>143.84263959451718</v>
      </c>
      <c r="H22" s="95" cm="1">
        <f t="array" ref="H22">SUMPRODUCT(('Hours Log'!$A$2:$A$980=$A22)*('Hours Log'!$B$2:$B$980=H$2)*('Hours Log'!$C$2:$C$980=LOOKUP(2,1/($A$1:H$1&lt;&gt;""),$A$1:H$1))*(('Hours Log'!$F$2:$F$980)-('Hours Log'!$D$2:$D$980))*'Hours Log'!$AS$2:$AS$980)</f>
        <v>175.4188876199095</v>
      </c>
      <c r="I22" s="95" cm="1">
        <f t="array" ref="I22">SUMPRODUCT(('Hours Log'!$A$2:$A$980=$A22)*('Hours Log'!$B$2:$B$980=I$2)*('Hours Log'!$C$2:$C$980=LOOKUP(2,1/($A$1:I$1&lt;&gt;""),$A$1:I$1))*(('Hours Log'!$F$2:$F$980)-('Hours Log'!$D$2:$D$980))*'Hours Log'!$AS$2:$AS$980)</f>
        <v>0</v>
      </c>
      <c r="J22" s="95" cm="1">
        <f t="array" ref="J22">SUMPRODUCT(('Hours Log'!$A$2:$A$980=$A22)*('Hours Log'!$B$2:$B$980=J$2)*('Hours Log'!$C$2:$C$980=LOOKUP(2,1/($A$1:J$1&lt;&gt;""),$A$1:J$1))*(('Hours Log'!$F$2:$F$980)-('Hours Log'!$D$2:$D$980))*'Hours Log'!$AS$2:$AS$980)</f>
        <v>41.861325454751132</v>
      </c>
      <c r="K22" s="95" cm="1">
        <f t="array" ref="K22">SUMPRODUCT(('Hours Log'!$A$2:$A$980=$A22)*('Hours Log'!$B$2:$B$980=K$2)*('Hours Log'!$C$2:$C$980=LOOKUP(2,1/($A$1:K$1&lt;&gt;""),$A$1:K$1))*(('Hours Log'!$F$2:$F$980)-('Hours Log'!$D$2:$D$980))*'Hours Log'!$AS$2:$AS$980)</f>
        <v>0</v>
      </c>
      <c r="L22" s="95" cm="1">
        <f t="array" ref="L22">SUMPRODUCT(('Hours Log'!$A$2:$A$980=$A22)*('Hours Log'!$B$2:$B$980=L$2)*('Hours Log'!$C$2:$C$980=LOOKUP(2,1/($A$1:L$1&lt;&gt;""),$A$1:L$1))*(('Hours Log'!$F$2:$F$980)-('Hours Log'!$D$2:$D$980))*'Hours Log'!$AS$2:$AS$980)</f>
        <v>116.36921918867924</v>
      </c>
      <c r="M22" s="95" cm="1">
        <f t="array" ref="M22">SUMPRODUCT(('Hours Log'!$A$2:$A$980=$A22)*('Hours Log'!$B$2:$B$980=M$2)*('Hours Log'!$C$2:$C$980=LOOKUP(2,1/($A$1:M$1&lt;&gt;""),$A$1:M$1))*(('Hours Log'!$F$2:$F$980)-('Hours Log'!$D$2:$D$980))*'Hours Log'!$AS$2:$AS$980)</f>
        <v>237.58657032037195</v>
      </c>
      <c r="N22" s="95" cm="1">
        <f t="array" ref="N22">SUMPRODUCT(('Hours Log'!$A$2:$A$980=$A22)*('Hours Log'!$B$2:$B$980=N$2)*('Hours Log'!$C$2:$C$980=LOOKUP(2,1/($A$1:N$1&lt;&gt;""),$A$1:N$1))*(('Hours Log'!$F$2:$F$980)-('Hours Log'!$D$2:$D$980))*'Hours Log'!$AS$2:$AS$980)</f>
        <v>157.54193860351882</v>
      </c>
      <c r="O22" s="95" cm="1">
        <f t="array" ref="O22">SUMPRODUCT(('Hours Log'!$A$2:$A$980=$A22)*('Hours Log'!$B$2:$B$980=O$2)*('Hours Log'!$C$2:$C$980=LOOKUP(2,1/($A$1:O$1&lt;&gt;""),$A$1:O$1))*(('Hours Log'!$F$2:$F$980)-('Hours Log'!$D$2:$D$980))*'Hours Log'!$AS$2:$AS$980)</f>
        <v>108.44076689230769</v>
      </c>
      <c r="P22" s="96" cm="1">
        <f t="array" ref="P22">SUMPRODUCT(('Hours Log'!$A$2:$A$980=$A22)*('Hours Log'!$B$2:$B$980=P$2)*('Hours Log'!$C$2:$C$980=LOOKUP(2,1/($A$1:P$1&lt;&gt;""),$A$1:P$1))*(('Hours Log'!$F$2:$F$980)-('Hours Log'!$D$2:$D$980))*'Hours Log'!$AS$2:$AS$980)</f>
        <v>119.20510772352942</v>
      </c>
      <c r="Q22" s="7" cm="1">
        <f t="array" ref="Q22">SUMPRODUCT(('Hours Log'!$A$2:$A$980=$A22)*('Hours Log'!$B$2:$B$980=Q$2)*('Hours Log'!$C$2:$C$980=LOOKUP(2,1/($A$1:Q$1&lt;&gt;""),$A$1:Q$1))*(('Hours Log'!$F$2:$F$980)-('Hours Log'!$D$2:$D$980))*'Hours Log'!$AS$2:$AS$980)</f>
        <v>0</v>
      </c>
      <c r="R22" s="7" cm="1">
        <f t="array" ref="R22">SUMPRODUCT(('Hours Log'!$A$2:$A$980=$A22)*('Hours Log'!$B$2:$B$980=R$2)*('Hours Log'!$C$2:$C$980=LOOKUP(2,1/($A$1:R$1&lt;&gt;""),$A$1:R$1))*(('Hours Log'!$F$2:$F$980)-('Hours Log'!$D$2:$D$980))*'Hours Log'!$AS$2:$AS$980)</f>
        <v>0</v>
      </c>
      <c r="S22" s="7" cm="1">
        <f t="array" ref="S22">SUMPRODUCT(('Hours Log'!$A$2:$A$980=$A22)*('Hours Log'!$B$2:$B$980=S$2)*('Hours Log'!$C$2:$C$980=LOOKUP(2,1/($A$1:S$1&lt;&gt;""),$A$1:S$1))*(('Hours Log'!$F$2:$F$980)-('Hours Log'!$D$2:$D$980))*'Hours Log'!$AS$2:$AS$980)</f>
        <v>0</v>
      </c>
      <c r="T22" s="7" cm="1">
        <f t="array" ref="T22">SUMPRODUCT(('Hours Log'!$A$2:$A$980=$A22)*('Hours Log'!$B$2:$B$980=T$2)*('Hours Log'!$C$2:$C$980=LOOKUP(2,1/($A$1:T$1&lt;&gt;""),$A$1:T$1))*(('Hours Log'!$F$2:$F$980)-('Hours Log'!$D$2:$D$980))*'Hours Log'!$AS$2:$AS$980)</f>
        <v>0</v>
      </c>
      <c r="U22" s="7" cm="1">
        <f t="array" ref="U22">SUMPRODUCT(('Hours Log'!$A$2:$A$980=$A22)*('Hours Log'!$B$2:$B$980=U$2)*('Hours Log'!$C$2:$C$980=LOOKUP(2,1/($A$1:U$1&lt;&gt;""),$A$1:U$1))*(('Hours Log'!$F$2:$F$980)-('Hours Log'!$D$2:$D$980))*'Hours Log'!$AS$2:$AS$980)</f>
        <v>0</v>
      </c>
      <c r="V22" s="7" cm="1">
        <f t="array" ref="V22">SUMPRODUCT(('Hours Log'!$A$2:$A$980=$A22)*('Hours Log'!$B$2:$B$980=V$2)*('Hours Log'!$C$2:$C$980=LOOKUP(2,1/($A$1:V$1&lt;&gt;""),$A$1:V$1))*(('Hours Log'!$F$2:$F$980)-('Hours Log'!$D$2:$D$980))*'Hours Log'!$AS$2:$AS$980)</f>
        <v>0</v>
      </c>
      <c r="W22" s="7" cm="1">
        <f t="array" ref="W22">SUMPRODUCT(('Hours Log'!$A$2:$A$980=$A22)*('Hours Log'!$B$2:$B$980=W$2)*('Hours Log'!$C$2:$C$980=LOOKUP(2,1/($A$1:W$1&lt;&gt;""),$A$1:W$1))*(('Hours Log'!$F$2:$F$980)-('Hours Log'!$D$2:$D$980))*'Hours Log'!$AS$2:$AS$980)</f>
        <v>0</v>
      </c>
      <c r="X22" s="7" cm="1">
        <f t="array" ref="X22">SUMPRODUCT(('Hours Log'!$A$2:$A$980=$A22)*('Hours Log'!$B$2:$B$980=X$2)*('Hours Log'!$C$2:$C$980=LOOKUP(2,1/($A$1:X$1&lt;&gt;""),$A$1:X$1))*(('Hours Log'!$F$2:$F$980)-('Hours Log'!$D$2:$D$980))*'Hours Log'!$AS$2:$AS$980)</f>
        <v>581.66153846153838</v>
      </c>
      <c r="Z22" s="98"/>
    </row>
    <row r="23" spans="1:28" x14ac:dyDescent="0.25">
      <c r="A23" t="s">
        <v>74</v>
      </c>
      <c r="B23" s="110" cm="1">
        <f t="array" ref="B23">SUMPRODUCT(('Hours Log'!$A$2:$A$980=$A23)*('Hours Log'!$B$2:$B$980=B$2)*('Hours Log'!$C$2:$C$980=LOOKUP(2,1/($A$1:B$1&lt;&gt;""),$A$1:B$1))*(('Hours Log'!$F$2:$F$980)-('Hours Log'!$D$2:$D$980))*'Hours Log'!$AS$2:$AS$980)</f>
        <v>0</v>
      </c>
      <c r="C23" s="110" cm="1">
        <f t="array" ref="C23">SUMPRODUCT(('Hours Log'!$A$2:$A$980=$A23)*('Hours Log'!$B$2:$B$980=C$2)*('Hours Log'!$C$2:$C$980=LOOKUP(2,1/($A$1:C$1&lt;&gt;""),$A$1:C$1))*(('Hours Log'!$F$2:$F$980)-('Hours Log'!$D$2:$D$980))*'Hours Log'!$AS$2:$AS$980)</f>
        <v>0</v>
      </c>
      <c r="D23" s="111" cm="1">
        <f t="array" ref="D23">SUMPRODUCT(('Hours Log'!$A$2:$A$980=$A23)*('Hours Log'!$B$2:$B$980=D$2)*('Hours Log'!$C$2:$C$980=LOOKUP(2,1/($A$1:D$1&lt;&gt;""),$A$1:D$1))*(('Hours Log'!$F$2:$F$980)-('Hours Log'!$D$2:$D$980))*'Hours Log'!$AS$2:$AS$980)</f>
        <v>0</v>
      </c>
      <c r="E23" s="107" cm="1">
        <f t="array" ref="E23">SUMPRODUCT(('Hours Log'!$A$2:$A$980=$A23)*('Hours Log'!$B$2:$B$980=E$2)*('Hours Log'!$C$2:$C$980=LOOKUP(2,1/($A$1:E$1&lt;&gt;""),$A$1:E$1))*(('Hours Log'!$F$2:$F$980)-('Hours Log'!$D$2:$D$980))*'Hours Log'!$AS$2:$AS$980)</f>
        <v>38.408465670936863</v>
      </c>
      <c r="F23" s="95" cm="1">
        <f t="array" ref="F23">SUMPRODUCT(('Hours Log'!$A$2:$A$980=$A23)*('Hours Log'!$B$2:$B$980=F$2)*('Hours Log'!$C$2:$C$980=LOOKUP(2,1/($A$1:F$1&lt;&gt;""),$A$1:F$1))*(('Hours Log'!$F$2:$F$980)-('Hours Log'!$D$2:$D$980))*'Hours Log'!$AS$2:$AS$980)</f>
        <v>17.328585154471632</v>
      </c>
      <c r="G23" s="95" cm="1">
        <f t="array" ref="G23">SUMPRODUCT(('Hours Log'!$A$2:$A$980=$A23)*('Hours Log'!$B$2:$B$980=G$2)*('Hours Log'!$C$2:$C$980=LOOKUP(2,1/($A$1:G$1&lt;&gt;""),$A$1:G$1))*(('Hours Log'!$F$2:$F$980)-('Hours Log'!$D$2:$D$980))*'Hours Log'!$AS$2:$AS$980)</f>
        <v>15.471955442354972</v>
      </c>
      <c r="H23" s="95" cm="1">
        <f t="array" ref="H23">SUMPRODUCT(('Hours Log'!$A$2:$A$980=$A23)*('Hours Log'!$B$2:$B$980=H$2)*('Hours Log'!$C$2:$C$980=LOOKUP(2,1/($A$1:H$1&lt;&gt;""),$A$1:H$1))*(('Hours Log'!$F$2:$F$980)-('Hours Log'!$D$2:$D$980))*'Hours Log'!$AS$2:$AS$980)</f>
        <v>27.483643519170311</v>
      </c>
      <c r="I23" s="95" cm="1">
        <f t="array" ref="I23">SUMPRODUCT(('Hours Log'!$A$2:$A$980=$A23)*('Hours Log'!$B$2:$B$980=I$2)*('Hours Log'!$C$2:$C$980=LOOKUP(2,1/($A$1:I$1&lt;&gt;""),$A$1:I$1))*(('Hours Log'!$F$2:$F$980)-('Hours Log'!$D$2:$D$980))*'Hours Log'!$AS$2:$AS$980)</f>
        <v>0</v>
      </c>
      <c r="J23" s="95" cm="1">
        <f t="array" ref="J23">SUMPRODUCT(('Hours Log'!$A$2:$A$980=$A23)*('Hours Log'!$B$2:$B$980=J$2)*('Hours Log'!$C$2:$C$980=LOOKUP(2,1/($A$1:J$1&lt;&gt;""),$A$1:J$1))*(('Hours Log'!$F$2:$F$980)-('Hours Log'!$D$2:$D$980))*'Hours Log'!$AS$2:$AS$980)</f>
        <v>57.45058944496472</v>
      </c>
      <c r="K23" s="95" cm="1">
        <f t="array" ref="K23">SUMPRODUCT(('Hours Log'!$A$2:$A$980=$A23)*('Hours Log'!$B$2:$B$980=K$2)*('Hours Log'!$C$2:$C$980=LOOKUP(2,1/($A$1:K$1&lt;&gt;""),$A$1:K$1))*(('Hours Log'!$F$2:$F$980)-('Hours Log'!$D$2:$D$980))*'Hours Log'!$AS$2:$AS$980)</f>
        <v>20.097188667527242</v>
      </c>
      <c r="L23" s="95" cm="1">
        <f t="array" ref="L23">SUMPRODUCT(('Hours Log'!$A$2:$A$980=$A23)*('Hours Log'!$B$2:$B$980=L$2)*('Hours Log'!$C$2:$C$980=LOOKUP(2,1/($A$1:L$1&lt;&gt;""),$A$1:L$1))*(('Hours Log'!$F$2:$F$980)-('Hours Log'!$D$2:$D$980))*'Hours Log'!$AS$2:$AS$980)</f>
        <v>0</v>
      </c>
      <c r="M23" s="95" cm="1">
        <f t="array" ref="M23">SUMPRODUCT(('Hours Log'!$A$2:$A$980=$A23)*('Hours Log'!$B$2:$B$980=M$2)*('Hours Log'!$C$2:$C$980=LOOKUP(2,1/($A$1:M$1&lt;&gt;""),$A$1:M$1))*(('Hours Log'!$F$2:$F$980)-('Hours Log'!$D$2:$D$980))*'Hours Log'!$AS$2:$AS$980)</f>
        <v>0</v>
      </c>
      <c r="N23" s="95" cm="1">
        <f t="array" ref="N23">SUMPRODUCT(('Hours Log'!$A$2:$A$980=$A23)*('Hours Log'!$B$2:$B$980=N$2)*('Hours Log'!$C$2:$C$980=LOOKUP(2,1/($A$1:N$1&lt;&gt;""),$A$1:N$1))*(('Hours Log'!$F$2:$F$980)-('Hours Log'!$D$2:$D$980))*'Hours Log'!$AS$2:$AS$980)</f>
        <v>0</v>
      </c>
      <c r="O23" s="95" cm="1">
        <f t="array" ref="O23">SUMPRODUCT(('Hours Log'!$A$2:$A$980=$A23)*('Hours Log'!$B$2:$B$980=O$2)*('Hours Log'!$C$2:$C$980=LOOKUP(2,1/($A$1:O$1&lt;&gt;""),$A$1:O$1))*(('Hours Log'!$F$2:$F$980)-('Hours Log'!$D$2:$D$980))*'Hours Log'!$AS$2:$AS$980)</f>
        <v>0</v>
      </c>
      <c r="P23" s="96" cm="1">
        <f t="array" ref="P23">SUMPRODUCT(('Hours Log'!$A$2:$A$980=$A23)*('Hours Log'!$B$2:$B$980=P$2)*('Hours Log'!$C$2:$C$980=LOOKUP(2,1/($A$1:P$1&lt;&gt;""),$A$1:P$1))*(('Hours Log'!$F$2:$F$980)-('Hours Log'!$D$2:$D$980))*'Hours Log'!$AS$2:$AS$980)</f>
        <v>0</v>
      </c>
      <c r="Q23" s="7" cm="1">
        <f t="array" ref="Q23">SUMPRODUCT(('Hours Log'!$A$2:$A$980=$A23)*('Hours Log'!$B$2:$B$980=Q$2)*('Hours Log'!$C$2:$C$980=LOOKUP(2,1/($A$1:Q$1&lt;&gt;""),$A$1:Q$1))*(('Hours Log'!$F$2:$F$980)-('Hours Log'!$D$2:$D$980))*'Hours Log'!$AS$2:$AS$980)</f>
        <v>0</v>
      </c>
      <c r="R23" s="7" cm="1">
        <f t="array" ref="R23">SUMPRODUCT(('Hours Log'!$A$2:$A$980=$A23)*('Hours Log'!$B$2:$B$980=R$2)*('Hours Log'!$C$2:$C$980=LOOKUP(2,1/($A$1:R$1&lt;&gt;""),$A$1:R$1))*(('Hours Log'!$F$2:$F$980)-('Hours Log'!$D$2:$D$980))*'Hours Log'!$AS$2:$AS$980)</f>
        <v>0</v>
      </c>
      <c r="S23" s="7" cm="1">
        <f t="array" ref="S23">SUMPRODUCT(('Hours Log'!$A$2:$A$980=$A23)*('Hours Log'!$B$2:$B$980=S$2)*('Hours Log'!$C$2:$C$980=LOOKUP(2,1/($A$1:S$1&lt;&gt;""),$A$1:S$1))*(('Hours Log'!$F$2:$F$980)-('Hours Log'!$D$2:$D$980))*'Hours Log'!$AS$2:$AS$980)</f>
        <v>0</v>
      </c>
      <c r="T23" s="7" cm="1">
        <f t="array" ref="T23">SUMPRODUCT(('Hours Log'!$A$2:$A$980=$A23)*('Hours Log'!$B$2:$B$980=T$2)*('Hours Log'!$C$2:$C$980=LOOKUP(2,1/($A$1:T$1&lt;&gt;""),$A$1:T$1))*(('Hours Log'!$F$2:$F$980)-('Hours Log'!$D$2:$D$980))*'Hours Log'!$AS$2:$AS$980)</f>
        <v>0</v>
      </c>
      <c r="U23" s="7" cm="1">
        <f t="array" ref="U23">SUMPRODUCT(('Hours Log'!$A$2:$A$980=$A23)*('Hours Log'!$B$2:$B$980=U$2)*('Hours Log'!$C$2:$C$980=LOOKUP(2,1/($A$1:U$1&lt;&gt;""),$A$1:U$1))*(('Hours Log'!$F$2:$F$980)-('Hours Log'!$D$2:$D$980))*'Hours Log'!$AS$2:$AS$980)</f>
        <v>0</v>
      </c>
      <c r="V23" s="7" cm="1">
        <f t="array" ref="V23">SUMPRODUCT(('Hours Log'!$A$2:$A$980=$A23)*('Hours Log'!$B$2:$B$980=V$2)*('Hours Log'!$C$2:$C$980=LOOKUP(2,1/($A$1:V$1&lt;&gt;""),$A$1:V$1))*(('Hours Log'!$F$2:$F$980)-('Hours Log'!$D$2:$D$980))*'Hours Log'!$AS$2:$AS$980)</f>
        <v>0</v>
      </c>
      <c r="W23" s="7" cm="1">
        <f t="array" ref="W23">SUMPRODUCT(('Hours Log'!$A$2:$A$980=$A23)*('Hours Log'!$B$2:$B$980=W$2)*('Hours Log'!$C$2:$C$980=LOOKUP(2,1/($A$1:W$1&lt;&gt;""),$A$1:W$1))*(('Hours Log'!$F$2:$F$980)-('Hours Log'!$D$2:$D$980))*'Hours Log'!$AS$2:$AS$980)</f>
        <v>0</v>
      </c>
      <c r="X23" s="7" cm="1">
        <f t="array" ref="X23">SUMPRODUCT(('Hours Log'!$A$2:$A$980=$A23)*('Hours Log'!$B$2:$B$980=X$2)*('Hours Log'!$C$2:$C$980=LOOKUP(2,1/($A$1:X$1&lt;&gt;""),$A$1:X$1))*(('Hours Log'!$F$2:$F$980)-('Hours Log'!$D$2:$D$980))*'Hours Log'!$AS$2:$AS$980)</f>
        <v>0</v>
      </c>
      <c r="Z23" s="98">
        <f>SUM(B23:Y23)</f>
        <v>176.24042789942575</v>
      </c>
    </row>
    <row r="24" spans="1:28" x14ac:dyDescent="0.25">
      <c r="A24" t="s">
        <v>58</v>
      </c>
      <c r="B24" s="110" cm="1">
        <f t="array" ref="B24">SUMPRODUCT(('Hours Log'!$A$2:$A$980=$A24)*('Hours Log'!$B$2:$B$980=B$2)*('Hours Log'!$C$2:$C$980=LOOKUP(2,1/($A$1:B$1&lt;&gt;""),$A$1:B$1))*(('Hours Log'!$F$2:$F$980)-('Hours Log'!$D$2:$D$980))*'Hours Log'!$AS$2:$AS$980)</f>
        <v>28.54376865872597</v>
      </c>
      <c r="C24" s="110" cm="1">
        <f t="array" ref="C24">SUMPRODUCT(('Hours Log'!$A$2:$A$980=$A24)*('Hours Log'!$B$2:$B$980=C$2)*('Hours Log'!$C$2:$C$980=LOOKUP(2,1/($A$1:C$1&lt;&gt;""),$A$1:C$1))*(('Hours Log'!$F$2:$F$980)-('Hours Log'!$D$2:$D$980))*'Hours Log'!$AS$2:$AS$980)</f>
        <v>75.394919974427907</v>
      </c>
      <c r="D24" s="111" cm="1">
        <f t="array" ref="D24">SUMPRODUCT(('Hours Log'!$A$2:$A$980=$A24)*('Hours Log'!$B$2:$B$980=D$2)*('Hours Log'!$C$2:$C$980=LOOKUP(2,1/($A$1:D$1&lt;&gt;""),$A$1:D$1))*(('Hours Log'!$F$2:$F$980)-('Hours Log'!$D$2:$D$980))*'Hours Log'!$AS$2:$AS$980)</f>
        <v>78.675812923706758</v>
      </c>
      <c r="E24" s="107" cm="1">
        <f t="array" ref="E24">SUMPRODUCT(('Hours Log'!$A$2:$A$980=$A24)*('Hours Log'!$B$2:$B$980=E$2)*('Hours Log'!$C$2:$C$980=LOOKUP(2,1/($A$1:E$1&lt;&gt;""),$A$1:E$1))*(('Hours Log'!$F$2:$F$980)-('Hours Log'!$D$2:$D$980))*'Hours Log'!$AS$2:$AS$980)</f>
        <v>74.672889775261993</v>
      </c>
      <c r="F24" s="95" cm="1">
        <f t="array" ref="F24">SUMPRODUCT(('Hours Log'!$A$2:$A$980=$A24)*('Hours Log'!$B$2:$B$980=F$2)*('Hours Log'!$C$2:$C$980=LOOKUP(2,1/($A$1:F$1&lt;&gt;""),$A$1:F$1))*(('Hours Log'!$F$2:$F$980)-('Hours Log'!$D$2:$D$980))*'Hours Log'!$AS$2:$AS$980)</f>
        <v>93.367653425312781</v>
      </c>
      <c r="G24" s="95" cm="1">
        <f t="array" ref="G24">SUMPRODUCT(('Hours Log'!$A$2:$A$980=$A24)*('Hours Log'!$B$2:$B$980=G$2)*('Hours Log'!$C$2:$C$980=LOOKUP(2,1/($A$1:G$1&lt;&gt;""),$A$1:G$1))*(('Hours Log'!$F$2:$F$980)-('Hours Log'!$D$2:$D$980))*'Hours Log'!$AS$2:$AS$980)</f>
        <v>135.57507174436219</v>
      </c>
      <c r="H24" s="95" cm="1">
        <f t="array" ref="H24">SUMPRODUCT(('Hours Log'!$A$2:$A$980=$A24)*('Hours Log'!$B$2:$B$980=H$2)*('Hours Log'!$C$2:$C$980=LOOKUP(2,1/($A$1:H$1&lt;&gt;""),$A$1:H$1))*(('Hours Log'!$F$2:$F$980)-('Hours Log'!$D$2:$D$980))*'Hours Log'!$AS$2:$AS$980)</f>
        <v>191.23907077550456</v>
      </c>
      <c r="I24" s="95" cm="1">
        <f t="array" ref="I24">SUMPRODUCT(('Hours Log'!$A$2:$A$980=$A24)*('Hours Log'!$B$2:$B$980=I$2)*('Hours Log'!$C$2:$C$980=LOOKUP(2,1/($A$1:I$1&lt;&gt;""),$A$1:I$1))*(('Hours Log'!$F$2:$F$980)-('Hours Log'!$D$2:$D$980))*'Hours Log'!$AS$2:$AS$980)</f>
        <v>186.61410346072481</v>
      </c>
      <c r="J24" s="95" cm="1">
        <f t="array" ref="J24">SUMPRODUCT(('Hours Log'!$A$2:$A$980=$A24)*('Hours Log'!$B$2:$B$980=J$2)*('Hours Log'!$C$2:$C$980=LOOKUP(2,1/($A$1:J$1&lt;&gt;""),$A$1:J$1))*(('Hours Log'!$F$2:$F$980)-('Hours Log'!$D$2:$D$980))*'Hours Log'!$AS$2:$AS$980)</f>
        <v>76.506541317374641</v>
      </c>
      <c r="K24" s="95" cm="1">
        <f t="array" ref="K24">SUMPRODUCT(('Hours Log'!$A$2:$A$980=$A24)*('Hours Log'!$B$2:$B$980=K$2)*('Hours Log'!$C$2:$C$980=LOOKUP(2,1/($A$1:K$1&lt;&gt;""),$A$1:K$1))*(('Hours Log'!$F$2:$F$980)-('Hours Log'!$D$2:$D$980))*'Hours Log'!$AS$2:$AS$980)</f>
        <v>51.291216438082024</v>
      </c>
      <c r="L24" s="95" cm="1">
        <f t="array" ref="L24">SUMPRODUCT(('Hours Log'!$A$2:$A$980=$A24)*('Hours Log'!$B$2:$B$980=L$2)*('Hours Log'!$C$2:$C$980=LOOKUP(2,1/($A$1:L$1&lt;&gt;""),$A$1:L$1))*(('Hours Log'!$F$2:$F$980)-('Hours Log'!$D$2:$D$980))*'Hours Log'!$AS$2:$AS$980)</f>
        <v>51.350366406634357</v>
      </c>
      <c r="M24" s="95" cm="1">
        <f t="array" ref="M24">SUMPRODUCT(('Hours Log'!$A$2:$A$980=$A24)*('Hours Log'!$B$2:$B$980=M$2)*('Hours Log'!$C$2:$C$980=LOOKUP(2,1/($A$1:M$1&lt;&gt;""),$A$1:M$1))*(('Hours Log'!$F$2:$F$980)-('Hours Log'!$D$2:$D$980))*'Hours Log'!$AS$2:$AS$980)</f>
        <v>66.681101285827296</v>
      </c>
      <c r="N24" s="95" cm="1">
        <f t="array" ref="N24">SUMPRODUCT(('Hours Log'!$A$2:$A$980=$A24)*('Hours Log'!$B$2:$B$980=N$2)*('Hours Log'!$C$2:$C$980=LOOKUP(2,1/($A$1:N$1&lt;&gt;""),$A$1:N$1))*(('Hours Log'!$F$2:$F$980)-('Hours Log'!$D$2:$D$980))*'Hours Log'!$AS$2:$AS$980)</f>
        <v>71.316026214649071</v>
      </c>
      <c r="O24" s="95" cm="1">
        <f t="array" ref="O24">SUMPRODUCT(('Hours Log'!$A$2:$A$980=$A24)*('Hours Log'!$B$2:$B$980=O$2)*('Hours Log'!$C$2:$C$980=LOOKUP(2,1/($A$1:O$1&lt;&gt;""),$A$1:O$1))*(('Hours Log'!$F$2:$F$980)-('Hours Log'!$D$2:$D$980))*'Hours Log'!$AS$2:$AS$980)</f>
        <v>87.824886815790492</v>
      </c>
      <c r="P24" s="96" cm="1">
        <f t="array" ref="P24">SUMPRODUCT(('Hours Log'!$A$2:$A$980=$A24)*('Hours Log'!$B$2:$B$980=P$2)*('Hours Log'!$C$2:$C$980=LOOKUP(2,1/($A$1:P$1&lt;&gt;""),$A$1:P$1))*(('Hours Log'!$F$2:$F$980)-('Hours Log'!$D$2:$D$980))*'Hours Log'!$AS$2:$AS$980)</f>
        <v>77.122516206483084</v>
      </c>
      <c r="Q24" s="7" cm="1">
        <f t="array" ref="Q24">SUMPRODUCT(('Hours Log'!$A$2:$A$980=$A24)*('Hours Log'!$B$2:$B$980=Q$2)*('Hours Log'!$C$2:$C$980=LOOKUP(2,1/($A$1:Q$1&lt;&gt;""),$A$1:Q$1))*(('Hours Log'!$F$2:$F$980)-('Hours Log'!$D$2:$D$980))*'Hours Log'!$AS$2:$AS$980)</f>
        <v>133.05166874999992</v>
      </c>
      <c r="R24" s="7" cm="1">
        <f t="array" ref="R24">SUMPRODUCT(('Hours Log'!$A$2:$A$980=$A24)*('Hours Log'!$B$2:$B$980=R$2)*('Hours Log'!$C$2:$C$980=LOOKUP(2,1/($A$1:R$1&lt;&gt;""),$A$1:R$1))*(('Hours Log'!$F$2:$F$980)-('Hours Log'!$D$2:$D$980))*'Hours Log'!$AS$2:$AS$980)</f>
        <v>166.20524038461528</v>
      </c>
      <c r="S24" s="7" cm="1">
        <f t="array" ref="S24">SUMPRODUCT(('Hours Log'!$A$2:$A$980=$A24)*('Hours Log'!$B$2:$B$980=S$2)*('Hours Log'!$C$2:$C$980=LOOKUP(2,1/($A$1:S$1&lt;&gt;""),$A$1:S$1))*(('Hours Log'!$F$2:$F$980)-('Hours Log'!$D$2:$D$980))*'Hours Log'!$AS$2:$AS$980)</f>
        <v>0</v>
      </c>
      <c r="T24" s="7" cm="1">
        <f t="array" ref="T24">SUMPRODUCT(('Hours Log'!$A$2:$A$980=$A24)*('Hours Log'!$B$2:$B$980=T$2)*('Hours Log'!$C$2:$C$980=LOOKUP(2,1/($A$1:T$1&lt;&gt;""),$A$1:T$1))*(('Hours Log'!$F$2:$F$980)-('Hours Log'!$D$2:$D$980))*'Hours Log'!$AS$2:$AS$980)</f>
        <v>168.74205721153834</v>
      </c>
      <c r="U24" s="7" cm="1">
        <f t="array" ref="U24">SUMPRODUCT(('Hours Log'!$A$2:$A$980=$A24)*('Hours Log'!$B$2:$B$980=U$2)*('Hours Log'!$C$2:$C$980=LOOKUP(2,1/($A$1:U$1&lt;&gt;""),$A$1:U$1))*(('Hours Log'!$F$2:$F$980)-('Hours Log'!$D$2:$D$980))*'Hours Log'!$AS$2:$AS$980)</f>
        <v>618.72087644230737</v>
      </c>
      <c r="V24" s="7" cm="1">
        <f t="array" ref="V24">SUMPRODUCT(('Hours Log'!$A$2:$A$980=$A24)*('Hours Log'!$B$2:$B$980=V$2)*('Hours Log'!$C$2:$C$980=LOOKUP(2,1/($A$1:V$1&lt;&gt;""),$A$1:V$1))*(('Hours Log'!$F$2:$F$980)-('Hours Log'!$D$2:$D$980))*'Hours Log'!$AS$2:$AS$980)</f>
        <v>0</v>
      </c>
      <c r="W24" s="7" cm="1">
        <f t="array" ref="W24">SUMPRODUCT(('Hours Log'!$A$2:$A$980=$A24)*('Hours Log'!$B$2:$B$980=W$2)*('Hours Log'!$C$2:$C$980=LOOKUP(2,1/($A$1:W$1&lt;&gt;""),$A$1:W$1))*(('Hours Log'!$F$2:$F$980)-('Hours Log'!$D$2:$D$980))*'Hours Log'!$AS$2:$AS$980)</f>
        <v>0</v>
      </c>
      <c r="X24" s="7" cm="1">
        <f t="array" ref="X24">SUMPRODUCT(('Hours Log'!$A$2:$A$980=$A24)*('Hours Log'!$B$2:$B$980=X$2)*('Hours Log'!$C$2:$C$980=LOOKUP(2,1/($A$1:X$1&lt;&gt;""),$A$1:X$1))*(('Hours Log'!$F$2:$F$980)-('Hours Log'!$D$2:$D$980))*'Hours Log'!$AS$2:$AS$980)</f>
        <v>0</v>
      </c>
      <c r="Z24" s="98">
        <f t="shared" ref="Z24:Z25" si="3">SUM(B24:Y24)</f>
        <v>2432.8957882113291</v>
      </c>
    </row>
    <row r="25" spans="1:28" x14ac:dyDescent="0.25">
      <c r="B25" s="110" cm="1">
        <f t="array" ref="B25">SUMPRODUCT(('Hours Log'!$A$2:$A$980=$A25)*('Hours Log'!$B$2:$B$980=B$2)*('Hours Log'!$C$2:$C$980=LOOKUP(2,1/($A$1:B$1&lt;&gt;""),$A$1:B$1))*(('Hours Log'!$F$2:$F$980)-('Hours Log'!$D$2:$D$980))*'Hours Log'!$AS$2:$AS$980)</f>
        <v>0</v>
      </c>
      <c r="C25" s="110" cm="1">
        <f t="array" ref="C25">SUMPRODUCT(('Hours Log'!$A$2:$A$980=$A25)*('Hours Log'!$B$2:$B$980=C$2)*('Hours Log'!$C$2:$C$980=LOOKUP(2,1/($A$1:C$1&lt;&gt;""),$A$1:C$1))*(('Hours Log'!$F$2:$F$980)-('Hours Log'!$D$2:$D$980))*'Hours Log'!$AS$2:$AS$980)</f>
        <v>0</v>
      </c>
      <c r="D25" s="111" cm="1">
        <f t="array" ref="D25">SUMPRODUCT(('Hours Log'!$A$2:$A$980=$A25)*('Hours Log'!$B$2:$B$980=D$2)*('Hours Log'!$C$2:$C$980=LOOKUP(2,1/($A$1:D$1&lt;&gt;""),$A$1:D$1))*(('Hours Log'!$F$2:$F$980)-('Hours Log'!$D$2:$D$980))*'Hours Log'!$AS$2:$AS$980)</f>
        <v>0</v>
      </c>
      <c r="E25" s="107" cm="1">
        <f t="array" ref="E25">SUMPRODUCT(('Hours Log'!$A$2:$A$980=$A25)*('Hours Log'!$B$2:$B$980=E$2)*('Hours Log'!$C$2:$C$980=LOOKUP(2,1/($A$1:E$1&lt;&gt;""),$A$1:E$1))*(('Hours Log'!$F$2:$F$980)-('Hours Log'!$D$2:$D$980))*'Hours Log'!$AS$2:$AS$980)</f>
        <v>0</v>
      </c>
      <c r="F25" s="95" cm="1">
        <f t="array" ref="F25">SUMPRODUCT(('Hours Log'!$A$2:$A$980=$A25)*('Hours Log'!$B$2:$B$980=F$2)*('Hours Log'!$C$2:$C$980=LOOKUP(2,1/($A$1:F$1&lt;&gt;""),$A$1:F$1))*(('Hours Log'!$F$2:$F$980)-('Hours Log'!$D$2:$D$980))*'Hours Log'!$AS$2:$AS$980)</f>
        <v>0</v>
      </c>
      <c r="G25" s="95" cm="1">
        <f t="array" ref="G25">SUMPRODUCT(('Hours Log'!$A$2:$A$980=$A25)*('Hours Log'!$B$2:$B$980=G$2)*('Hours Log'!$C$2:$C$980=LOOKUP(2,1/($A$1:G$1&lt;&gt;""),$A$1:G$1))*(('Hours Log'!$F$2:$F$980)-('Hours Log'!$D$2:$D$980))*'Hours Log'!$AS$2:$AS$980)</f>
        <v>0</v>
      </c>
      <c r="H25" s="95" cm="1">
        <f t="array" ref="H25">SUMPRODUCT(('Hours Log'!$A$2:$A$980=$A25)*('Hours Log'!$B$2:$B$980=H$2)*('Hours Log'!$C$2:$C$980=LOOKUP(2,1/($A$1:H$1&lt;&gt;""),$A$1:H$1))*(('Hours Log'!$F$2:$F$980)-('Hours Log'!$D$2:$D$980))*'Hours Log'!$AS$2:$AS$980)</f>
        <v>0</v>
      </c>
      <c r="I25" s="95" cm="1">
        <f t="array" ref="I25">SUMPRODUCT(('Hours Log'!$A$2:$A$980=$A25)*('Hours Log'!$B$2:$B$980=I$2)*('Hours Log'!$C$2:$C$980=LOOKUP(2,1/($A$1:I$1&lt;&gt;""),$A$1:I$1))*(('Hours Log'!$F$2:$F$980)-('Hours Log'!$D$2:$D$980))*'Hours Log'!$AS$2:$AS$980)</f>
        <v>0</v>
      </c>
      <c r="J25" s="95" cm="1">
        <f t="array" ref="J25">SUMPRODUCT(('Hours Log'!$A$2:$A$980=$A25)*('Hours Log'!$B$2:$B$980=J$2)*('Hours Log'!$C$2:$C$980=LOOKUP(2,1/($A$1:J$1&lt;&gt;""),$A$1:J$1))*(('Hours Log'!$F$2:$F$980)-('Hours Log'!$D$2:$D$980))*'Hours Log'!$AS$2:$AS$980)</f>
        <v>0</v>
      </c>
      <c r="K25" s="95" cm="1">
        <f t="array" ref="K25">SUMPRODUCT(('Hours Log'!$A$2:$A$980=$A25)*('Hours Log'!$B$2:$B$980=K$2)*('Hours Log'!$C$2:$C$980=LOOKUP(2,1/($A$1:K$1&lt;&gt;""),$A$1:K$1))*(('Hours Log'!$F$2:$F$980)-('Hours Log'!$D$2:$D$980))*'Hours Log'!$AS$2:$AS$980)</f>
        <v>0</v>
      </c>
      <c r="L25" s="95" cm="1">
        <f t="array" ref="L25">SUMPRODUCT(('Hours Log'!$A$2:$A$980=$A25)*('Hours Log'!$B$2:$B$980=L$2)*('Hours Log'!$C$2:$C$980=LOOKUP(2,1/($A$1:L$1&lt;&gt;""),$A$1:L$1))*(('Hours Log'!$F$2:$F$980)-('Hours Log'!$D$2:$D$980))*'Hours Log'!$AS$2:$AS$980)</f>
        <v>0</v>
      </c>
      <c r="M25" s="95" cm="1">
        <f t="array" ref="M25">SUMPRODUCT(('Hours Log'!$A$2:$A$980=$A25)*('Hours Log'!$B$2:$B$980=M$2)*('Hours Log'!$C$2:$C$980=LOOKUP(2,1/($A$1:M$1&lt;&gt;""),$A$1:M$1))*(('Hours Log'!$F$2:$F$980)-('Hours Log'!$D$2:$D$980))*'Hours Log'!$AS$2:$AS$980)</f>
        <v>0</v>
      </c>
      <c r="N25" s="95" cm="1">
        <f t="array" ref="N25">SUMPRODUCT(('Hours Log'!$A$2:$A$980=$A25)*('Hours Log'!$B$2:$B$980=N$2)*('Hours Log'!$C$2:$C$980=LOOKUP(2,1/($A$1:N$1&lt;&gt;""),$A$1:N$1))*(('Hours Log'!$F$2:$F$980)-('Hours Log'!$D$2:$D$980))*'Hours Log'!$AS$2:$AS$980)</f>
        <v>0</v>
      </c>
      <c r="O25" s="95" cm="1">
        <f t="array" ref="O25">SUMPRODUCT(('Hours Log'!$A$2:$A$980=$A25)*('Hours Log'!$B$2:$B$980=O$2)*('Hours Log'!$C$2:$C$980=LOOKUP(2,1/($A$1:O$1&lt;&gt;""),$A$1:O$1))*(('Hours Log'!$F$2:$F$980)-('Hours Log'!$D$2:$D$980))*'Hours Log'!$AS$2:$AS$980)</f>
        <v>0</v>
      </c>
      <c r="P25" s="96" cm="1">
        <f t="array" ref="P25">SUMPRODUCT(('Hours Log'!$A$2:$A$980=$A25)*('Hours Log'!$B$2:$B$980=P$2)*('Hours Log'!$C$2:$C$980=LOOKUP(2,1/($A$1:P$1&lt;&gt;""),$A$1:P$1))*(('Hours Log'!$F$2:$F$980)-('Hours Log'!$D$2:$D$980))*'Hours Log'!$AS$2:$AS$980)</f>
        <v>0</v>
      </c>
      <c r="Q25" s="7" cm="1">
        <f t="array" ref="Q25">SUMPRODUCT(('Hours Log'!$A$2:$A$980=$A25)*('Hours Log'!$B$2:$B$980=Q$2)*('Hours Log'!$C$2:$C$980=LOOKUP(2,1/($A$1:Q$1&lt;&gt;""),$A$1:Q$1))*(('Hours Log'!$F$2:$F$980)-('Hours Log'!$D$2:$D$980))*'Hours Log'!$AS$2:$AS$980)</f>
        <v>0</v>
      </c>
      <c r="R25" s="7" cm="1">
        <f t="array" ref="R25">SUMPRODUCT(('Hours Log'!$A$2:$A$980=$A25)*('Hours Log'!$B$2:$B$980=R$2)*('Hours Log'!$C$2:$C$980=LOOKUP(2,1/($A$1:R$1&lt;&gt;""),$A$1:R$1))*(('Hours Log'!$F$2:$F$980)-('Hours Log'!$D$2:$D$980))*'Hours Log'!$AS$2:$AS$980)</f>
        <v>0</v>
      </c>
      <c r="S25" s="7" cm="1">
        <f t="array" ref="S25">SUMPRODUCT(('Hours Log'!$A$2:$A$980=$A25)*('Hours Log'!$B$2:$B$980=S$2)*('Hours Log'!$C$2:$C$980=LOOKUP(2,1/($A$1:S$1&lt;&gt;""),$A$1:S$1))*(('Hours Log'!$F$2:$F$980)-('Hours Log'!$D$2:$D$980))*'Hours Log'!$AS$2:$AS$980)</f>
        <v>0</v>
      </c>
      <c r="T25" s="7" cm="1">
        <f t="array" ref="T25">SUMPRODUCT(('Hours Log'!$A$2:$A$980=$A25)*('Hours Log'!$B$2:$B$980=T$2)*('Hours Log'!$C$2:$C$980=LOOKUP(2,1/($A$1:T$1&lt;&gt;""),$A$1:T$1))*(('Hours Log'!$F$2:$F$980)-('Hours Log'!$D$2:$D$980))*'Hours Log'!$AS$2:$AS$980)</f>
        <v>0</v>
      </c>
      <c r="U25" s="7" cm="1">
        <f t="array" ref="U25">SUMPRODUCT(('Hours Log'!$A$2:$A$980=$A25)*('Hours Log'!$B$2:$B$980=U$2)*('Hours Log'!$C$2:$C$980=LOOKUP(2,1/($A$1:U$1&lt;&gt;""),$A$1:U$1))*(('Hours Log'!$F$2:$F$980)-('Hours Log'!$D$2:$D$980))*'Hours Log'!$AS$2:$AS$980)</f>
        <v>0</v>
      </c>
      <c r="V25" s="7" cm="1">
        <f t="array" ref="V25">SUMPRODUCT(('Hours Log'!$A$2:$A$980=$A25)*('Hours Log'!$B$2:$B$980=V$2)*('Hours Log'!$C$2:$C$980=LOOKUP(2,1/($A$1:V$1&lt;&gt;""),$A$1:V$1))*(('Hours Log'!$F$2:$F$980)-('Hours Log'!$D$2:$D$980))*'Hours Log'!$AS$2:$AS$980)</f>
        <v>0</v>
      </c>
      <c r="W25" s="7" cm="1">
        <f t="array" ref="W25">SUMPRODUCT(('Hours Log'!$A$2:$A$980=$A25)*('Hours Log'!$B$2:$B$980=W$2)*('Hours Log'!$C$2:$C$980=LOOKUP(2,1/($A$1:W$1&lt;&gt;""),$A$1:W$1))*(('Hours Log'!$F$2:$F$980)-('Hours Log'!$D$2:$D$980))*'Hours Log'!$AS$2:$AS$980)</f>
        <v>0</v>
      </c>
      <c r="X25" s="7" cm="1">
        <f t="array" ref="X25">SUMPRODUCT(('Hours Log'!$A$2:$A$980=$A25)*('Hours Log'!$B$2:$B$980=X$2)*('Hours Log'!$C$2:$C$980=LOOKUP(2,1/($A$1:X$1&lt;&gt;""),$A$1:X$1))*(('Hours Log'!$F$2:$F$980)-('Hours Log'!$D$2:$D$980))*'Hours Log'!$AS$2:$AS$980)</f>
        <v>0</v>
      </c>
      <c r="Z25" s="98">
        <f t="shared" si="3"/>
        <v>0</v>
      </c>
    </row>
    <row r="30" spans="1:28" x14ac:dyDescent="0.25">
      <c r="Z30" s="98">
        <f>SUM(Z19:Z29)</f>
        <v>42098.7697857858</v>
      </c>
    </row>
  </sheetData>
  <mergeCells count="6">
    <mergeCell ref="B1:D1"/>
    <mergeCell ref="E1:P1"/>
    <mergeCell ref="B17:D17"/>
    <mergeCell ref="E17:P17"/>
    <mergeCell ref="Q17:U17"/>
    <mergeCell ref="Q1:X1"/>
  </mergeCells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F0E51A-EAFB-4B5A-8FE3-E799B2660F62}">
  <dimension ref="A1:AN4"/>
  <sheetViews>
    <sheetView workbookViewId="0"/>
  </sheetViews>
  <sheetFormatPr defaultRowHeight="15" x14ac:dyDescent="0.25"/>
  <cols>
    <col min="1" max="1" width="15.7109375" bestFit="1" customWidth="1"/>
    <col min="2" max="2" width="8.28515625" bestFit="1" customWidth="1"/>
    <col min="3" max="4" width="10.42578125" bestFit="1" customWidth="1"/>
    <col min="5" max="5" width="7.7109375" bestFit="1" customWidth="1"/>
    <col min="6" max="6" width="8.85546875" bestFit="1" customWidth="1"/>
    <col min="7" max="7" width="6.42578125" bestFit="1" customWidth="1"/>
    <col min="8" max="8" width="5.140625" bestFit="1" customWidth="1"/>
    <col min="9" max="9" width="4.5703125" bestFit="1" customWidth="1"/>
    <col min="10" max="10" width="5.140625" bestFit="1" customWidth="1"/>
    <col min="11" max="11" width="4.42578125" bestFit="1" customWidth="1"/>
    <col min="12" max="12" width="7.140625" bestFit="1" customWidth="1"/>
    <col min="13" max="13" width="11" bestFit="1" customWidth="1"/>
    <col min="14" max="14" width="8.28515625" bestFit="1" customWidth="1"/>
    <col min="15" max="16" width="10.42578125" bestFit="1" customWidth="1"/>
    <col min="17" max="17" width="7.7109375" bestFit="1" customWidth="1"/>
    <col min="18" max="18" width="8.85546875" bestFit="1" customWidth="1"/>
    <col min="19" max="19" width="6.42578125" bestFit="1" customWidth="1"/>
    <col min="20" max="20" width="5.140625" bestFit="1" customWidth="1"/>
    <col min="21" max="21" width="4.5703125" bestFit="1" customWidth="1"/>
    <col min="22" max="22" width="5.140625" bestFit="1" customWidth="1"/>
    <col min="23" max="23" width="4.42578125" bestFit="1" customWidth="1"/>
    <col min="24" max="24" width="7.140625" bestFit="1" customWidth="1"/>
    <col min="25" max="25" width="11" bestFit="1" customWidth="1"/>
    <col min="26" max="26" width="8.28515625" bestFit="1" customWidth="1"/>
    <col min="27" max="28" width="10.42578125" bestFit="1" customWidth="1"/>
    <col min="37" max="37" width="11" bestFit="1" customWidth="1"/>
    <col min="39" max="40" width="10.42578125" bestFit="1" customWidth="1"/>
  </cols>
  <sheetData>
    <row r="1" spans="1:40" s="61" customFormat="1" x14ac:dyDescent="0.25">
      <c r="A1" s="63"/>
      <c r="B1" s="128">
        <v>2023</v>
      </c>
      <c r="C1" s="128"/>
      <c r="D1" s="128"/>
      <c r="E1" s="135">
        <v>2024</v>
      </c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36"/>
      <c r="Q1" s="135">
        <v>2025</v>
      </c>
      <c r="R1" s="128"/>
      <c r="S1" s="128"/>
      <c r="T1" s="128"/>
      <c r="U1" s="128"/>
      <c r="V1" s="128"/>
      <c r="W1" s="128"/>
      <c r="X1" s="128"/>
      <c r="Y1" s="128"/>
      <c r="Z1" s="128"/>
      <c r="AA1" s="128"/>
      <c r="AB1" s="136"/>
      <c r="AC1" s="135">
        <v>2026</v>
      </c>
      <c r="AD1" s="128"/>
      <c r="AE1" s="128"/>
      <c r="AF1" s="128"/>
      <c r="AG1" s="128"/>
      <c r="AH1" s="128"/>
      <c r="AI1" s="128"/>
      <c r="AJ1" s="128"/>
      <c r="AK1" s="128"/>
      <c r="AL1" s="128"/>
      <c r="AM1" s="128"/>
      <c r="AN1" s="128"/>
    </row>
    <row r="2" spans="1:40" s="61" customFormat="1" x14ac:dyDescent="0.25">
      <c r="A2" s="64"/>
      <c r="B2" s="62" t="s">
        <v>15</v>
      </c>
      <c r="C2" s="62" t="s">
        <v>16</v>
      </c>
      <c r="D2" s="62" t="s">
        <v>17</v>
      </c>
      <c r="E2" s="67" t="s">
        <v>6</v>
      </c>
      <c r="F2" s="62" t="s">
        <v>7</v>
      </c>
      <c r="G2" s="62" t="s">
        <v>8</v>
      </c>
      <c r="H2" s="62" t="s">
        <v>9</v>
      </c>
      <c r="I2" s="62" t="s">
        <v>10</v>
      </c>
      <c r="J2" s="62" t="s">
        <v>11</v>
      </c>
      <c r="K2" s="62" t="s">
        <v>12</v>
      </c>
      <c r="L2" s="62" t="s">
        <v>13</v>
      </c>
      <c r="M2" s="62" t="s">
        <v>14</v>
      </c>
      <c r="N2" s="62" t="s">
        <v>15</v>
      </c>
      <c r="O2" s="62" t="s">
        <v>16</v>
      </c>
      <c r="P2" s="64" t="s">
        <v>17</v>
      </c>
      <c r="Q2" s="67" t="s">
        <v>6</v>
      </c>
      <c r="R2" s="62" t="s">
        <v>7</v>
      </c>
      <c r="S2" s="62" t="s">
        <v>8</v>
      </c>
      <c r="T2" s="62" t="s">
        <v>9</v>
      </c>
      <c r="U2" s="62" t="s">
        <v>10</v>
      </c>
      <c r="V2" s="62" t="s">
        <v>11</v>
      </c>
      <c r="W2" s="62" t="s">
        <v>12</v>
      </c>
      <c r="X2" s="62" t="s">
        <v>13</v>
      </c>
      <c r="Y2" s="62" t="s">
        <v>14</v>
      </c>
      <c r="Z2" s="62" t="s">
        <v>15</v>
      </c>
      <c r="AA2" s="62" t="s">
        <v>16</v>
      </c>
      <c r="AB2" s="64" t="s">
        <v>17</v>
      </c>
      <c r="AC2" s="70" t="s">
        <v>6</v>
      </c>
      <c r="AD2" s="10" t="s">
        <v>7</v>
      </c>
      <c r="AE2" s="10" t="s">
        <v>8</v>
      </c>
      <c r="AF2" s="10" t="s">
        <v>9</v>
      </c>
      <c r="AG2" s="10" t="s">
        <v>10</v>
      </c>
      <c r="AH2" s="10" t="s">
        <v>11</v>
      </c>
      <c r="AI2" s="10" t="s">
        <v>12</v>
      </c>
      <c r="AJ2" s="10" t="s">
        <v>13</v>
      </c>
      <c r="AK2" s="10" t="s">
        <v>14</v>
      </c>
      <c r="AL2" s="10" t="s">
        <v>15</v>
      </c>
      <c r="AM2" s="10" t="s">
        <v>16</v>
      </c>
      <c r="AN2" s="10" t="s">
        <v>17</v>
      </c>
    </row>
    <row r="3" spans="1:40" x14ac:dyDescent="0.25">
      <c r="A3" s="63" t="s">
        <v>59</v>
      </c>
      <c r="B3">
        <v>22</v>
      </c>
      <c r="C3">
        <v>22</v>
      </c>
      <c r="D3">
        <v>21</v>
      </c>
      <c r="E3" s="68">
        <v>23</v>
      </c>
      <c r="F3">
        <v>21</v>
      </c>
      <c r="G3">
        <v>21</v>
      </c>
      <c r="H3">
        <v>22</v>
      </c>
      <c r="I3">
        <v>23</v>
      </c>
      <c r="J3">
        <v>20</v>
      </c>
      <c r="K3">
        <v>23</v>
      </c>
      <c r="L3">
        <v>22</v>
      </c>
      <c r="M3">
        <v>21</v>
      </c>
      <c r="N3">
        <v>23</v>
      </c>
      <c r="O3">
        <v>21</v>
      </c>
      <c r="P3" s="65">
        <v>22</v>
      </c>
      <c r="Q3" s="68">
        <v>23</v>
      </c>
      <c r="R3">
        <v>20</v>
      </c>
      <c r="S3">
        <v>21</v>
      </c>
      <c r="T3">
        <v>22</v>
      </c>
      <c r="U3">
        <v>22</v>
      </c>
      <c r="V3">
        <v>21</v>
      </c>
      <c r="W3">
        <v>23</v>
      </c>
      <c r="X3">
        <v>21</v>
      </c>
      <c r="Y3">
        <v>22</v>
      </c>
      <c r="Z3">
        <v>23</v>
      </c>
      <c r="AA3">
        <v>20</v>
      </c>
      <c r="AB3" s="65">
        <v>23</v>
      </c>
      <c r="AC3">
        <v>22</v>
      </c>
      <c r="AD3">
        <v>20</v>
      </c>
      <c r="AE3">
        <v>22</v>
      </c>
      <c r="AF3">
        <v>22</v>
      </c>
      <c r="AG3">
        <v>21</v>
      </c>
      <c r="AH3">
        <v>22</v>
      </c>
      <c r="AI3">
        <v>23</v>
      </c>
    </row>
    <row r="4" spans="1:40" x14ac:dyDescent="0.25">
      <c r="A4" s="63" t="s">
        <v>60</v>
      </c>
      <c r="B4">
        <f>B3*8</f>
        <v>176</v>
      </c>
      <c r="C4">
        <f t="shared" ref="C4:AB4" si="0">C3*8</f>
        <v>176</v>
      </c>
      <c r="D4">
        <f t="shared" si="0"/>
        <v>168</v>
      </c>
      <c r="E4" s="68">
        <f t="shared" si="0"/>
        <v>184</v>
      </c>
      <c r="F4">
        <f t="shared" si="0"/>
        <v>168</v>
      </c>
      <c r="G4">
        <f t="shared" si="0"/>
        <v>168</v>
      </c>
      <c r="H4">
        <f t="shared" si="0"/>
        <v>176</v>
      </c>
      <c r="I4">
        <f t="shared" si="0"/>
        <v>184</v>
      </c>
      <c r="J4">
        <f t="shared" si="0"/>
        <v>160</v>
      </c>
      <c r="K4">
        <f t="shared" si="0"/>
        <v>184</v>
      </c>
      <c r="L4">
        <f t="shared" si="0"/>
        <v>176</v>
      </c>
      <c r="M4">
        <f t="shared" si="0"/>
        <v>168</v>
      </c>
      <c r="N4">
        <f t="shared" si="0"/>
        <v>184</v>
      </c>
      <c r="O4">
        <f t="shared" si="0"/>
        <v>168</v>
      </c>
      <c r="P4" s="65">
        <f t="shared" si="0"/>
        <v>176</v>
      </c>
      <c r="Q4" s="68">
        <f t="shared" si="0"/>
        <v>184</v>
      </c>
      <c r="R4">
        <f t="shared" si="0"/>
        <v>160</v>
      </c>
      <c r="S4">
        <f t="shared" si="0"/>
        <v>168</v>
      </c>
      <c r="T4">
        <f t="shared" si="0"/>
        <v>176</v>
      </c>
      <c r="U4">
        <f t="shared" si="0"/>
        <v>176</v>
      </c>
      <c r="V4">
        <f t="shared" si="0"/>
        <v>168</v>
      </c>
      <c r="W4">
        <f t="shared" si="0"/>
        <v>184</v>
      </c>
      <c r="X4">
        <f t="shared" si="0"/>
        <v>168</v>
      </c>
      <c r="Y4">
        <f t="shared" si="0"/>
        <v>176</v>
      </c>
      <c r="Z4">
        <f t="shared" si="0"/>
        <v>184</v>
      </c>
      <c r="AA4">
        <f t="shared" si="0"/>
        <v>160</v>
      </c>
      <c r="AB4" s="65">
        <f t="shared" si="0"/>
        <v>184</v>
      </c>
      <c r="AC4">
        <f>AC3*8</f>
        <v>176</v>
      </c>
      <c r="AD4">
        <f>AD3*8</f>
        <v>160</v>
      </c>
      <c r="AE4">
        <f>AE3*8</f>
        <v>176</v>
      </c>
      <c r="AF4">
        <f t="shared" ref="AF4:AI4" si="1">AF3*8</f>
        <v>176</v>
      </c>
      <c r="AG4">
        <f t="shared" si="1"/>
        <v>168</v>
      </c>
      <c r="AH4">
        <f t="shared" si="1"/>
        <v>176</v>
      </c>
      <c r="AI4">
        <f t="shared" si="1"/>
        <v>184</v>
      </c>
    </row>
  </sheetData>
  <mergeCells count="4">
    <mergeCell ref="B1:D1"/>
    <mergeCell ref="E1:P1"/>
    <mergeCell ref="Q1:AB1"/>
    <mergeCell ref="AC1:AN1"/>
  </mergeCell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1DDA7-FD63-4376-9A49-108C7810D319}">
  <dimension ref="A1:BA10"/>
  <sheetViews>
    <sheetView workbookViewId="0"/>
  </sheetViews>
  <sheetFormatPr defaultColWidth="8.85546875" defaultRowHeight="15" x14ac:dyDescent="0.25"/>
  <cols>
    <col min="1" max="1" width="9.7109375" style="9" bestFit="1" customWidth="1"/>
    <col min="2" max="2" width="12.42578125" style="9" bestFit="1" customWidth="1"/>
    <col min="3" max="3" width="11.7109375" style="9" customWidth="1"/>
    <col min="4" max="4" width="12.28515625" style="9" bestFit="1" customWidth="1"/>
    <col min="5" max="5" width="8.85546875" style="9"/>
    <col min="6" max="6" width="10.7109375" style="9" bestFit="1" customWidth="1"/>
    <col min="7" max="7" width="11.7109375" style="9" bestFit="1" customWidth="1"/>
    <col min="8" max="9" width="11.7109375" style="9" customWidth="1"/>
    <col min="10" max="10" width="9.28515625" style="9" bestFit="1" customWidth="1"/>
    <col min="11" max="15" width="8.85546875" style="9"/>
    <col min="16" max="16" width="10.7109375" style="9" bestFit="1" customWidth="1"/>
    <col min="17" max="18" width="8.85546875" style="9"/>
    <col min="19" max="19" width="10.140625" style="9" bestFit="1" customWidth="1"/>
    <col min="20" max="20" width="11.5703125" style="9" bestFit="1" customWidth="1"/>
    <col min="21" max="21" width="11.7109375" style="9" bestFit="1" customWidth="1"/>
    <col min="22" max="22" width="12.28515625" style="9" bestFit="1" customWidth="1"/>
    <col min="23" max="23" width="8" style="9" bestFit="1" customWidth="1"/>
    <col min="24" max="24" width="10.140625" style="9" customWidth="1"/>
    <col min="25" max="33" width="8.85546875" style="9"/>
    <col min="34" max="34" width="11" style="9" bestFit="1" customWidth="1"/>
    <col min="35" max="36" width="8.85546875" style="9"/>
    <col min="37" max="37" width="10.140625" style="9" bestFit="1" customWidth="1"/>
    <col min="38" max="38" width="11.5703125" style="9" bestFit="1" customWidth="1"/>
    <col min="39" max="39" width="11.7109375" style="9" bestFit="1" customWidth="1"/>
    <col min="40" max="40" width="12.28515625" style="9" bestFit="1" customWidth="1"/>
    <col min="41" max="50" width="8.85546875" style="9"/>
    <col min="51" max="51" width="11.5703125" style="9" bestFit="1" customWidth="1"/>
    <col min="52" max="52" width="11.7109375" style="9" bestFit="1" customWidth="1"/>
    <col min="53" max="53" width="13" style="9" bestFit="1" customWidth="1"/>
    <col min="54" max="16384" width="8.85546875" style="9"/>
  </cols>
  <sheetData>
    <row r="1" spans="1:53" s="1" customFormat="1" x14ac:dyDescent="0.25">
      <c r="B1" s="128" t="s">
        <v>49</v>
      </c>
      <c r="C1" s="128"/>
      <c r="D1" s="128"/>
      <c r="E1" s="137">
        <v>2024</v>
      </c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9"/>
      <c r="W1" s="140">
        <v>2025</v>
      </c>
      <c r="X1" s="141"/>
      <c r="Y1" s="141"/>
      <c r="Z1" s="141"/>
      <c r="AA1" s="141"/>
      <c r="AB1" s="141"/>
      <c r="AC1" s="141"/>
      <c r="AD1" s="141"/>
      <c r="AE1" s="141"/>
      <c r="AF1" s="141"/>
      <c r="AG1" s="141"/>
      <c r="AH1" s="141"/>
      <c r="AI1" s="141"/>
      <c r="AJ1" s="141"/>
      <c r="AK1" s="141"/>
      <c r="AL1" s="141"/>
      <c r="AM1" s="141"/>
      <c r="AN1" s="142"/>
      <c r="AO1" s="143">
        <v>2026</v>
      </c>
      <c r="AP1" s="144"/>
      <c r="AQ1" s="144"/>
      <c r="AR1" s="144"/>
      <c r="AS1" s="144"/>
      <c r="AT1" s="144"/>
      <c r="AU1" s="144"/>
      <c r="AV1" s="144"/>
      <c r="AW1" s="144"/>
      <c r="AX1" s="144"/>
      <c r="AY1" s="144"/>
      <c r="AZ1" s="144"/>
      <c r="BA1" s="144"/>
    </row>
    <row r="2" spans="1:53" s="1" customFormat="1" x14ac:dyDescent="0.25">
      <c r="A2" s="10" t="s">
        <v>3</v>
      </c>
      <c r="B2" s="10" t="s">
        <v>39</v>
      </c>
      <c r="C2" s="10" t="s">
        <v>40</v>
      </c>
      <c r="D2" s="10" t="s">
        <v>50</v>
      </c>
      <c r="E2" s="15" t="s">
        <v>41</v>
      </c>
      <c r="F2" s="11" t="s">
        <v>42</v>
      </c>
      <c r="G2" s="11" t="s">
        <v>43</v>
      </c>
      <c r="H2" s="11" t="s">
        <v>6</v>
      </c>
      <c r="I2" s="11" t="s">
        <v>7</v>
      </c>
      <c r="J2" s="12" t="s">
        <v>8</v>
      </c>
      <c r="K2" s="11" t="s">
        <v>9</v>
      </c>
      <c r="L2" s="11" t="s">
        <v>10</v>
      </c>
      <c r="M2" s="12" t="s">
        <v>11</v>
      </c>
      <c r="N2" s="11" t="s">
        <v>12</v>
      </c>
      <c r="O2" s="11" t="s">
        <v>13</v>
      </c>
      <c r="P2" s="12" t="s">
        <v>14</v>
      </c>
      <c r="Q2" s="11" t="s">
        <v>15</v>
      </c>
      <c r="R2" s="11" t="s">
        <v>16</v>
      </c>
      <c r="S2" s="12" t="s">
        <v>17</v>
      </c>
      <c r="T2" s="12" t="s">
        <v>51</v>
      </c>
      <c r="U2" s="12" t="s">
        <v>52</v>
      </c>
      <c r="V2" s="16" t="s">
        <v>53</v>
      </c>
      <c r="W2" s="17" t="s">
        <v>41</v>
      </c>
      <c r="X2" s="13" t="s">
        <v>42</v>
      </c>
      <c r="Y2" s="13" t="s">
        <v>43</v>
      </c>
      <c r="Z2" s="13" t="s">
        <v>6</v>
      </c>
      <c r="AA2" s="13" t="s">
        <v>7</v>
      </c>
      <c r="AB2" s="14" t="s">
        <v>8</v>
      </c>
      <c r="AC2" s="13" t="s">
        <v>9</v>
      </c>
      <c r="AD2" s="13" t="s">
        <v>10</v>
      </c>
      <c r="AE2" s="14" t="s">
        <v>11</v>
      </c>
      <c r="AF2" s="13" t="s">
        <v>12</v>
      </c>
      <c r="AG2" s="13" t="s">
        <v>13</v>
      </c>
      <c r="AH2" s="14" t="s">
        <v>14</v>
      </c>
      <c r="AI2" s="13" t="s">
        <v>15</v>
      </c>
      <c r="AJ2" s="13" t="s">
        <v>16</v>
      </c>
      <c r="AK2" s="14" t="s">
        <v>17</v>
      </c>
      <c r="AL2" s="14" t="s">
        <v>51</v>
      </c>
      <c r="AM2" s="14" t="s">
        <v>52</v>
      </c>
      <c r="AN2" s="18" t="s">
        <v>53</v>
      </c>
      <c r="AO2" s="40" t="s">
        <v>41</v>
      </c>
      <c r="AP2" s="40" t="s">
        <v>42</v>
      </c>
      <c r="AQ2" s="40" t="s">
        <v>43</v>
      </c>
      <c r="AR2" s="40" t="s">
        <v>6</v>
      </c>
      <c r="AS2" s="40" t="s">
        <v>7</v>
      </c>
      <c r="AT2" s="41" t="s">
        <v>8</v>
      </c>
      <c r="AU2" s="40" t="s">
        <v>9</v>
      </c>
      <c r="AV2" s="40" t="s">
        <v>10</v>
      </c>
      <c r="AW2" s="41" t="s">
        <v>11</v>
      </c>
      <c r="AX2" s="40" t="s">
        <v>12</v>
      </c>
      <c r="AY2" s="40" t="s">
        <v>51</v>
      </c>
      <c r="AZ2" s="40" t="s">
        <v>52</v>
      </c>
      <c r="BA2" s="40" t="s">
        <v>53</v>
      </c>
    </row>
    <row r="3" spans="1:53" x14ac:dyDescent="0.25">
      <c r="A3" s="9" t="s">
        <v>44</v>
      </c>
      <c r="B3" s="9">
        <v>177</v>
      </c>
      <c r="C3" s="21">
        <v>63.83</v>
      </c>
      <c r="D3" s="21">
        <f>B3*C3</f>
        <v>11297.91</v>
      </c>
      <c r="E3" s="25">
        <f>73299.18/2080</f>
        <v>35.239990384615382</v>
      </c>
      <c r="F3" s="26">
        <v>0.1913</v>
      </c>
      <c r="G3" s="27">
        <f>E3*(1+F3)</f>
        <v>41.981400545192308</v>
      </c>
      <c r="H3" s="28"/>
      <c r="I3" s="28"/>
      <c r="J3" s="28">
        <v>80</v>
      </c>
      <c r="K3" s="28">
        <v>176</v>
      </c>
      <c r="L3" s="28">
        <v>184</v>
      </c>
      <c r="M3" s="28">
        <v>160</v>
      </c>
      <c r="N3" s="28">
        <v>184</v>
      </c>
      <c r="O3" s="28">
        <v>176</v>
      </c>
      <c r="P3" s="28">
        <v>168</v>
      </c>
      <c r="Q3" s="28">
        <v>100.55</v>
      </c>
      <c r="R3" s="28">
        <v>93.33</v>
      </c>
      <c r="S3" s="28">
        <v>97.78</v>
      </c>
      <c r="T3" s="27">
        <f>G3*(SUM(H3:S3))</f>
        <v>59599.315097987703</v>
      </c>
      <c r="U3" s="29">
        <f>D3*10</f>
        <v>112979.1</v>
      </c>
      <c r="V3" s="30">
        <f>T3-U3</f>
        <v>-53379.784902012303</v>
      </c>
      <c r="W3" s="34">
        <f>78307.73/2080</f>
        <v>37.647947115384611</v>
      </c>
      <c r="X3" s="35">
        <v>0.22450000000000001</v>
      </c>
      <c r="Y3" s="36">
        <f>W3*(1+X3)</f>
        <v>46.099911242788451</v>
      </c>
      <c r="Z3" s="37">
        <v>100</v>
      </c>
      <c r="AA3" s="37">
        <v>80</v>
      </c>
      <c r="AB3" s="37">
        <v>100</v>
      </c>
      <c r="AC3" s="37">
        <v>100</v>
      </c>
      <c r="AD3" s="37">
        <v>100</v>
      </c>
      <c r="AE3" s="37">
        <v>100</v>
      </c>
      <c r="AF3" s="37">
        <v>100</v>
      </c>
      <c r="AG3" s="37">
        <v>100</v>
      </c>
      <c r="AH3" s="37">
        <v>100</v>
      </c>
      <c r="AI3" s="37">
        <v>100</v>
      </c>
      <c r="AJ3" s="37">
        <v>100</v>
      </c>
      <c r="AK3" s="37">
        <v>100</v>
      </c>
      <c r="AL3" s="36">
        <f>Y3*(SUM(Z3:AK3))</f>
        <v>54397.89526649037</v>
      </c>
      <c r="AM3" s="38">
        <f>D3*12</f>
        <v>135574.91999999998</v>
      </c>
      <c r="AN3" s="39">
        <f>AL3-AM3</f>
        <v>-81177.024733509606</v>
      </c>
      <c r="AO3" s="43">
        <f>81000/2080</f>
        <v>38.942307692307693</v>
      </c>
      <c r="AP3" s="48">
        <v>0.23630000000000001</v>
      </c>
      <c r="AQ3" s="49">
        <f>AO3*(1+AP3)</f>
        <v>48.144374999999997</v>
      </c>
      <c r="AR3" s="42"/>
      <c r="AS3" s="42"/>
      <c r="AT3" s="42"/>
      <c r="AU3" s="42"/>
      <c r="AV3" s="42"/>
      <c r="AW3" s="42"/>
      <c r="AX3" s="42"/>
      <c r="AY3" s="43">
        <f>AQ3*(SUM(AR3:AX3))</f>
        <v>0</v>
      </c>
      <c r="AZ3" s="44">
        <f>D3*7</f>
        <v>79085.37</v>
      </c>
      <c r="BA3" s="43">
        <f>AY3-AZ3</f>
        <v>-79085.37</v>
      </c>
    </row>
    <row r="4" spans="1:53" x14ac:dyDescent="0.25">
      <c r="A4" s="9" t="s">
        <v>45</v>
      </c>
      <c r="B4" s="9">
        <v>44</v>
      </c>
      <c r="C4" s="21">
        <v>34.53</v>
      </c>
      <c r="D4" s="21">
        <f t="shared" ref="D4:D7" si="0">B4*C4</f>
        <v>1519.3200000000002</v>
      </c>
      <c r="E4" s="25">
        <f>49157.16/2080</f>
        <v>23.63325</v>
      </c>
      <c r="F4" s="26">
        <v>0.1913</v>
      </c>
      <c r="G4" s="27">
        <f>E4*(1+F4)</f>
        <v>28.154290725000003</v>
      </c>
      <c r="H4" s="28">
        <v>5</v>
      </c>
      <c r="I4" s="28">
        <v>27</v>
      </c>
      <c r="J4" s="28">
        <v>40</v>
      </c>
      <c r="K4" s="28">
        <v>45</v>
      </c>
      <c r="L4" s="28">
        <v>57</v>
      </c>
      <c r="M4" s="28">
        <v>44</v>
      </c>
      <c r="N4" s="28">
        <v>37</v>
      </c>
      <c r="O4" s="28">
        <v>48</v>
      </c>
      <c r="P4" s="28">
        <v>45</v>
      </c>
      <c r="Q4" s="28">
        <v>39</v>
      </c>
      <c r="R4" s="28">
        <v>41</v>
      </c>
      <c r="S4" s="28">
        <v>29</v>
      </c>
      <c r="T4" s="27">
        <f>G4*(SUM(H4:S4))</f>
        <v>12866.510861325001</v>
      </c>
      <c r="U4" s="29">
        <f t="shared" ref="U4:U7" si="1">D4*10</f>
        <v>15193.2</v>
      </c>
      <c r="V4" s="30">
        <f t="shared" ref="V4:V7" si="2">T4-U4</f>
        <v>-2326.6891386749994</v>
      </c>
      <c r="W4" s="34">
        <f>59850/2080</f>
        <v>28.77403846153846</v>
      </c>
      <c r="X4" s="35">
        <v>0.22450000000000001</v>
      </c>
      <c r="Y4" s="36">
        <f>W4*(1+X4)</f>
        <v>35.233810096153839</v>
      </c>
      <c r="Z4" s="37">
        <v>42</v>
      </c>
      <c r="AA4" s="37">
        <v>37</v>
      </c>
      <c r="AB4" s="37">
        <v>44</v>
      </c>
      <c r="AC4" s="37">
        <v>50</v>
      </c>
      <c r="AD4" s="37">
        <v>50</v>
      </c>
      <c r="AE4" s="37"/>
      <c r="AF4" s="37"/>
      <c r="AG4" s="37"/>
      <c r="AH4" s="37"/>
      <c r="AI4" s="37"/>
      <c r="AJ4" s="37"/>
      <c r="AK4" s="37"/>
      <c r="AL4" s="36">
        <f>Y4*(SUM(Z4:AK4))</f>
        <v>7857.1396514423059</v>
      </c>
      <c r="AM4" s="38">
        <f t="shared" ref="AM4:AM7" si="3">D4*12</f>
        <v>18231.840000000004</v>
      </c>
      <c r="AN4" s="39">
        <f t="shared" ref="AN4:AN7" si="4">AL4-AM4</f>
        <v>-10374.700348557697</v>
      </c>
      <c r="AO4" s="43">
        <f>65000/2080</f>
        <v>31.25</v>
      </c>
      <c r="AP4" s="48">
        <v>0.23630000000000001</v>
      </c>
      <c r="AQ4" s="49">
        <f t="shared" ref="AQ4:AQ7" si="5">AO4*(1+AP4)</f>
        <v>38.634374999999999</v>
      </c>
      <c r="AR4" s="42"/>
      <c r="AS4" s="42"/>
      <c r="AT4" s="42"/>
      <c r="AU4" s="42"/>
      <c r="AV4" s="42"/>
      <c r="AW4" s="42"/>
      <c r="AX4" s="42"/>
      <c r="AY4" s="43">
        <f t="shared" ref="AY4:AY8" si="6">AQ4*(SUM(AR4:AX4))</f>
        <v>0</v>
      </c>
      <c r="AZ4" s="44">
        <f t="shared" ref="AZ4:AZ7" si="7">D4*7</f>
        <v>10635.240000000002</v>
      </c>
      <c r="BA4" s="43">
        <f t="shared" ref="BA4:BA8" si="8">AY4-AZ4</f>
        <v>-10635.240000000002</v>
      </c>
    </row>
    <row r="5" spans="1:53" x14ac:dyDescent="0.25">
      <c r="A5" s="9" t="s">
        <v>46</v>
      </c>
      <c r="B5" s="9">
        <v>14</v>
      </c>
      <c r="C5" s="21">
        <v>92.08</v>
      </c>
      <c r="D5" s="21">
        <f t="shared" si="0"/>
        <v>1289.1199999999999</v>
      </c>
      <c r="E5" s="25">
        <f>134499.99/2080</f>
        <v>64.663456730769227</v>
      </c>
      <c r="F5" s="26">
        <v>0.1913</v>
      </c>
      <c r="G5" s="27">
        <f>E5*(1+F5)</f>
        <v>77.033576003365383</v>
      </c>
      <c r="H5" s="28">
        <v>15</v>
      </c>
      <c r="I5" s="28">
        <v>17</v>
      </c>
      <c r="J5" s="28">
        <v>55</v>
      </c>
      <c r="K5" s="28">
        <v>43</v>
      </c>
      <c r="L5" s="28">
        <v>45</v>
      </c>
      <c r="M5" s="28">
        <v>42</v>
      </c>
      <c r="N5" s="28">
        <v>45</v>
      </c>
      <c r="O5" s="28">
        <v>33</v>
      </c>
      <c r="P5" s="28">
        <v>60</v>
      </c>
      <c r="Q5" s="28">
        <v>40</v>
      </c>
      <c r="R5" s="28">
        <v>30</v>
      </c>
      <c r="S5" s="28">
        <v>30</v>
      </c>
      <c r="T5" s="27">
        <f>G5*(SUM(H5:S5))</f>
        <v>35050.277081531247</v>
      </c>
      <c r="U5" s="29">
        <f t="shared" si="1"/>
        <v>12891.199999999999</v>
      </c>
      <c r="V5" s="30">
        <f t="shared" si="2"/>
        <v>22159.07708153125</v>
      </c>
      <c r="W5" s="34">
        <f>171799.06/2080</f>
        <v>82.595701923076916</v>
      </c>
      <c r="X5" s="35">
        <v>0.22450000000000001</v>
      </c>
      <c r="Y5" s="36">
        <f>W5*(1+X5)</f>
        <v>101.13843700480768</v>
      </c>
      <c r="Z5" s="37">
        <v>52.7</v>
      </c>
      <c r="AA5" s="37">
        <v>49.23</v>
      </c>
      <c r="AB5" s="37">
        <v>34.51</v>
      </c>
      <c r="AC5" s="37">
        <v>24</v>
      </c>
      <c r="AD5" s="37">
        <v>35.11</v>
      </c>
      <c r="AE5" s="37">
        <v>28.73</v>
      </c>
      <c r="AF5" s="37">
        <v>31.87</v>
      </c>
      <c r="AG5" s="37">
        <v>19.809999999999999</v>
      </c>
      <c r="AH5" s="37">
        <v>27.88</v>
      </c>
      <c r="AI5" s="37">
        <v>53.06</v>
      </c>
      <c r="AJ5" s="37">
        <v>53.85</v>
      </c>
      <c r="AK5" s="37">
        <v>69.760000000000005</v>
      </c>
      <c r="AL5" s="36">
        <f>Y5*(SUM(Z5:AK5))</f>
        <v>48598.030365180137</v>
      </c>
      <c r="AM5" s="38">
        <f t="shared" si="3"/>
        <v>15469.439999999999</v>
      </c>
      <c r="AN5" s="39">
        <f t="shared" si="4"/>
        <v>33128.590365180135</v>
      </c>
      <c r="AO5" s="43">
        <f>189625/2080</f>
        <v>91.165865384615387</v>
      </c>
      <c r="AP5" s="48">
        <v>0.23630000000000001</v>
      </c>
      <c r="AQ5" s="49">
        <f t="shared" si="5"/>
        <v>112.708359375</v>
      </c>
      <c r="AR5" s="42">
        <v>57.8</v>
      </c>
      <c r="AS5" s="42">
        <v>44.02</v>
      </c>
      <c r="AT5" s="42">
        <v>50.29</v>
      </c>
      <c r="AU5" s="42">
        <v>27.58</v>
      </c>
      <c r="AV5" s="42">
        <v>35.880000000000003</v>
      </c>
      <c r="AW5" s="42">
        <v>32.590000000000003</v>
      </c>
      <c r="AX5" s="42">
        <v>40.57</v>
      </c>
      <c r="AY5" s="43">
        <f t="shared" si="6"/>
        <v>32542.284602343752</v>
      </c>
      <c r="AZ5" s="44">
        <f t="shared" si="7"/>
        <v>9023.84</v>
      </c>
      <c r="BA5" s="43">
        <f t="shared" si="8"/>
        <v>23518.444602343752</v>
      </c>
    </row>
    <row r="6" spans="1:53" x14ac:dyDescent="0.25">
      <c r="A6" s="9" t="s">
        <v>47</v>
      </c>
      <c r="B6" s="9">
        <v>88</v>
      </c>
      <c r="C6" s="21">
        <v>63.83</v>
      </c>
      <c r="D6" s="21">
        <f t="shared" si="0"/>
        <v>5617.04</v>
      </c>
      <c r="E6" s="25">
        <f>78771.67/2080</f>
        <v>37.870995192307689</v>
      </c>
      <c r="F6" s="26">
        <v>0.1913</v>
      </c>
      <c r="G6" s="27">
        <f>E6*(1+F6)</f>
        <v>45.115716572596149</v>
      </c>
      <c r="H6" s="28">
        <v>87</v>
      </c>
      <c r="I6" s="28">
        <v>87</v>
      </c>
      <c r="J6" s="28">
        <v>87</v>
      </c>
      <c r="K6" s="28">
        <v>87</v>
      </c>
      <c r="L6" s="28">
        <v>87</v>
      </c>
      <c r="M6" s="28">
        <v>87</v>
      </c>
      <c r="N6" s="28">
        <v>87</v>
      </c>
      <c r="O6" s="28">
        <v>87</v>
      </c>
      <c r="P6" s="28">
        <v>87</v>
      </c>
      <c r="Q6" s="28">
        <v>87</v>
      </c>
      <c r="R6" s="28">
        <v>87</v>
      </c>
      <c r="S6" s="28">
        <v>87</v>
      </c>
      <c r="T6" s="27">
        <f>G6*(SUM(H6:S6))</f>
        <v>47100.808101790382</v>
      </c>
      <c r="U6" s="29">
        <f t="shared" si="1"/>
        <v>56170.400000000001</v>
      </c>
      <c r="V6" s="30">
        <f t="shared" si="2"/>
        <v>-9069.5918982096191</v>
      </c>
      <c r="W6" s="34">
        <f>78492.76/2080</f>
        <v>37.736903846153844</v>
      </c>
      <c r="X6" s="35">
        <v>0.22450000000000001</v>
      </c>
      <c r="Y6" s="36">
        <f>W6*(1+X6)</f>
        <v>46.208838759615382</v>
      </c>
      <c r="Z6" s="37">
        <v>59</v>
      </c>
      <c r="AA6" s="37">
        <v>66.91</v>
      </c>
      <c r="AB6" s="37">
        <v>57.19</v>
      </c>
      <c r="AC6" s="37">
        <v>63.06</v>
      </c>
      <c r="AD6" s="37">
        <v>47.46</v>
      </c>
      <c r="AE6" s="37">
        <v>71.150000000000006</v>
      </c>
      <c r="AF6" s="37">
        <v>48</v>
      </c>
      <c r="AG6" s="37">
        <v>75</v>
      </c>
      <c r="AH6" s="37">
        <v>72.53</v>
      </c>
      <c r="AI6" s="37">
        <v>62.13</v>
      </c>
      <c r="AJ6" s="37">
        <v>53.03</v>
      </c>
      <c r="AK6" s="37">
        <v>48</v>
      </c>
      <c r="AL6" s="36">
        <f>Y6*(SUM(Z6:AK6))</f>
        <v>33430.246489031342</v>
      </c>
      <c r="AM6" s="38">
        <f t="shared" si="3"/>
        <v>67404.479999999996</v>
      </c>
      <c r="AN6" s="39">
        <f t="shared" si="4"/>
        <v>-33974.233510968654</v>
      </c>
      <c r="AO6" s="43">
        <f>80000/2080</f>
        <v>38.46153846153846</v>
      </c>
      <c r="AP6" s="48">
        <v>0.23630000000000001</v>
      </c>
      <c r="AQ6" s="49">
        <f t="shared" si="5"/>
        <v>47.55</v>
      </c>
      <c r="AR6" s="42"/>
      <c r="AS6" s="42"/>
      <c r="AT6" s="42"/>
      <c r="AU6" s="42"/>
      <c r="AV6" s="42"/>
      <c r="AW6" s="42"/>
      <c r="AX6" s="42"/>
      <c r="AY6" s="43">
        <f t="shared" si="6"/>
        <v>0</v>
      </c>
      <c r="AZ6" s="44">
        <f t="shared" si="7"/>
        <v>39319.279999999999</v>
      </c>
      <c r="BA6" s="43">
        <f t="shared" si="8"/>
        <v>-39319.279999999999</v>
      </c>
    </row>
    <row r="7" spans="1:53" x14ac:dyDescent="0.25">
      <c r="A7" s="9" t="s">
        <v>48</v>
      </c>
      <c r="B7" s="9">
        <v>88</v>
      </c>
      <c r="C7" s="21">
        <v>63.83</v>
      </c>
      <c r="D7" s="21">
        <f t="shared" si="0"/>
        <v>5617.04</v>
      </c>
      <c r="E7" s="25">
        <f>68442.31/2080</f>
        <v>32.904956730769229</v>
      </c>
      <c r="F7" s="26">
        <v>0.1913</v>
      </c>
      <c r="G7" s="27">
        <f>E7*(1+F7)</f>
        <v>39.199674953365381</v>
      </c>
      <c r="H7" s="28"/>
      <c r="I7" s="28"/>
      <c r="J7" s="28">
        <v>80</v>
      </c>
      <c r="K7" s="28">
        <v>88</v>
      </c>
      <c r="L7" s="28">
        <v>88</v>
      </c>
      <c r="M7" s="28">
        <v>88</v>
      </c>
      <c r="N7" s="28">
        <v>88</v>
      </c>
      <c r="O7" s="28">
        <v>88</v>
      </c>
      <c r="P7" s="28">
        <v>88</v>
      </c>
      <c r="Q7" s="28">
        <v>88</v>
      </c>
      <c r="R7" s="28">
        <v>88</v>
      </c>
      <c r="S7" s="28">
        <v>88</v>
      </c>
      <c r="T7" s="27">
        <f>G7*(SUM(H7:S7))</f>
        <v>34182.116559334616</v>
      </c>
      <c r="U7" s="29">
        <f t="shared" si="1"/>
        <v>56170.400000000001</v>
      </c>
      <c r="V7" s="30">
        <f t="shared" si="2"/>
        <v>-21988.283440665386</v>
      </c>
      <c r="W7" s="34">
        <f>76312.09/2080</f>
        <v>36.688504807692304</v>
      </c>
      <c r="X7" s="35">
        <v>0.22450000000000001</v>
      </c>
      <c r="Y7" s="36">
        <f>W7*(1+X7)</f>
        <v>44.925074137019223</v>
      </c>
      <c r="Z7" s="37">
        <v>88</v>
      </c>
      <c r="AA7" s="37">
        <v>80</v>
      </c>
      <c r="AB7" s="37">
        <v>80</v>
      </c>
      <c r="AC7" s="37">
        <v>80</v>
      </c>
      <c r="AD7" s="37">
        <v>80</v>
      </c>
      <c r="AE7" s="37">
        <v>80</v>
      </c>
      <c r="AF7" s="37">
        <v>80</v>
      </c>
      <c r="AG7" s="37">
        <v>80</v>
      </c>
      <c r="AH7" s="37">
        <v>81</v>
      </c>
      <c r="AI7" s="37">
        <v>84</v>
      </c>
      <c r="AJ7" s="37">
        <v>80</v>
      </c>
      <c r="AK7" s="37">
        <v>80</v>
      </c>
      <c r="AL7" s="36">
        <f>Y7*(SUM(Z7:AK7))</f>
        <v>43712.097135319702</v>
      </c>
      <c r="AM7" s="38">
        <f t="shared" si="3"/>
        <v>67404.479999999996</v>
      </c>
      <c r="AN7" s="39">
        <f t="shared" si="4"/>
        <v>-23692.382864680294</v>
      </c>
      <c r="AO7" s="43">
        <f>80000/2080</f>
        <v>38.46153846153846</v>
      </c>
      <c r="AP7" s="48">
        <v>0.23630000000000001</v>
      </c>
      <c r="AQ7" s="49">
        <f t="shared" si="5"/>
        <v>47.55</v>
      </c>
      <c r="AR7" s="42">
        <v>95.57</v>
      </c>
      <c r="AS7" s="42">
        <v>90.4</v>
      </c>
      <c r="AT7" s="42">
        <v>99.4</v>
      </c>
      <c r="AU7" s="42">
        <v>97.04</v>
      </c>
      <c r="AV7" s="42">
        <v>93.13</v>
      </c>
      <c r="AW7" s="42">
        <v>97.04</v>
      </c>
      <c r="AX7" s="42">
        <v>101.8</v>
      </c>
      <c r="AY7" s="43">
        <f t="shared" si="6"/>
        <v>32066.768999999997</v>
      </c>
      <c r="AZ7" s="44">
        <f t="shared" si="7"/>
        <v>39319.279999999999</v>
      </c>
      <c r="BA7" s="43">
        <f t="shared" si="8"/>
        <v>-7252.5110000000022</v>
      </c>
    </row>
    <row r="8" spans="1:53" x14ac:dyDescent="0.25">
      <c r="A8" s="9" t="s">
        <v>57</v>
      </c>
      <c r="AY8" s="31">
        <f t="shared" si="6"/>
        <v>0</v>
      </c>
      <c r="AZ8" s="32">
        <f t="shared" ref="AZ8" si="9">AM8</f>
        <v>0</v>
      </c>
      <c r="BA8" s="31">
        <f t="shared" si="8"/>
        <v>0</v>
      </c>
    </row>
    <row r="10" spans="1:53" x14ac:dyDescent="0.25">
      <c r="A10" s="9" t="s">
        <v>58</v>
      </c>
      <c r="E10" s="31">
        <f>71346.13/2080</f>
        <v>34.301024038461541</v>
      </c>
      <c r="F10" s="59">
        <v>0.1913</v>
      </c>
      <c r="G10" s="60">
        <f t="shared" ref="G10" si="10">E10*(1+F10)</f>
        <v>40.862809937019236</v>
      </c>
      <c r="H10" s="9">
        <v>0</v>
      </c>
      <c r="I10" s="9">
        <v>1.5</v>
      </c>
      <c r="J10" s="9">
        <v>3</v>
      </c>
      <c r="K10" s="9">
        <v>2.5</v>
      </c>
      <c r="L10" s="9">
        <v>12</v>
      </c>
      <c r="M10" s="9">
        <v>0.5</v>
      </c>
      <c r="N10" s="9">
        <v>2.5</v>
      </c>
      <c r="O10" s="9">
        <v>2</v>
      </c>
      <c r="P10" s="9">
        <v>0</v>
      </c>
      <c r="Q10" s="9">
        <v>0</v>
      </c>
      <c r="R10" s="9">
        <v>0</v>
      </c>
      <c r="S10" s="9">
        <v>0</v>
      </c>
      <c r="T10" s="60">
        <f>G10*SUM(H10:S10)</f>
        <v>980.70743848846166</v>
      </c>
      <c r="U10" s="9">
        <v>0</v>
      </c>
      <c r="V10" s="31">
        <f t="shared" ref="V10" si="11">T10-U10</f>
        <v>980.70743848846166</v>
      </c>
      <c r="W10" s="31">
        <f>71317.16/2080</f>
        <v>34.287096153846157</v>
      </c>
      <c r="X10" s="59">
        <v>0.22450000000000001</v>
      </c>
      <c r="Y10" s="31">
        <f>W10*(1+X10)</f>
        <v>41.984549240384617</v>
      </c>
      <c r="Z10" s="9">
        <v>2.75</v>
      </c>
      <c r="AA10" s="9">
        <v>0.5</v>
      </c>
      <c r="AB10" s="9">
        <v>1</v>
      </c>
      <c r="AC10" s="9">
        <v>3</v>
      </c>
      <c r="AD10" s="9">
        <v>2</v>
      </c>
      <c r="AE10" s="9">
        <v>4.5</v>
      </c>
      <c r="AF10" s="9">
        <v>2</v>
      </c>
      <c r="AG10" s="9">
        <v>1</v>
      </c>
      <c r="AH10" s="9">
        <v>1.5</v>
      </c>
      <c r="AI10" s="9">
        <v>3</v>
      </c>
      <c r="AJ10" s="9">
        <v>1</v>
      </c>
      <c r="AK10" s="9">
        <v>2</v>
      </c>
      <c r="AL10" s="60">
        <f>Y10*SUM(Z10:AK10)</f>
        <v>1018.1253190793269</v>
      </c>
      <c r="AM10" s="9">
        <v>0</v>
      </c>
      <c r="AN10" s="60">
        <f>AL10-AM10</f>
        <v>1018.1253190793269</v>
      </c>
      <c r="AO10" s="31">
        <f>77000/2080</f>
        <v>37.019230769230766</v>
      </c>
      <c r="AP10" s="59">
        <v>0.23630000000000001</v>
      </c>
      <c r="AQ10" s="60">
        <f>AO10*(1+AP10)</f>
        <v>45.766874999999992</v>
      </c>
      <c r="AR10" s="9">
        <v>0.5</v>
      </c>
      <c r="AS10" s="9">
        <v>1</v>
      </c>
      <c r="AT10" s="9">
        <v>3.5</v>
      </c>
      <c r="AU10" s="9">
        <v>1.5</v>
      </c>
      <c r="AV10" s="9">
        <v>1.5</v>
      </c>
      <c r="AW10" s="9">
        <v>0.5</v>
      </c>
      <c r="AX10" s="9">
        <v>1.5</v>
      </c>
      <c r="AY10" s="60">
        <f>AQ10*SUM(AR10:AX10)</f>
        <v>457.66874999999993</v>
      </c>
      <c r="AZ10" s="9">
        <v>0</v>
      </c>
      <c r="BA10" s="60">
        <f>AY10-AZ10</f>
        <v>457.66874999999993</v>
      </c>
    </row>
  </sheetData>
  <mergeCells count="4">
    <mergeCell ref="B1:D1"/>
    <mergeCell ref="E1:V1"/>
    <mergeCell ref="W1:AN1"/>
    <mergeCell ref="AO1:BA1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1611B6-6970-4A08-BFF3-A447E45062C5}">
  <dimension ref="A1:BI13"/>
  <sheetViews>
    <sheetView workbookViewId="0"/>
  </sheetViews>
  <sheetFormatPr defaultColWidth="8.85546875" defaultRowHeight="15" x14ac:dyDescent="0.25"/>
  <cols>
    <col min="1" max="1" width="9.7109375" style="9" bestFit="1" customWidth="1"/>
    <col min="2" max="2" width="12.42578125" style="9" bestFit="1" customWidth="1"/>
    <col min="3" max="3" width="11.5703125" style="9" bestFit="1" customWidth="1"/>
    <col min="4" max="12" width="11.85546875" style="9" customWidth="1"/>
    <col min="13" max="13" width="12.28515625" style="9" bestFit="1" customWidth="1"/>
    <col min="14" max="24" width="8.85546875" style="9"/>
    <col min="25" max="25" width="10.7109375" style="9" bestFit="1" customWidth="1"/>
    <col min="26" max="26" width="8.85546875" style="9"/>
    <col min="27" max="28" width="10.140625" style="9" bestFit="1" customWidth="1"/>
    <col min="29" max="29" width="11.5703125" style="9" bestFit="1" customWidth="1"/>
    <col min="30" max="30" width="11.7109375" style="9" bestFit="1" customWidth="1"/>
    <col min="31" max="31" width="13.42578125" style="9" bestFit="1" customWidth="1"/>
    <col min="32" max="45" width="8.85546875" style="9"/>
    <col min="46" max="46" width="10.140625" style="9" bestFit="1" customWidth="1"/>
    <col min="47" max="47" width="12" style="9" bestFit="1" customWidth="1"/>
    <col min="48" max="48" width="11.7109375" style="9" bestFit="1" customWidth="1"/>
    <col min="49" max="49" width="12.28515625" style="9" bestFit="1" customWidth="1"/>
    <col min="50" max="58" width="8.85546875" style="9"/>
    <col min="59" max="59" width="11.140625" style="9" bestFit="1" customWidth="1"/>
    <col min="60" max="60" width="11.7109375" style="9" bestFit="1" customWidth="1"/>
    <col min="61" max="61" width="11.28515625" style="9" bestFit="1" customWidth="1"/>
    <col min="62" max="16384" width="8.85546875" style="9"/>
  </cols>
  <sheetData>
    <row r="1" spans="1:61" x14ac:dyDescent="0.25">
      <c r="A1" s="1"/>
      <c r="B1" s="128" t="s">
        <v>49</v>
      </c>
      <c r="C1" s="128"/>
      <c r="D1" s="128"/>
      <c r="E1" s="146">
        <v>2023</v>
      </c>
      <c r="F1" s="147"/>
      <c r="G1" s="147"/>
      <c r="H1" s="147"/>
      <c r="I1" s="147"/>
      <c r="J1" s="147"/>
      <c r="K1" s="147"/>
      <c r="L1" s="147"/>
      <c r="M1" s="148"/>
      <c r="N1" s="137">
        <v>2024</v>
      </c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  <c r="AA1" s="138"/>
      <c r="AB1" s="138"/>
      <c r="AC1" s="138"/>
      <c r="AD1" s="138"/>
      <c r="AE1" s="139"/>
      <c r="AF1" s="140">
        <v>2025</v>
      </c>
      <c r="AG1" s="141"/>
      <c r="AH1" s="141"/>
      <c r="AI1" s="141"/>
      <c r="AJ1" s="141"/>
      <c r="AK1" s="141"/>
      <c r="AL1" s="141"/>
      <c r="AM1" s="141"/>
      <c r="AN1" s="141"/>
      <c r="AO1" s="141"/>
      <c r="AP1" s="141"/>
      <c r="AQ1" s="141"/>
      <c r="AR1" s="141"/>
      <c r="AS1" s="141"/>
      <c r="AT1" s="141"/>
      <c r="AU1" s="141"/>
      <c r="AV1" s="141"/>
      <c r="AW1" s="141"/>
      <c r="AX1" s="143">
        <v>2026</v>
      </c>
      <c r="AY1" s="144"/>
      <c r="AZ1" s="144"/>
      <c r="BA1" s="144"/>
      <c r="BB1" s="144"/>
      <c r="BC1" s="144"/>
      <c r="BD1" s="144"/>
      <c r="BE1" s="144"/>
      <c r="BF1" s="144"/>
      <c r="BG1" s="144"/>
      <c r="BH1" s="144"/>
      <c r="BI1" s="145"/>
    </row>
    <row r="2" spans="1:61" x14ac:dyDescent="0.25">
      <c r="A2" s="10" t="s">
        <v>3</v>
      </c>
      <c r="B2" s="10" t="s">
        <v>39</v>
      </c>
      <c r="C2" s="10" t="s">
        <v>40</v>
      </c>
      <c r="D2" s="10" t="s">
        <v>50</v>
      </c>
      <c r="E2" s="20" t="s">
        <v>41</v>
      </c>
      <c r="F2" s="19" t="s">
        <v>42</v>
      </c>
      <c r="G2" s="19" t="s">
        <v>43</v>
      </c>
      <c r="H2" s="19" t="s">
        <v>15</v>
      </c>
      <c r="I2" s="19" t="s">
        <v>16</v>
      </c>
      <c r="J2" s="19" t="s">
        <v>17</v>
      </c>
      <c r="K2" s="19" t="s">
        <v>51</v>
      </c>
      <c r="L2" s="19" t="s">
        <v>52</v>
      </c>
      <c r="M2" s="19" t="s">
        <v>53</v>
      </c>
      <c r="N2" s="15" t="s">
        <v>41</v>
      </c>
      <c r="O2" s="11" t="s">
        <v>42</v>
      </c>
      <c r="P2" s="11" t="s">
        <v>43</v>
      </c>
      <c r="Q2" s="11" t="s">
        <v>6</v>
      </c>
      <c r="R2" s="11" t="s">
        <v>7</v>
      </c>
      <c r="S2" s="12" t="s">
        <v>8</v>
      </c>
      <c r="T2" s="11" t="s">
        <v>9</v>
      </c>
      <c r="U2" s="11" t="s">
        <v>10</v>
      </c>
      <c r="V2" s="12" t="s">
        <v>11</v>
      </c>
      <c r="W2" s="11" t="s">
        <v>12</v>
      </c>
      <c r="X2" s="11" t="s">
        <v>13</v>
      </c>
      <c r="Y2" s="12" t="s">
        <v>14</v>
      </c>
      <c r="Z2" s="11" t="s">
        <v>15</v>
      </c>
      <c r="AA2" s="11" t="s">
        <v>16</v>
      </c>
      <c r="AB2" s="12" t="s">
        <v>17</v>
      </c>
      <c r="AC2" s="12" t="s">
        <v>51</v>
      </c>
      <c r="AD2" s="12" t="s">
        <v>52</v>
      </c>
      <c r="AE2" s="16" t="s">
        <v>53</v>
      </c>
      <c r="AF2" s="13" t="s">
        <v>41</v>
      </c>
      <c r="AG2" s="13" t="s">
        <v>42</v>
      </c>
      <c r="AH2" s="13" t="s">
        <v>43</v>
      </c>
      <c r="AI2" s="13" t="s">
        <v>6</v>
      </c>
      <c r="AJ2" s="13" t="s">
        <v>7</v>
      </c>
      <c r="AK2" s="14" t="s">
        <v>8</v>
      </c>
      <c r="AL2" s="13" t="s">
        <v>9</v>
      </c>
      <c r="AM2" s="13" t="s">
        <v>10</v>
      </c>
      <c r="AN2" s="14" t="s">
        <v>11</v>
      </c>
      <c r="AO2" s="13" t="s">
        <v>12</v>
      </c>
      <c r="AP2" s="13" t="s">
        <v>13</v>
      </c>
      <c r="AQ2" s="14" t="s">
        <v>14</v>
      </c>
      <c r="AR2" s="13" t="s">
        <v>15</v>
      </c>
      <c r="AS2" s="13" t="s">
        <v>16</v>
      </c>
      <c r="AT2" s="14" t="s">
        <v>17</v>
      </c>
      <c r="AU2" s="14" t="s">
        <v>51</v>
      </c>
      <c r="AV2" s="14" t="s">
        <v>52</v>
      </c>
      <c r="AW2" s="14" t="s">
        <v>53</v>
      </c>
      <c r="AX2" s="47" t="s">
        <v>41</v>
      </c>
      <c r="AY2" s="40" t="s">
        <v>42</v>
      </c>
      <c r="AZ2" s="40" t="s">
        <v>43</v>
      </c>
      <c r="BA2" s="40" t="s">
        <v>6</v>
      </c>
      <c r="BB2" s="40" t="s">
        <v>7</v>
      </c>
      <c r="BC2" s="41" t="s">
        <v>8</v>
      </c>
      <c r="BD2" s="40" t="s">
        <v>9</v>
      </c>
      <c r="BE2" s="40" t="s">
        <v>10</v>
      </c>
      <c r="BF2" s="41" t="s">
        <v>11</v>
      </c>
      <c r="BG2" s="41" t="s">
        <v>51</v>
      </c>
      <c r="BH2" s="41" t="s">
        <v>52</v>
      </c>
      <c r="BI2" s="74" t="s">
        <v>53</v>
      </c>
    </row>
    <row r="3" spans="1:61" x14ac:dyDescent="0.25">
      <c r="A3" s="9" t="s">
        <v>54</v>
      </c>
      <c r="C3" s="21"/>
      <c r="D3" s="21">
        <v>6411.32</v>
      </c>
      <c r="E3" s="22">
        <f>118989.26/2080</f>
        <v>57.206374999999994</v>
      </c>
      <c r="F3" s="23">
        <v>0.21360000000000001</v>
      </c>
      <c r="G3" s="24">
        <f>E3*(1+F3)</f>
        <v>69.42565669999999</v>
      </c>
      <c r="H3" s="56">
        <v>30</v>
      </c>
      <c r="I3" s="56">
        <v>40</v>
      </c>
      <c r="J3" s="56">
        <v>20</v>
      </c>
      <c r="K3" s="58">
        <f>G3*SUM(H3:J3)</f>
        <v>6248.3091029999996</v>
      </c>
      <c r="L3" s="58">
        <f>D3*3</f>
        <v>19233.96</v>
      </c>
      <c r="M3" s="58">
        <f>K3-L3</f>
        <v>-12985.650897</v>
      </c>
      <c r="N3" s="25">
        <f>134499.99/2080</f>
        <v>64.663456730769227</v>
      </c>
      <c r="O3" s="26">
        <v>0.1913</v>
      </c>
      <c r="P3" s="27">
        <f>N3*(1+O3)</f>
        <v>77.033576003365383</v>
      </c>
      <c r="Q3" s="28">
        <v>50</v>
      </c>
      <c r="R3" s="28">
        <v>40</v>
      </c>
      <c r="S3" s="28">
        <v>25</v>
      </c>
      <c r="T3" s="28">
        <v>33</v>
      </c>
      <c r="U3" s="28">
        <v>43</v>
      </c>
      <c r="V3" s="28">
        <v>40</v>
      </c>
      <c r="W3" s="28">
        <v>43</v>
      </c>
      <c r="X3" s="28">
        <v>30</v>
      </c>
      <c r="Y3" s="28">
        <v>20</v>
      </c>
      <c r="Z3" s="28">
        <v>35</v>
      </c>
      <c r="AA3" s="28"/>
      <c r="AB3" s="28"/>
      <c r="AC3" s="27">
        <f>P3*(SUM(Q3:AB3))</f>
        <v>27655.053785208172</v>
      </c>
      <c r="AD3" s="29">
        <f>D3*12</f>
        <v>76935.839999999997</v>
      </c>
      <c r="AE3" s="30">
        <f>AC3-AD3</f>
        <v>-49280.78621479182</v>
      </c>
      <c r="AF3" s="34">
        <f>171799.06/2080</f>
        <v>82.595701923076916</v>
      </c>
      <c r="AG3" s="45">
        <f>22.45%</f>
        <v>0.22450000000000001</v>
      </c>
      <c r="AH3" s="46">
        <f>AF3*(1+AG3)</f>
        <v>101.13843700480768</v>
      </c>
      <c r="AI3" s="37">
        <v>48.31</v>
      </c>
      <c r="AJ3" s="37">
        <v>58.02</v>
      </c>
      <c r="AK3" s="37">
        <v>39.049999999999997</v>
      </c>
      <c r="AL3" s="37">
        <v>30.22</v>
      </c>
      <c r="AM3" s="37">
        <v>39.01</v>
      </c>
      <c r="AN3" s="37">
        <v>36.56</v>
      </c>
      <c r="AO3" s="37">
        <v>31.87</v>
      </c>
      <c r="AP3" s="37">
        <v>44.58</v>
      </c>
      <c r="AQ3" s="37">
        <v>43.56</v>
      </c>
      <c r="AR3" s="37">
        <v>3.42</v>
      </c>
      <c r="AS3" s="37">
        <v>3.12</v>
      </c>
      <c r="AT3" s="37">
        <v>3.49</v>
      </c>
      <c r="AU3" s="46">
        <f>AH3*SUM(AI3:AT3)</f>
        <v>38554.983570602737</v>
      </c>
      <c r="AV3" s="38">
        <f>D3*12</f>
        <v>76935.839999999997</v>
      </c>
      <c r="AW3" s="38">
        <f>AU3-AV3</f>
        <v>-38380.856429397259</v>
      </c>
      <c r="AX3" s="50">
        <v>91.17</v>
      </c>
      <c r="AY3" s="51">
        <v>0.23630000000000001</v>
      </c>
      <c r="AZ3" s="52">
        <f t="shared" ref="AZ3:AZ4" si="0">AX3*(1+AY3)</f>
        <v>112.713471</v>
      </c>
      <c r="BA3" s="42"/>
      <c r="BB3" s="42"/>
      <c r="BC3" s="42"/>
      <c r="BD3" s="42"/>
      <c r="BE3" s="42"/>
      <c r="BF3" s="42"/>
      <c r="BG3" s="44">
        <f t="shared" ref="BG3:BG8" si="1">AZ3*SUM(BA3:BF3)</f>
        <v>0</v>
      </c>
      <c r="BH3" s="44">
        <f t="shared" ref="BH3:BH8" si="2">D3*6</f>
        <v>38467.919999999998</v>
      </c>
      <c r="BI3" s="75">
        <f>BG3-BH3</f>
        <v>-38467.919999999998</v>
      </c>
    </row>
    <row r="4" spans="1:61" x14ac:dyDescent="0.25">
      <c r="A4" s="9" t="s">
        <v>55</v>
      </c>
      <c r="D4" s="21">
        <v>6694.21</v>
      </c>
      <c r="E4" s="22">
        <f>67634.46/2080</f>
        <v>32.516567307692313</v>
      </c>
      <c r="F4" s="23">
        <v>0.21360000000000001</v>
      </c>
      <c r="G4" s="24">
        <f t="shared" ref="G4:G7" si="3">E4*(1+F4)</f>
        <v>39.462106084615392</v>
      </c>
      <c r="H4" s="57">
        <v>32.5</v>
      </c>
      <c r="I4" s="57">
        <v>36</v>
      </c>
      <c r="J4" s="57">
        <v>13.5</v>
      </c>
      <c r="K4" s="58">
        <f t="shared" ref="K4:K7" si="4">G4*SUM(H4:J4)</f>
        <v>3235.8926989384622</v>
      </c>
      <c r="L4" s="58">
        <f t="shared" ref="L4:L5" si="5">D4*3</f>
        <v>20082.63</v>
      </c>
      <c r="M4" s="58">
        <f t="shared" ref="M4:M5" si="6">K4-L4</f>
        <v>-16846.737301061537</v>
      </c>
      <c r="N4" s="25">
        <f>78771.67/2080</f>
        <v>37.870995192307689</v>
      </c>
      <c r="O4" s="26">
        <v>0.1913</v>
      </c>
      <c r="P4" s="27">
        <f t="shared" ref="P4:P5" si="7">N4*(1+O4)</f>
        <v>45.115716572596149</v>
      </c>
      <c r="Q4" s="28">
        <v>0</v>
      </c>
      <c r="R4" s="28">
        <v>0</v>
      </c>
      <c r="S4" s="28">
        <v>0</v>
      </c>
      <c r="T4" s="28">
        <v>0</v>
      </c>
      <c r="U4" s="28">
        <v>0</v>
      </c>
      <c r="V4" s="28">
        <v>0</v>
      </c>
      <c r="W4" s="28">
        <v>0</v>
      </c>
      <c r="X4" s="28">
        <v>0</v>
      </c>
      <c r="Y4" s="28">
        <v>0</v>
      </c>
      <c r="Z4" s="28">
        <v>0</v>
      </c>
      <c r="AA4" s="28">
        <v>0</v>
      </c>
      <c r="AB4" s="28">
        <v>0</v>
      </c>
      <c r="AC4" s="27">
        <f t="shared" ref="AC4:AC5" si="8">P4*(SUM(Q4:AB4))</f>
        <v>0</v>
      </c>
      <c r="AD4" s="29">
        <f t="shared" ref="AD4:AD5" si="9">D4*12</f>
        <v>80330.52</v>
      </c>
      <c r="AE4" s="30">
        <f t="shared" ref="AE4:AE5" si="10">AC4-AD4</f>
        <v>-80330.52</v>
      </c>
      <c r="AF4" s="46">
        <f>78492.76/2080</f>
        <v>37.736903846153844</v>
      </c>
      <c r="AG4" s="45">
        <f t="shared" ref="AG4:AG8" si="11">22.45%</f>
        <v>0.22450000000000001</v>
      </c>
      <c r="AH4" s="46">
        <f t="shared" ref="AH4:AH5" si="12">AF4*(1+AG4)</f>
        <v>46.208838759615382</v>
      </c>
      <c r="AI4" s="37">
        <v>16</v>
      </c>
      <c r="AJ4" s="37">
        <v>0</v>
      </c>
      <c r="AK4" s="37">
        <v>0</v>
      </c>
      <c r="AL4" s="37">
        <v>0</v>
      </c>
      <c r="AM4" s="37">
        <v>0</v>
      </c>
      <c r="AN4" s="37">
        <v>0</v>
      </c>
      <c r="AO4" s="37">
        <v>0</v>
      </c>
      <c r="AP4" s="37">
        <v>0</v>
      </c>
      <c r="AQ4" s="37">
        <v>0</v>
      </c>
      <c r="AR4" s="37">
        <v>9.36</v>
      </c>
      <c r="AS4" s="37">
        <v>8.23</v>
      </c>
      <c r="AT4" s="37">
        <v>5</v>
      </c>
      <c r="AU4" s="46">
        <f t="shared" ref="AU4:AU5" si="13">AH4*SUM(AI4:AT4)</f>
        <v>1783.1990877335577</v>
      </c>
      <c r="AV4" s="38">
        <f t="shared" ref="AV4:AV5" si="14">D4*12</f>
        <v>80330.52</v>
      </c>
      <c r="AW4" s="38">
        <f t="shared" ref="AW4:AW5" si="15">AU4-AV4</f>
        <v>-78547.320912266441</v>
      </c>
      <c r="AX4" s="50">
        <f>80000/2080</f>
        <v>38.46153846153846</v>
      </c>
      <c r="AY4" s="51">
        <v>0.23630000000000001</v>
      </c>
      <c r="AZ4" s="52">
        <f t="shared" si="0"/>
        <v>47.55</v>
      </c>
      <c r="BA4" s="42"/>
      <c r="BB4" s="42"/>
      <c r="BC4" s="42"/>
      <c r="BD4" s="42"/>
      <c r="BE4" s="42"/>
      <c r="BF4" s="42"/>
      <c r="BG4" s="44">
        <f t="shared" si="1"/>
        <v>0</v>
      </c>
      <c r="BH4" s="44">
        <f t="shared" si="2"/>
        <v>40165.26</v>
      </c>
      <c r="BI4" s="75">
        <f t="shared" ref="BI4:BI5" si="16">BG4-BH4</f>
        <v>-40165.26</v>
      </c>
    </row>
    <row r="5" spans="1:61" x14ac:dyDescent="0.25">
      <c r="A5" s="9" t="s">
        <v>56</v>
      </c>
      <c r="D5" s="21">
        <f t="shared" ref="D5" si="17">B5*C5</f>
        <v>0</v>
      </c>
      <c r="E5" s="22">
        <f>70134.6/2080</f>
        <v>33.718557692307698</v>
      </c>
      <c r="F5" s="23">
        <v>0.21360000000000001</v>
      </c>
      <c r="G5" s="24">
        <f t="shared" si="3"/>
        <v>40.920841615384624</v>
      </c>
      <c r="H5" s="57">
        <v>110</v>
      </c>
      <c r="I5" s="57">
        <v>99</v>
      </c>
      <c r="J5" s="57">
        <v>107</v>
      </c>
      <c r="K5" s="58">
        <f t="shared" si="4"/>
        <v>12930.985950461542</v>
      </c>
      <c r="L5" s="58">
        <f t="shared" si="5"/>
        <v>0</v>
      </c>
      <c r="M5" s="73">
        <f t="shared" si="6"/>
        <v>12930.985950461542</v>
      </c>
      <c r="N5" s="76">
        <f>89403.83/2080</f>
        <v>42.982610576923079</v>
      </c>
      <c r="O5" s="26">
        <v>0.1913</v>
      </c>
      <c r="P5" s="27">
        <f t="shared" si="7"/>
        <v>51.205183980288467</v>
      </c>
      <c r="Q5" s="28">
        <v>63.5</v>
      </c>
      <c r="R5" s="28">
        <v>51.5</v>
      </c>
      <c r="S5" s="28">
        <v>27</v>
      </c>
      <c r="T5" s="28">
        <v>78</v>
      </c>
      <c r="U5" s="28">
        <v>66</v>
      </c>
      <c r="V5" s="28">
        <v>73</v>
      </c>
      <c r="W5" s="28">
        <v>81</v>
      </c>
      <c r="X5" s="28">
        <v>61</v>
      </c>
      <c r="Y5" s="28">
        <v>65</v>
      </c>
      <c r="Z5" s="28">
        <v>68</v>
      </c>
      <c r="AA5" s="28">
        <v>86</v>
      </c>
      <c r="AB5" s="28">
        <v>93</v>
      </c>
      <c r="AC5" s="27">
        <f t="shared" si="8"/>
        <v>41629.814575974524</v>
      </c>
      <c r="AD5" s="29">
        <f t="shared" si="9"/>
        <v>0</v>
      </c>
      <c r="AE5" s="30">
        <f t="shared" si="10"/>
        <v>41629.814575974524</v>
      </c>
      <c r="AF5" s="46">
        <f>91374.4/2080</f>
        <v>43.93</v>
      </c>
      <c r="AG5" s="45">
        <f t="shared" si="11"/>
        <v>0.22450000000000001</v>
      </c>
      <c r="AH5" s="46">
        <f t="shared" si="12"/>
        <v>53.792285</v>
      </c>
      <c r="AI5" s="37">
        <v>63</v>
      </c>
      <c r="AJ5" s="37">
        <v>28</v>
      </c>
      <c r="AK5" s="37">
        <v>43</v>
      </c>
      <c r="AL5" s="37">
        <v>34</v>
      </c>
      <c r="AM5" s="37">
        <v>45</v>
      </c>
      <c r="AN5" s="37">
        <v>47</v>
      </c>
      <c r="AO5" s="37">
        <v>68</v>
      </c>
      <c r="AP5" s="37">
        <v>62</v>
      </c>
      <c r="AQ5" s="37">
        <v>88</v>
      </c>
      <c r="AR5" s="37">
        <v>31</v>
      </c>
      <c r="AS5" s="37">
        <v>52</v>
      </c>
      <c r="AT5" s="37">
        <v>93</v>
      </c>
      <c r="AU5" s="46">
        <f t="shared" si="13"/>
        <v>35180.154390000003</v>
      </c>
      <c r="AV5" s="38">
        <f t="shared" si="14"/>
        <v>0</v>
      </c>
      <c r="AW5" s="38">
        <f t="shared" si="15"/>
        <v>35180.154390000003</v>
      </c>
      <c r="AX5" s="50">
        <f>96000/2080</f>
        <v>46.153846153846153</v>
      </c>
      <c r="AY5" s="51">
        <v>0.23630000000000001</v>
      </c>
      <c r="AZ5" s="52">
        <f>AX5*(1+AY5)</f>
        <v>57.059999999999995</v>
      </c>
      <c r="BA5" s="42">
        <v>70</v>
      </c>
      <c r="BB5" s="42">
        <v>43</v>
      </c>
      <c r="BC5" s="42">
        <v>45</v>
      </c>
      <c r="BD5" s="42"/>
      <c r="BE5" s="42"/>
      <c r="BF5" s="42">
        <v>93</v>
      </c>
      <c r="BG5" s="44">
        <f t="shared" si="1"/>
        <v>14322.06</v>
      </c>
      <c r="BH5" s="44">
        <f t="shared" si="2"/>
        <v>0</v>
      </c>
      <c r="BI5" s="75">
        <f t="shared" si="16"/>
        <v>14322.06</v>
      </c>
    </row>
    <row r="6" spans="1:61" x14ac:dyDescent="0.25">
      <c r="A6" s="9" t="s">
        <v>62</v>
      </c>
      <c r="D6" s="21">
        <v>348.99</v>
      </c>
      <c r="E6" s="71"/>
      <c r="F6" s="23">
        <v>0.21360000000000001</v>
      </c>
      <c r="G6" s="24">
        <f t="shared" si="3"/>
        <v>0</v>
      </c>
      <c r="K6" s="58">
        <f t="shared" si="4"/>
        <v>0</v>
      </c>
      <c r="L6" s="58">
        <f t="shared" ref="L6:L7" si="18">D6*3</f>
        <v>1046.97</v>
      </c>
      <c r="M6" s="73">
        <f t="shared" ref="M6:M7" si="19">K6-L6</f>
        <v>-1046.97</v>
      </c>
      <c r="O6" s="26">
        <v>0.1913</v>
      </c>
      <c r="P6" s="27">
        <f t="shared" ref="P6:P7" si="20">N6*(1+O6)</f>
        <v>0</v>
      </c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27">
        <f t="shared" ref="AC6:AC8" si="21">P6*(SUM(Q6:AB6))</f>
        <v>0</v>
      </c>
      <c r="AD6" s="29">
        <f t="shared" ref="AD6:AD8" si="22">D6*12</f>
        <v>4187.88</v>
      </c>
      <c r="AE6" s="30">
        <f t="shared" ref="AE6:AE8" si="23">AC6-AD6</f>
        <v>-4187.88</v>
      </c>
      <c r="AG6" s="45">
        <f t="shared" si="11"/>
        <v>0.22450000000000001</v>
      </c>
      <c r="AH6" s="46">
        <f t="shared" ref="AH6:AH8" si="24">AF6*(1+AG6)</f>
        <v>0</v>
      </c>
      <c r="AU6" s="46">
        <f t="shared" ref="AU6:AU8" si="25">AH6*SUM(AI6:AT6)</f>
        <v>0</v>
      </c>
      <c r="AV6" s="38">
        <f t="shared" ref="AV6:AV8" si="26">D6*12</f>
        <v>4187.88</v>
      </c>
      <c r="AW6" s="38">
        <f t="shared" ref="AW6:AW8" si="27">AU6-AV6</f>
        <v>-4187.88</v>
      </c>
      <c r="AX6" s="71"/>
      <c r="AY6" s="51">
        <v>0.23630000000000001</v>
      </c>
      <c r="AZ6" s="52">
        <f t="shared" ref="AZ6:AZ8" si="28">AX6*(1+AY6)</f>
        <v>0</v>
      </c>
      <c r="BG6" s="44">
        <f t="shared" si="1"/>
        <v>0</v>
      </c>
      <c r="BH6" s="44">
        <f t="shared" si="2"/>
        <v>2093.94</v>
      </c>
      <c r="BI6" s="75">
        <f t="shared" ref="BI6:BI8" si="29">BG6-BH6</f>
        <v>-2093.94</v>
      </c>
    </row>
    <row r="7" spans="1:61" x14ac:dyDescent="0.25">
      <c r="A7" s="9" t="s">
        <v>63</v>
      </c>
      <c r="D7" s="21">
        <v>691.32</v>
      </c>
      <c r="E7" s="71"/>
      <c r="F7" s="23">
        <v>0.21360000000000001</v>
      </c>
      <c r="G7" s="24">
        <f t="shared" si="3"/>
        <v>0</v>
      </c>
      <c r="K7" s="58">
        <f t="shared" si="4"/>
        <v>0</v>
      </c>
      <c r="L7" s="58">
        <f t="shared" si="18"/>
        <v>2073.96</v>
      </c>
      <c r="M7" s="73">
        <f t="shared" si="19"/>
        <v>-2073.96</v>
      </c>
      <c r="O7" s="26">
        <v>0.1913</v>
      </c>
      <c r="P7" s="27">
        <f t="shared" si="20"/>
        <v>0</v>
      </c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27">
        <f t="shared" si="21"/>
        <v>0</v>
      </c>
      <c r="AD7" s="29">
        <f t="shared" si="22"/>
        <v>8295.84</v>
      </c>
      <c r="AE7" s="30">
        <f t="shared" si="23"/>
        <v>-8295.84</v>
      </c>
      <c r="AG7" s="45">
        <f t="shared" si="11"/>
        <v>0.22450000000000001</v>
      </c>
      <c r="AH7" s="46">
        <f t="shared" si="24"/>
        <v>0</v>
      </c>
      <c r="AU7" s="46">
        <f t="shared" si="25"/>
        <v>0</v>
      </c>
      <c r="AV7" s="38">
        <f t="shared" si="26"/>
        <v>8295.84</v>
      </c>
      <c r="AW7" s="38">
        <f t="shared" si="27"/>
        <v>-8295.84</v>
      </c>
      <c r="AX7" s="71"/>
      <c r="AY7" s="51">
        <v>0.23630000000000001</v>
      </c>
      <c r="AZ7" s="52">
        <f t="shared" si="28"/>
        <v>0</v>
      </c>
      <c r="BG7" s="44">
        <f t="shared" si="1"/>
        <v>0</v>
      </c>
      <c r="BH7" s="44">
        <f t="shared" si="2"/>
        <v>4147.92</v>
      </c>
      <c r="BI7" s="75">
        <f t="shared" si="29"/>
        <v>-4147.92</v>
      </c>
    </row>
    <row r="8" spans="1:61" x14ac:dyDescent="0.25"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27">
        <f t="shared" si="21"/>
        <v>0</v>
      </c>
      <c r="AD8" s="29">
        <f t="shared" si="22"/>
        <v>0</v>
      </c>
      <c r="AE8" s="30">
        <f t="shared" si="23"/>
        <v>0</v>
      </c>
      <c r="AG8" s="45">
        <f t="shared" si="11"/>
        <v>0.22450000000000001</v>
      </c>
      <c r="AH8" s="46">
        <f t="shared" si="24"/>
        <v>0</v>
      </c>
      <c r="AU8" s="46">
        <f t="shared" si="25"/>
        <v>0</v>
      </c>
      <c r="AV8" s="38">
        <f t="shared" si="26"/>
        <v>0</v>
      </c>
      <c r="AW8" s="38">
        <f t="shared" si="27"/>
        <v>0</v>
      </c>
      <c r="AX8" s="71"/>
      <c r="AY8" s="51">
        <v>0.23630000000000001</v>
      </c>
      <c r="AZ8" s="52">
        <f t="shared" si="28"/>
        <v>0</v>
      </c>
      <c r="BG8" s="44">
        <f t="shared" si="1"/>
        <v>0</v>
      </c>
      <c r="BH8" s="44">
        <f t="shared" si="2"/>
        <v>0</v>
      </c>
      <c r="BI8" s="75">
        <f t="shared" si="29"/>
        <v>0</v>
      </c>
    </row>
    <row r="13" spans="1:61" x14ac:dyDescent="0.25">
      <c r="AE13" s="9" t="s">
        <v>64</v>
      </c>
    </row>
  </sheetData>
  <mergeCells count="5">
    <mergeCell ref="B1:D1"/>
    <mergeCell ref="N1:AE1"/>
    <mergeCell ref="AF1:AW1"/>
    <mergeCell ref="AX1:BI1"/>
    <mergeCell ref="E1:M1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5C719-5C32-4523-95C4-F070C5DB482A}">
  <dimension ref="A1:AR7"/>
  <sheetViews>
    <sheetView workbookViewId="0"/>
  </sheetViews>
  <sheetFormatPr defaultColWidth="8.85546875" defaultRowHeight="15" x14ac:dyDescent="0.25"/>
  <cols>
    <col min="1" max="1" width="9.7109375" style="9" bestFit="1" customWidth="1"/>
    <col min="2" max="2" width="12.42578125" style="9" bestFit="1" customWidth="1"/>
    <col min="3" max="3" width="11.5703125" style="9" bestFit="1" customWidth="1"/>
    <col min="4" max="4" width="11.85546875" style="9" bestFit="1" customWidth="1"/>
    <col min="5" max="8" width="8.85546875" style="9"/>
    <col min="9" max="10" width="10.140625" style="9" bestFit="1" customWidth="1"/>
    <col min="11" max="11" width="11.140625" style="9" bestFit="1" customWidth="1"/>
    <col min="12" max="12" width="11.7109375" style="9" bestFit="1" customWidth="1"/>
    <col min="13" max="13" width="10" style="9" bestFit="1" customWidth="1"/>
    <col min="14" max="24" width="8.85546875" style="9"/>
    <col min="25" max="25" width="10.7109375" style="9" bestFit="1" customWidth="1"/>
    <col min="26" max="26" width="8" style="9" bestFit="1" customWidth="1"/>
    <col min="27" max="28" width="10.140625" style="9" bestFit="1" customWidth="1"/>
    <col min="29" max="29" width="11.5703125" style="9" bestFit="1" customWidth="1"/>
    <col min="30" max="31" width="12.28515625" style="9" bestFit="1" customWidth="1"/>
    <col min="32" max="41" width="8.85546875" style="9"/>
    <col min="42" max="42" width="11.5703125" style="9" bestFit="1" customWidth="1"/>
    <col min="43" max="43" width="11.7109375" style="9" bestFit="1" customWidth="1"/>
    <col min="44" max="44" width="12.28515625" style="9" bestFit="1" customWidth="1"/>
    <col min="45" max="16384" width="8.85546875" style="9"/>
  </cols>
  <sheetData>
    <row r="1" spans="1:44" x14ac:dyDescent="0.25">
      <c r="A1" s="1"/>
      <c r="B1" s="128" t="s">
        <v>49</v>
      </c>
      <c r="C1" s="128"/>
      <c r="D1" s="128"/>
      <c r="E1" s="137">
        <v>2024</v>
      </c>
      <c r="F1" s="138"/>
      <c r="G1" s="138"/>
      <c r="H1" s="138"/>
      <c r="I1" s="138"/>
      <c r="J1" s="138"/>
      <c r="K1" s="138"/>
      <c r="L1" s="138"/>
      <c r="M1" s="139"/>
      <c r="N1" s="141">
        <v>2025</v>
      </c>
      <c r="O1" s="141"/>
      <c r="P1" s="141"/>
      <c r="Q1" s="141"/>
      <c r="R1" s="141"/>
      <c r="S1" s="141"/>
      <c r="T1" s="141"/>
      <c r="U1" s="141"/>
      <c r="V1" s="141"/>
      <c r="W1" s="141"/>
      <c r="X1" s="141"/>
      <c r="Y1" s="141"/>
      <c r="Z1" s="141"/>
      <c r="AA1" s="141"/>
      <c r="AB1" s="141"/>
      <c r="AC1" s="141"/>
      <c r="AD1" s="141"/>
      <c r="AE1" s="141"/>
      <c r="AF1" s="143">
        <v>2026</v>
      </c>
      <c r="AG1" s="144"/>
      <c r="AH1" s="144"/>
      <c r="AI1" s="144"/>
      <c r="AJ1" s="144"/>
      <c r="AK1" s="144"/>
      <c r="AL1" s="144"/>
      <c r="AM1" s="144"/>
      <c r="AN1" s="144"/>
      <c r="AO1" s="144"/>
      <c r="AP1" s="144"/>
      <c r="AQ1" s="144"/>
      <c r="AR1" s="145"/>
    </row>
    <row r="2" spans="1:44" x14ac:dyDescent="0.25">
      <c r="A2" s="10" t="s">
        <v>3</v>
      </c>
      <c r="B2" s="10" t="s">
        <v>39</v>
      </c>
      <c r="C2" s="10" t="s">
        <v>40</v>
      </c>
      <c r="D2" s="10" t="s">
        <v>50</v>
      </c>
      <c r="E2" s="15" t="s">
        <v>41</v>
      </c>
      <c r="F2" s="11" t="s">
        <v>42</v>
      </c>
      <c r="G2" s="11" t="s">
        <v>43</v>
      </c>
      <c r="H2" s="11" t="s">
        <v>15</v>
      </c>
      <c r="I2" s="11" t="s">
        <v>16</v>
      </c>
      <c r="J2" s="12" t="s">
        <v>17</v>
      </c>
      <c r="K2" s="12" t="s">
        <v>51</v>
      </c>
      <c r="L2" s="12" t="s">
        <v>52</v>
      </c>
      <c r="M2" s="16" t="s">
        <v>53</v>
      </c>
      <c r="N2" s="13" t="s">
        <v>41</v>
      </c>
      <c r="O2" s="13" t="s">
        <v>42</v>
      </c>
      <c r="P2" s="13" t="s">
        <v>43</v>
      </c>
      <c r="Q2" s="13" t="s">
        <v>6</v>
      </c>
      <c r="R2" s="13" t="s">
        <v>7</v>
      </c>
      <c r="S2" s="14" t="s">
        <v>8</v>
      </c>
      <c r="T2" s="13" t="s">
        <v>9</v>
      </c>
      <c r="U2" s="13" t="s">
        <v>10</v>
      </c>
      <c r="V2" s="14" t="s">
        <v>11</v>
      </c>
      <c r="W2" s="13" t="s">
        <v>12</v>
      </c>
      <c r="X2" s="13" t="s">
        <v>13</v>
      </c>
      <c r="Y2" s="14" t="s">
        <v>14</v>
      </c>
      <c r="Z2" s="13" t="s">
        <v>15</v>
      </c>
      <c r="AA2" s="13" t="s">
        <v>16</v>
      </c>
      <c r="AB2" s="14" t="s">
        <v>17</v>
      </c>
      <c r="AC2" s="14" t="s">
        <v>51</v>
      </c>
      <c r="AD2" s="14" t="s">
        <v>52</v>
      </c>
      <c r="AE2" s="14" t="s">
        <v>53</v>
      </c>
      <c r="AF2" s="47" t="s">
        <v>41</v>
      </c>
      <c r="AG2" s="40" t="s">
        <v>42</v>
      </c>
      <c r="AH2" s="40" t="s">
        <v>43</v>
      </c>
      <c r="AI2" s="40" t="s">
        <v>6</v>
      </c>
      <c r="AJ2" s="40" t="s">
        <v>7</v>
      </c>
      <c r="AK2" s="41" t="s">
        <v>8</v>
      </c>
      <c r="AL2" s="40" t="s">
        <v>9</v>
      </c>
      <c r="AM2" s="40" t="s">
        <v>10</v>
      </c>
      <c r="AN2" s="41" t="s">
        <v>11</v>
      </c>
      <c r="AO2" s="40" t="s">
        <v>12</v>
      </c>
      <c r="AP2" s="41" t="s">
        <v>51</v>
      </c>
      <c r="AQ2" s="41" t="s">
        <v>52</v>
      </c>
      <c r="AR2" s="74" t="s">
        <v>53</v>
      </c>
    </row>
    <row r="3" spans="1:44" x14ac:dyDescent="0.25">
      <c r="A3" s="9" t="s">
        <v>44</v>
      </c>
      <c r="B3" s="9">
        <v>83.4</v>
      </c>
      <c r="C3" s="9">
        <v>52.55</v>
      </c>
      <c r="D3" s="31">
        <f>B3*C3</f>
        <v>4382.67</v>
      </c>
      <c r="E3" s="25">
        <v>27.898326923076922</v>
      </c>
      <c r="F3" s="26">
        <v>0.1913</v>
      </c>
      <c r="G3" s="27">
        <f>E3*(1+F3)</f>
        <v>33.235276863461536</v>
      </c>
      <c r="H3" s="72">
        <v>83</v>
      </c>
      <c r="I3" s="72">
        <v>80</v>
      </c>
      <c r="J3" s="72">
        <v>80</v>
      </c>
      <c r="K3" s="53">
        <f>G3*(SUM(H3:J3))</f>
        <v>8076.1722778211533</v>
      </c>
      <c r="L3" s="53">
        <f>D3*3</f>
        <v>13148.01</v>
      </c>
      <c r="M3" s="54">
        <f>K3-L3</f>
        <v>-5071.8377221788469</v>
      </c>
      <c r="N3" s="80">
        <f>78307.73/2080</f>
        <v>37.647947115384611</v>
      </c>
      <c r="O3" s="35">
        <v>0.22450000000000001</v>
      </c>
      <c r="P3" s="36">
        <f>N3*(1+O3)</f>
        <v>46.099911242788451</v>
      </c>
      <c r="Q3" s="37">
        <v>80</v>
      </c>
      <c r="R3" s="37">
        <v>80</v>
      </c>
      <c r="S3" s="37">
        <v>80</v>
      </c>
      <c r="T3" s="37">
        <v>80</v>
      </c>
      <c r="U3" s="37">
        <v>56</v>
      </c>
      <c r="V3" s="37">
        <v>92</v>
      </c>
      <c r="W3" s="37">
        <v>80</v>
      </c>
      <c r="X3" s="37">
        <v>80</v>
      </c>
      <c r="Y3" s="37">
        <v>80</v>
      </c>
      <c r="Z3" s="37">
        <v>80</v>
      </c>
      <c r="AA3" s="37">
        <v>80</v>
      </c>
      <c r="AB3" s="37">
        <v>80</v>
      </c>
      <c r="AC3" s="36">
        <f>P3*(SUM(Q3:AB3))</f>
        <v>43702.71585816345</v>
      </c>
      <c r="AD3" s="36">
        <f>D3*12</f>
        <v>52592.04</v>
      </c>
      <c r="AE3" s="36">
        <f>AC3-AD3</f>
        <v>-8889.3241418365506</v>
      </c>
      <c r="AF3" s="50">
        <f>81000/2080</f>
        <v>38.942307692307693</v>
      </c>
      <c r="AG3" s="48">
        <v>0.23630000000000001</v>
      </c>
      <c r="AH3" s="49">
        <f>AF3*(1+AG3)</f>
        <v>48.144374999999997</v>
      </c>
      <c r="AI3" s="42"/>
      <c r="AJ3" s="42"/>
      <c r="AK3" s="42"/>
      <c r="AL3" s="42"/>
      <c r="AM3" s="42"/>
      <c r="AN3" s="42"/>
      <c r="AO3" s="42"/>
      <c r="AP3" s="49">
        <f>AH3*SUM(AI3:AO3)</f>
        <v>0</v>
      </c>
      <c r="AQ3" s="49">
        <f>D3*7</f>
        <v>30678.690000000002</v>
      </c>
      <c r="AR3" s="83">
        <f>AP3-AQ3</f>
        <v>-30678.690000000002</v>
      </c>
    </row>
    <row r="4" spans="1:44" x14ac:dyDescent="0.25">
      <c r="A4" s="9" t="s">
        <v>54</v>
      </c>
      <c r="B4" s="9">
        <v>38.4</v>
      </c>
      <c r="C4" s="9">
        <v>86.56</v>
      </c>
      <c r="D4" s="31">
        <f>B4*C4</f>
        <v>3323.904</v>
      </c>
      <c r="E4" s="55">
        <f>'o-D-AM'!E5</f>
        <v>64.663456730769227</v>
      </c>
      <c r="F4" s="77">
        <f>'o-D-AM'!F5</f>
        <v>0.1913</v>
      </c>
      <c r="G4" s="27">
        <f>E4*(1+F4)</f>
        <v>77.033576003365383</v>
      </c>
      <c r="H4" s="72">
        <v>0</v>
      </c>
      <c r="I4" s="72">
        <v>30</v>
      </c>
      <c r="J4" s="72">
        <v>26</v>
      </c>
      <c r="K4" s="53">
        <f>G4*(SUM(H4:J4))</f>
        <v>4313.8802561884613</v>
      </c>
      <c r="L4" s="53">
        <f>D4*3</f>
        <v>9971.7119999999995</v>
      </c>
      <c r="M4" s="54">
        <f>K4-L4</f>
        <v>-5657.8317438115382</v>
      </c>
      <c r="N4" s="80">
        <f>171799.06/2080</f>
        <v>82.595701923076916</v>
      </c>
      <c r="O4" s="35">
        <v>0.22450000000000001</v>
      </c>
      <c r="P4" s="36">
        <f>N4*(1+O4)</f>
        <v>101.13843700480768</v>
      </c>
      <c r="Q4" s="37">
        <v>5.27</v>
      </c>
      <c r="R4" s="37">
        <v>5.27</v>
      </c>
      <c r="S4" s="37">
        <v>15.44</v>
      </c>
      <c r="T4" s="37">
        <v>7.56</v>
      </c>
      <c r="U4" s="37">
        <v>7.37</v>
      </c>
      <c r="V4" s="37">
        <v>11.32</v>
      </c>
      <c r="W4" s="37">
        <v>24.63</v>
      </c>
      <c r="X4" s="37">
        <v>21.05</v>
      </c>
      <c r="Y4" s="37">
        <v>19.170000000000002</v>
      </c>
      <c r="Z4" s="37">
        <v>18.829999999999998</v>
      </c>
      <c r="AA4" s="37">
        <v>9.3699999999999992</v>
      </c>
      <c r="AB4" s="37">
        <v>10.46</v>
      </c>
      <c r="AC4" s="36">
        <f>P4*(SUM(Q4:AB4))</f>
        <v>15751.30017912875</v>
      </c>
      <c r="AD4" s="36">
        <f>D4*12</f>
        <v>39886.847999999998</v>
      </c>
      <c r="AE4" s="36">
        <f>AC4-AD4</f>
        <v>-24135.547820871248</v>
      </c>
      <c r="AF4" s="50">
        <f>189625/2080</f>
        <v>91.165865384615387</v>
      </c>
      <c r="AG4" s="48">
        <v>0.23630000000000001</v>
      </c>
      <c r="AH4" s="49">
        <f>AF4*(1+AG4)</f>
        <v>112.708359375</v>
      </c>
      <c r="AI4" s="42">
        <v>12.08</v>
      </c>
      <c r="AJ4" s="42">
        <v>16.079999999999998</v>
      </c>
      <c r="AK4" s="42">
        <v>11.17</v>
      </c>
      <c r="AL4" s="42">
        <v>30.82</v>
      </c>
      <c r="AM4" s="42">
        <v>7.88</v>
      </c>
      <c r="AN4" s="42">
        <v>9.31</v>
      </c>
      <c r="AO4" s="42">
        <v>10.38</v>
      </c>
      <c r="AP4" s="49">
        <f>AH4*SUM(AI4:AO4)</f>
        <v>11013.860878125</v>
      </c>
      <c r="AQ4" s="49">
        <f>D4*7</f>
        <v>23267.328000000001</v>
      </c>
      <c r="AR4" s="83">
        <f>AP4-AQ4</f>
        <v>-12253.467121875001</v>
      </c>
    </row>
    <row r="5" spans="1:44" x14ac:dyDescent="0.25">
      <c r="A5" s="9" t="s">
        <v>55</v>
      </c>
      <c r="E5" s="78">
        <f>'o-D-AM'!E6</f>
        <v>37.870995192307689</v>
      </c>
      <c r="F5" s="79">
        <f>'o-D-AM'!F6</f>
        <v>0.1913</v>
      </c>
      <c r="G5" s="60">
        <f>'o-D-AM'!G6</f>
        <v>45.115716572596149</v>
      </c>
      <c r="M5" s="81"/>
      <c r="N5" s="60">
        <f>'o-Hybrid'!AF4</f>
        <v>37.736903846153844</v>
      </c>
      <c r="O5" s="69">
        <f>'o-Hybrid'!AG4</f>
        <v>0.22450000000000001</v>
      </c>
      <c r="P5" s="60">
        <f>'o-Hybrid'!AH4</f>
        <v>46.208838759615382</v>
      </c>
      <c r="R5" s="9">
        <v>15.52</v>
      </c>
      <c r="S5" s="9">
        <v>21.45</v>
      </c>
      <c r="T5" s="9">
        <v>22.59</v>
      </c>
      <c r="U5" s="9">
        <v>12.85</v>
      </c>
      <c r="V5" s="9">
        <v>8.89</v>
      </c>
      <c r="W5" s="9">
        <v>0</v>
      </c>
      <c r="X5" s="9">
        <v>12</v>
      </c>
      <c r="Y5" s="9">
        <v>16.440000000000001</v>
      </c>
      <c r="Z5" s="9">
        <v>6.81</v>
      </c>
      <c r="AA5" s="9">
        <v>7.31</v>
      </c>
      <c r="AB5" s="9">
        <v>0</v>
      </c>
      <c r="AC5" s="36">
        <f>P5*(SUM(Q5:AB5))</f>
        <v>5723.4267687659612</v>
      </c>
      <c r="AD5" s="36">
        <f>D5*12</f>
        <v>0</v>
      </c>
      <c r="AE5" s="36">
        <f>AC5-AD5</f>
        <v>5723.4267687659612</v>
      </c>
      <c r="AF5" s="78">
        <f>'o-D-AM'!AO6</f>
        <v>38.46153846153846</v>
      </c>
      <c r="AG5" s="79">
        <f>'o-D-AM'!AP6</f>
        <v>0.23630000000000001</v>
      </c>
      <c r="AH5" s="84">
        <f>'o-D-AM'!AQ6</f>
        <v>47.55</v>
      </c>
      <c r="AP5" s="60">
        <f>AH5*SUM(AI5:AO5)</f>
        <v>0</v>
      </c>
      <c r="AR5" s="83">
        <f t="shared" ref="AR5:AR6" si="0">AP5-AQ5</f>
        <v>0</v>
      </c>
    </row>
    <row r="6" spans="1:44" x14ac:dyDescent="0.25">
      <c r="A6" s="9" t="s">
        <v>61</v>
      </c>
      <c r="E6" s="71"/>
      <c r="M6" s="81"/>
      <c r="AF6" s="78">
        <f>'o-D-AM'!AO7</f>
        <v>38.46153846153846</v>
      </c>
      <c r="AG6" s="59">
        <f>'o-D-AM'!AP7</f>
        <v>0.23630000000000001</v>
      </c>
      <c r="AH6" s="84">
        <f>'o-D-AM'!AQ7</f>
        <v>47.55</v>
      </c>
      <c r="AI6" s="9">
        <v>38.799999999999997</v>
      </c>
      <c r="AJ6" s="9">
        <v>38.869999999999997</v>
      </c>
      <c r="AK6" s="9">
        <v>40.119999999999997</v>
      </c>
      <c r="AL6" s="9">
        <v>39.01</v>
      </c>
      <c r="AM6" s="9">
        <v>37.43</v>
      </c>
      <c r="AN6" s="9">
        <v>39.01</v>
      </c>
      <c r="AO6" s="9">
        <v>41.11</v>
      </c>
      <c r="AP6" s="60">
        <f>AH6*SUM(AI6:AO6)</f>
        <v>13045.342499999997</v>
      </c>
      <c r="AR6" s="83">
        <f t="shared" si="0"/>
        <v>13045.342499999997</v>
      </c>
    </row>
    <row r="7" spans="1:44" x14ac:dyDescent="0.25">
      <c r="A7" s="9" t="s">
        <v>58</v>
      </c>
      <c r="E7" s="78">
        <f>'o-D-AM'!E10</f>
        <v>34.301024038461541</v>
      </c>
      <c r="F7" s="59">
        <f>'o-D-AM'!F10</f>
        <v>0.1913</v>
      </c>
      <c r="G7" s="60">
        <f>'o-D-AM'!G10</f>
        <v>40.862809937019236</v>
      </c>
      <c r="H7" s="9">
        <v>3</v>
      </c>
      <c r="I7" s="9">
        <v>0</v>
      </c>
      <c r="J7" s="9">
        <v>2.5</v>
      </c>
      <c r="K7" s="60">
        <f>G7*SUM(H7:J7)</f>
        <v>224.7454546536058</v>
      </c>
      <c r="L7" s="9">
        <v>0</v>
      </c>
      <c r="M7" s="82">
        <f>K7-L7</f>
        <v>224.7454546536058</v>
      </c>
      <c r="N7" s="60">
        <f>'o-D-AM'!W10</f>
        <v>34.287096153846157</v>
      </c>
      <c r="O7" s="59">
        <f>'o-D-AM'!X10</f>
        <v>0.22450000000000001</v>
      </c>
      <c r="P7" s="60">
        <f>'o-D-AM'!Y10</f>
        <v>41.984549240384617</v>
      </c>
      <c r="Q7" s="9">
        <v>2.75</v>
      </c>
      <c r="R7" s="9">
        <v>1.5</v>
      </c>
      <c r="S7" s="9">
        <v>1</v>
      </c>
      <c r="T7" s="9">
        <v>1</v>
      </c>
      <c r="U7" s="9">
        <v>4</v>
      </c>
      <c r="V7" s="9">
        <v>3.5</v>
      </c>
      <c r="W7" s="9">
        <v>3</v>
      </c>
      <c r="X7" s="9">
        <v>1</v>
      </c>
      <c r="Y7" s="9">
        <v>6.5</v>
      </c>
      <c r="Z7" s="9">
        <v>1</v>
      </c>
      <c r="AA7" s="9">
        <v>1</v>
      </c>
      <c r="AB7" s="9">
        <v>2</v>
      </c>
      <c r="AC7" s="60">
        <f>P7*SUM(Q7:AB7)</f>
        <v>1186.0635160408654</v>
      </c>
      <c r="AD7" s="9">
        <v>0</v>
      </c>
      <c r="AE7" s="60">
        <f>AC7-AD7</f>
        <v>1186.0635160408654</v>
      </c>
      <c r="AF7" s="78">
        <f>'o-D-AM'!AO10</f>
        <v>37.019230769230766</v>
      </c>
      <c r="AG7" s="59">
        <f>'o-D-AM'!AP10</f>
        <v>0.23630000000000001</v>
      </c>
      <c r="AH7" s="60">
        <f>'o-D-AM'!AQ10</f>
        <v>45.766874999999992</v>
      </c>
      <c r="AI7" s="9">
        <v>0.5</v>
      </c>
      <c r="AJ7" s="9">
        <v>1</v>
      </c>
      <c r="AK7" s="9">
        <v>4.5</v>
      </c>
      <c r="AL7" s="9">
        <v>1.5</v>
      </c>
      <c r="AM7" s="9">
        <v>4.5</v>
      </c>
      <c r="AN7" s="9">
        <v>0.5</v>
      </c>
      <c r="AO7" s="9">
        <v>3.5</v>
      </c>
      <c r="AP7" s="60">
        <f>AH7*SUM(AI7:AO7)</f>
        <v>732.26999999999987</v>
      </c>
      <c r="AQ7" s="9">
        <v>0</v>
      </c>
      <c r="AR7" s="82">
        <f>AP7-AQ7</f>
        <v>732.26999999999987</v>
      </c>
    </row>
  </sheetData>
  <mergeCells count="4">
    <mergeCell ref="E1:M1"/>
    <mergeCell ref="B1:D1"/>
    <mergeCell ref="N1:AE1"/>
    <mergeCell ref="AF1:AR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Sheet1</vt:lpstr>
      <vt:lpstr>Time Breakdown</vt:lpstr>
      <vt:lpstr>09.04.26 Time Total</vt:lpstr>
      <vt:lpstr>Hours Log</vt:lpstr>
      <vt:lpstr>Reference Sheet</vt:lpstr>
      <vt:lpstr>Summary Sheet</vt:lpstr>
      <vt:lpstr>D-AM</vt:lpstr>
      <vt:lpstr>Hybrid</vt:lpstr>
      <vt:lpstr>LTM</vt:lpstr>
      <vt:lpstr>Rising Tides</vt:lpstr>
      <vt:lpstr>Hours available</vt:lpstr>
      <vt:lpstr>o-D-AM</vt:lpstr>
      <vt:lpstr>o-Hybrid</vt:lpstr>
      <vt:lpstr>o-LTM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Tom metzinger</dc:creator>
  <cp:lastModifiedBy>Tom metzinger</cp:lastModifiedBy>
  <dcterms:created xsi:type="dcterms:W3CDTF">2026-08-12T18:35:58Z</dcterms:created>
  <dcterms:modified xsi:type="dcterms:W3CDTF">2026-09-05T13:04:19Z</dcterms:modified>
</cp:coreProperties>
</file>