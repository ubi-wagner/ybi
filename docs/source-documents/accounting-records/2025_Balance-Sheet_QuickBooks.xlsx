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2" i="1" l="1"/>
</calcChain>
</file>

<file path=xl/sharedStrings.xml><?xml version="1.0" encoding="utf-8"?>
<sst xmlns="http://schemas.openxmlformats.org/spreadsheetml/2006/main" count="123" uniqueCount="123">
  <si>
    <t>Youngstown Business Incubator</t>
  </si>
  <si>
    <t>Balance Sheet</t>
  </si>
  <si>
    <t>As of Dec 31, 2025</t>
  </si>
  <si>
    <t>Assets</t>
  </si>
  <si>
    <t>Current Assets</t>
  </si>
  <si>
    <t>Bank Accounts</t>
  </si>
  <si>
    <t>1000 Chase-Building Reserve Fund</t>
  </si>
  <si>
    <t>1002 Home Savings Building Reserve</t>
  </si>
  <si>
    <t>1003 PNC-Operation Expenses</t>
  </si>
  <si>
    <t>1005 Paypal</t>
  </si>
  <si>
    <t>1010 Huntington - Operating Account</t>
  </si>
  <si>
    <t>1011 Huntington - Savings</t>
  </si>
  <si>
    <t>1012 Huntington Money Market</t>
  </si>
  <si>
    <t>1020 Petty Cash</t>
  </si>
  <si>
    <t>1072 Bill.com Money Out Clearing</t>
  </si>
  <si>
    <t>Total for Bank Accounts</t>
  </si>
  <si>
    <t>Accounts Receivable</t>
  </si>
  <si>
    <t>1100 Accounts Receivable</t>
  </si>
  <si>
    <t>Total for Accounts Receivable</t>
  </si>
  <si>
    <t>Other Current Assets</t>
  </si>
  <si>
    <t>1030 Undeposited Funds</t>
  </si>
  <si>
    <t>1101 Allowance for Uncollectables</t>
  </si>
  <si>
    <t>1111 Accts. Rcvbl (Inspire Fund)</t>
  </si>
  <si>
    <t>1112 Allowance for Doubtful Inspire</t>
  </si>
  <si>
    <t>1120 A/R EDA Grant - Federal</t>
  </si>
  <si>
    <t>1150 Pledged Receivables</t>
  </si>
  <si>
    <t>1151 Discount on Pledges Receivable</t>
  </si>
  <si>
    <t>1441 Prepaid Dues/Subscription Expense</t>
  </si>
  <si>
    <t>1450 Prepaid Insurance</t>
  </si>
  <si>
    <t>1451 Prepaid Service Agreements</t>
  </si>
  <si>
    <t>1455 Security Deposit Dominion</t>
  </si>
  <si>
    <t>1456 Accrued Receivables</t>
  </si>
  <si>
    <t>HT Carmel 1400M Material Inventory</t>
  </si>
  <si>
    <t>YBI Carmel 1400 Material Inventory</t>
  </si>
  <si>
    <t>Total for Other Current Assets</t>
  </si>
  <si>
    <t>Total for Current Assets</t>
  </si>
  <si>
    <t>Fixed Assets</t>
  </si>
  <si>
    <t>1500 Land - Lots 15 and 16</t>
  </si>
  <si>
    <t>1505 Construction in Progress</t>
  </si>
  <si>
    <t>1510 Buildings</t>
  </si>
  <si>
    <t>1511 Buildings - Lots 13, 14 &amp; 28</t>
  </si>
  <si>
    <t>1512 Accum. Depr. - Buildings</t>
  </si>
  <si>
    <t>Total for 1510 Buildings</t>
  </si>
  <si>
    <t>1520 Capital Improvements</t>
  </si>
  <si>
    <t>1521 Capital Improvements Cost</t>
  </si>
  <si>
    <t>1522 Accum. Depr. - Capital Imp.</t>
  </si>
  <si>
    <t>1523 A/D Capital Leases</t>
  </si>
  <si>
    <t>1529 Equipment-Capital Lease</t>
  </si>
  <si>
    <t>Total for 1520 Capital Improvements</t>
  </si>
  <si>
    <t>1530 Computer Equipment</t>
  </si>
  <si>
    <t>1560 Equipment (Parent)</t>
  </si>
  <si>
    <t>1525 Computer-Equipment-Other</t>
  </si>
  <si>
    <t>1526 A/D-Computer Equipment other</t>
  </si>
  <si>
    <t>1527 Equipment-Other</t>
  </si>
  <si>
    <t>1528 A/D Equipment-Other</t>
  </si>
  <si>
    <t>Total for 1560 Equipment (Parent)</t>
  </si>
  <si>
    <t>1570 TBB5</t>
  </si>
  <si>
    <t>1501 Tech Block Bldg 5</t>
  </si>
  <si>
    <t>1502 TBB5 Accumulated Depreciation</t>
  </si>
  <si>
    <t>Total for 1570 TBB5</t>
  </si>
  <si>
    <t>Total for Fixed Assets</t>
  </si>
  <si>
    <t>Other Assets</t>
  </si>
  <si>
    <t>1115 MedaSync Investment</t>
  </si>
  <si>
    <t>Total for Other Assets</t>
  </si>
  <si>
    <t>Total for Assets</t>
  </si>
  <si>
    <t>Liabilities and Equity</t>
  </si>
  <si>
    <t>Liabilities</t>
  </si>
  <si>
    <t>Current Liabilities</t>
  </si>
  <si>
    <t>Accounts Payable</t>
  </si>
  <si>
    <t>2000 Accounts Payable</t>
  </si>
  <si>
    <t>Total for Accounts Payable</t>
  </si>
  <si>
    <t>Credit Cards</t>
  </si>
  <si>
    <t>2040 Chase Platinum Business Card</t>
  </si>
  <si>
    <t>CC-6078 Barb's Card</t>
  </si>
  <si>
    <t>CC-6086 Heidi's Card</t>
  </si>
  <si>
    <t>CC-6094 Colleen's Card</t>
  </si>
  <si>
    <t>CC-6110 YBI Card</t>
  </si>
  <si>
    <t>Total for 2040 Chase Platinum Business Card</t>
  </si>
  <si>
    <t>2041 Huntington Mastercard Business Card</t>
  </si>
  <si>
    <t>CC-2051 Barb Ewing</t>
  </si>
  <si>
    <t>CC-2574 Tanisha Wheeler</t>
  </si>
  <si>
    <t>CC-3704 Colleen Kelly</t>
  </si>
  <si>
    <t>CC-4152 Jessica Sprowl</t>
  </si>
  <si>
    <t>CC-5085 Luke Politsky</t>
  </si>
  <si>
    <t>CC-8190 Brittany Engel</t>
  </si>
  <si>
    <t>CC-8238 Macie Shaulis</t>
  </si>
  <si>
    <t>CC-8659 Chandler Fiffick</t>
  </si>
  <si>
    <t>Total for 2041 Huntington Mastercard Business Card</t>
  </si>
  <si>
    <t>Total for Credit Cards</t>
  </si>
  <si>
    <t>Other Current Liabilities</t>
  </si>
  <si>
    <t>2003 Accrued Payroll</t>
  </si>
  <si>
    <t>2005 Huntington LOC (#34)</t>
  </si>
  <si>
    <t>2100 Payroll Liabilities</t>
  </si>
  <si>
    <t>2106 City Income Tax</t>
  </si>
  <si>
    <t>2110 Federal Withholding</t>
  </si>
  <si>
    <t>2120 FICA+MC</t>
  </si>
  <si>
    <t>2150 401k Match+Profit Sharing</t>
  </si>
  <si>
    <t>2151 POP</t>
  </si>
  <si>
    <t>2160 State Withholding</t>
  </si>
  <si>
    <t>Total for 2100 Payroll Liabilities</t>
  </si>
  <si>
    <t>2109 Accrued Liabilities</t>
  </si>
  <si>
    <t>Innovation Hub Deferral</t>
  </si>
  <si>
    <t>IH Advance Deferral</t>
  </si>
  <si>
    <t>IH Cost Share Deferral</t>
  </si>
  <si>
    <t>Total for Innovation Hub Deferral</t>
  </si>
  <si>
    <t>Total for Other Current Liabilities</t>
  </si>
  <si>
    <t>Total for Current Liabilities</t>
  </si>
  <si>
    <t>Long-term Liabilities</t>
  </si>
  <si>
    <t>2004 5th Bldg Loan (#59)</t>
  </si>
  <si>
    <t>2046 Huntington Draw to Term Loan (#91)</t>
  </si>
  <si>
    <t>2049 Youngstown Facade Loan</t>
  </si>
  <si>
    <t>2111 COVID Deferred Interest Accrual</t>
  </si>
  <si>
    <t>Total for Long-term Liabilities</t>
  </si>
  <si>
    <t>Total for Liabilities</t>
  </si>
  <si>
    <t>Equity</t>
  </si>
  <si>
    <t>3010 Temp Restricted Net Assets</t>
  </si>
  <si>
    <t>3000 Fund Balance</t>
  </si>
  <si>
    <t>Net Income</t>
  </si>
  <si>
    <t>Total for Equity</t>
  </si>
  <si>
    <t>Total for Liabilities and Equity</t>
  </si>
  <si>
    <t/>
  </si>
  <si>
    <t>Total</t>
  </si>
  <si>
    <t>Accrual Basis Friday, August 21, 2026 12:12 PM GMT-04:00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</si>
</sst>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61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 indent="2"/>
    </xf>
    <xf numFmtId="0" fontId="5" fillId="0" borderId="0" xfId="0" applyFont="1" applyAlignment="1">
      <alignment horizontal="left" indent="2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0" fontId="2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3" fillId="0" borderId="0" xfId="0" applyFont="1"/>
    <xf numFmtId="177" fontId="3" fillId="0" borderId="0" xfId="0" applyNumberFormat="1" applyFont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 indent="4"/>
    </xf>
    <xf numFmtId="0" fontId="3" fillId="0" borderId="0" xfId="0" applyFont="1" applyAlignment="1">
      <alignment horizontal="left" indent="4"/>
    </xf>
    <xf numFmtId="0" fontId="2" fillId="0" borderId="0" xfId="0" applyFont="1" applyAlignment="1">
      <alignment horizontal="left" indent="3"/>
    </xf>
    <xf numFmtId="0" fontId="5" fillId="0" borderId="0" xfId="0" applyFont="1" applyAlignment="1">
      <alignment horizontal="left" indent="3"/>
    </xf>
    <xf numFmtId="0" fontId="0" fillId="0" borderId="0" xfId="0" applyAlignment="1">
      <alignment horizontal="left" indent="5"/>
    </xf>
    <xf numFmtId="0" fontId="3" fillId="0" borderId="0" xfId="0" applyFont="1" applyAlignment="1">
      <alignment horizontal="left" indent="5"/>
    </xf>
    <xf numFmtId="0" fontId="2" fillId="0" borderId="0" xfId="0" applyFont="1" applyAlignment="1">
      <alignment horizontal="left" indent="4"/>
    </xf>
    <xf numFmtId="0" fontId="5" fillId="0" borderId="0" xfId="0" applyFont="1" applyAlignment="1">
      <alignment horizontal="left" indent="4"/>
    </xf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5" fillId="0" borderId="0" xfId="0" applyFont="1" applyAlignment="1">
      <alignment horizontal="left" wrapText="1" indent="2"/>
    </xf>
    <xf numFmtId="0" fontId="5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4"/>
    </xf>
    <xf numFmtId="0" fontId="5" fillId="0" borderId="0" xfId="0" applyFont="1" applyAlignment="1">
      <alignment horizontal="left" wrapText="1" indent="3"/>
    </xf>
    <xf numFmtId="0" fontId="3" fillId="0" borderId="0" xfId="0" applyFont="1" applyAlignment="1">
      <alignment horizontal="left" wrapText="1" indent="5"/>
    </xf>
    <xf numFmtId="0" fontId="5" fillId="0" borderId="0" xfId="0" applyFont="1" applyAlignment="1">
      <alignment horizontal="left" wrapText="1" indent="4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5" fillId="0" borderId="2" xfId="0" applyNumberFormat="1" applyFont="1" applyBorder="1" applyAlignment="1">
      <alignment wrapText="1"/>
    </xf>
    <xf numFmtId="0" fontId="3" fillId="0" borderId="0" xfId="0" applyFont="1" applyAlignment="1">
      <alignment wrapText="1"/>
    </xf>
    <xf numFmtId="177" fontId="3" fillId="0" borderId="0" xfId="0" applyNumberFormat="1" applyFont="1" applyAlignment="1">
      <alignment wrapText="1"/>
    </xf>
    <xf numFmtId="0" fontId="4" fillId="0" borderId="1" xfId="20" applyFont="1" applyAlignment="1">
      <alignment horizontal="center" wrapText="1"/>
      <protection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B126"/>
  <sheetViews>
    <sheetView tabSelected="1" workbookViewId="0" topLeftCell="A1"/>
  </sheetViews>
  <sheetFormatPr defaultColWidth="11.255" defaultRowHeight="16"/>
  <cols>
    <col min="1" max="1" width="43.625" style="52" customWidth="1"/>
    <col min="2" max="2" width="16.125" style="52" customWidth="1"/>
  </cols>
  <sheetData>
    <row r="1" spans="1:1" ht="16">
      <c r="A1" s="37" t="s">
        <v>0</v>
      </c>
    </row>
    <row r="2" spans="1:1" ht="16">
      <c r="A2" s="38" t="s">
        <v>1</v>
      </c>
    </row>
    <row r="3" spans="1:1" ht="16">
      <c r="A3" s="39" t="s">
        <v>2</v>
      </c>
    </row>
    <row r="5" spans="1:2" ht="16">
      <c r="A5" s="54" t="s">
        <v>120</v>
      </c>
      <c r="B5" s="59" t="s">
        <v>121</v>
      </c>
    </row>
    <row r="6" spans="1:1" ht="16">
      <c r="A6" s="41" t="s">
        <v>3</v>
      </c>
    </row>
    <row r="7" spans="1:1" ht="16">
      <c r="A7" s="42" t="s">
        <v>4</v>
      </c>
    </row>
    <row r="8" spans="1:1" ht="16">
      <c r="A8" s="43" t="s">
        <v>5</v>
      </c>
    </row>
    <row r="9" spans="1:2" ht="16">
      <c r="A9" s="44" t="s">
        <v>6</v>
      </c>
      <c r="B9" s="55">
        <v>2557.02</v>
      </c>
    </row>
    <row r="10" spans="1:2" ht="16">
      <c r="A10" s="44" t="s">
        <v>7</v>
      </c>
      <c r="B10" s="55">
        <v>478.56</v>
      </c>
    </row>
    <row r="11" spans="1:2" ht="16">
      <c r="A11" s="44" t="s">
        <v>8</v>
      </c>
      <c r="B11" s="55">
        <v>8139.69</v>
      </c>
    </row>
    <row r="12" spans="1:2" ht="16">
      <c r="A12" s="44" t="s">
        <v>9</v>
      </c>
      <c r="B12" s="55">
        <v>959.09</v>
      </c>
    </row>
    <row r="13" spans="1:2" ht="16">
      <c r="A13" s="44" t="s">
        <v>10</v>
      </c>
      <c r="B13" s="55">
        <v>63061.66</v>
      </c>
    </row>
    <row r="14" spans="1:2" ht="16">
      <c r="A14" s="44" t="s">
        <v>11</v>
      </c>
      <c r="B14" s="55">
        <v>15248.88</v>
      </c>
    </row>
    <row r="15" spans="1:2" ht="16">
      <c r="A15" s="44" t="s">
        <v>12</v>
      </c>
      <c r="B15" s="55">
        <v>16954.7</v>
      </c>
    </row>
    <row r="16" spans="1:2" ht="16">
      <c r="A16" s="44" t="s">
        <v>13</v>
      </c>
      <c r="B16" s="55">
        <v>200.0</v>
      </c>
    </row>
    <row r="17" spans="1:2" ht="16">
      <c r="A17" s="44" t="s">
        <v>14</v>
      </c>
      <c r="B17" s="55">
        <v>12160.42</v>
      </c>
    </row>
    <row r="18" spans="1:2" ht="16">
      <c r="A18" s="45" t="s">
        <v>15</v>
      </c>
      <c r="B18" s="56">
        <f>B8+B9+B10+B11+B12+B13+B14+B15+B16+B17</f>
        <v>119760.02</v>
      </c>
    </row>
    <row r="19" spans="1:1" ht="16">
      <c r="A19" s="43" t="s">
        <v>16</v>
      </c>
    </row>
    <row r="20" spans="1:2" ht="16">
      <c r="A20" s="44" t="s">
        <v>17</v>
      </c>
      <c r="B20" s="55">
        <v>1774831.25</v>
      </c>
    </row>
    <row r="21" spans="1:2" ht="16">
      <c r="A21" s="45" t="s">
        <v>18</v>
      </c>
      <c r="B21" s="56">
        <f>B19+B20</f>
        <v>1774831.25</v>
      </c>
    </row>
    <row r="22" spans="1:1" ht="16">
      <c r="A22" s="43" t="s">
        <v>19</v>
      </c>
    </row>
    <row r="23" spans="1:2" ht="16">
      <c r="A23" s="44" t="s">
        <v>20</v>
      </c>
      <c r="B23" s="55">
        <v>6143.58</v>
      </c>
    </row>
    <row r="24" spans="1:2" ht="16">
      <c r="A24" s="44" t="s">
        <v>21</v>
      </c>
      <c r="B24" s="55">
        <v>-11680.83</v>
      </c>
    </row>
    <row r="25" spans="1:2" ht="16">
      <c r="A25" s="44" t="s">
        <v>22</v>
      </c>
      <c r="B25" s="55">
        <v>130135.13</v>
      </c>
    </row>
    <row r="26" spans="1:2" ht="16">
      <c r="A26" s="44" t="s">
        <v>23</v>
      </c>
      <c r="B26" s="55">
        <v>-130135.13</v>
      </c>
    </row>
    <row r="27" spans="1:2" ht="16">
      <c r="A27" s="44" t="s">
        <v>24</v>
      </c>
      <c r="B27" s="55">
        <v>3634.0</v>
      </c>
    </row>
    <row r="28" spans="1:2" ht="16">
      <c r="A28" s="44" t="s">
        <v>25</v>
      </c>
      <c r="B28" s="55">
        <v>125000.0</v>
      </c>
    </row>
    <row r="29" spans="1:2" ht="16">
      <c r="A29" s="44" t="s">
        <v>26</v>
      </c>
      <c r="B29" s="55">
        <v>-6933.91</v>
      </c>
    </row>
    <row r="30" spans="1:2" ht="16">
      <c r="A30" s="44" t="s">
        <v>27</v>
      </c>
      <c r="B30" s="55">
        <v>8624.93</v>
      </c>
    </row>
    <row r="31" spans="1:2" ht="16">
      <c r="A31" s="44" t="s">
        <v>28</v>
      </c>
      <c r="B31" s="55">
        <v>5431.41</v>
      </c>
    </row>
    <row r="32" spans="1:2" ht="16">
      <c r="A32" s="44" t="s">
        <v>29</v>
      </c>
      <c r="B32" s="55">
        <v>25050.35</v>
      </c>
    </row>
    <row r="33" spans="1:2" ht="16">
      <c r="A33" s="44" t="s">
        <v>30</v>
      </c>
      <c r="B33" s="55">
        <v>370.09</v>
      </c>
    </row>
    <row r="34" spans="1:2" ht="16">
      <c r="A34" s="44" t="s">
        <v>31</v>
      </c>
      <c r="B34" s="55">
        <v>421272.03</v>
      </c>
    </row>
    <row r="35" spans="1:2" ht="16">
      <c r="A35" s="44" t="s">
        <v>32</v>
      </c>
      <c r="B35" s="55">
        <v>20247.88</v>
      </c>
    </row>
    <row r="36" spans="1:2" ht="16">
      <c r="A36" s="44" t="s">
        <v>33</v>
      </c>
      <c r="B36" s="55">
        <v>16894.6</v>
      </c>
    </row>
    <row r="37" spans="1:2" ht="16">
      <c r="A37" s="45" t="s">
        <v>34</v>
      </c>
      <c r="B37" s="56">
        <f>B22+B23+B24+B25+B26+B27+B28+B29+B30+B31+B32+B33+B34+B35+B36</f>
        <v>614054.13</v>
      </c>
    </row>
    <row r="38" spans="1:2" ht="16">
      <c r="A38" s="46" t="s">
        <v>35</v>
      </c>
      <c r="B38" s="56">
        <f>B7+B18+B21+B37</f>
        <v>2508645.4</v>
      </c>
    </row>
    <row r="39" spans="1:1" ht="16">
      <c r="A39" s="42" t="s">
        <v>36</v>
      </c>
    </row>
    <row r="40" spans="1:2" ht="16">
      <c r="A40" s="43" t="s">
        <v>37</v>
      </c>
      <c r="B40" s="55">
        <v>107530.0</v>
      </c>
    </row>
    <row r="41" spans="1:2" ht="16">
      <c r="A41" s="43" t="s">
        <v>38</v>
      </c>
      <c r="B41" s="55">
        <v>438355.19</v>
      </c>
    </row>
    <row r="42" spans="1:2" ht="16">
      <c r="A42" s="43" t="s">
        <v>39</v>
      </c>
      <c r="B42" s="57"/>
    </row>
    <row r="43" spans="1:2" ht="16">
      <c r="A43" s="44" t="s">
        <v>40</v>
      </c>
      <c r="B43" s="55">
        <v>8760612.01</v>
      </c>
    </row>
    <row r="44" spans="1:2" ht="16">
      <c r="A44" s="44" t="s">
        <v>41</v>
      </c>
      <c r="B44" s="55">
        <v>-3650762.57</v>
      </c>
    </row>
    <row r="45" spans="1:2" ht="16">
      <c r="A45" s="45" t="s">
        <v>42</v>
      </c>
      <c r="B45" s="56">
        <f>B42+B43+B44</f>
        <v>5109849.4399999995</v>
      </c>
    </row>
    <row r="46" spans="1:2" ht="16">
      <c r="A46" s="43" t="s">
        <v>43</v>
      </c>
      <c r="B46" s="58">
        <v>0</v>
      </c>
    </row>
    <row r="47" spans="1:2" ht="16">
      <c r="A47" s="44" t="s">
        <v>44</v>
      </c>
      <c r="B47" s="55">
        <v>4070162.69</v>
      </c>
    </row>
    <row r="48" spans="1:2" ht="16">
      <c r="A48" s="44" t="s">
        <v>45</v>
      </c>
      <c r="B48" s="55">
        <v>-2095262.68</v>
      </c>
    </row>
    <row r="49" spans="1:2" ht="16">
      <c r="A49" s="44" t="s">
        <v>46</v>
      </c>
      <c r="B49" s="55">
        <v>-211518.0</v>
      </c>
    </row>
    <row r="50" spans="1:2" ht="16">
      <c r="A50" s="44" t="s">
        <v>47</v>
      </c>
      <c r="B50" s="55">
        <v>211517.53</v>
      </c>
    </row>
    <row r="51" spans="1:2" ht="16">
      <c r="A51" s="45" t="s">
        <v>48</v>
      </c>
      <c r="B51" s="56">
        <f>B46+B47+B48+B49+B50</f>
        <v>1974899.54</v>
      </c>
    </row>
    <row r="52" spans="1:2" ht="16">
      <c r="A52" s="43" t="s">
        <v>49</v>
      </c>
      <c r="B52" s="57"/>
    </row>
    <row r="53" spans="1:2" ht="16">
      <c r="A53" s="43" t="s">
        <v>50</v>
      </c>
      <c r="B53" s="57"/>
    </row>
    <row r="54" spans="1:2" ht="16">
      <c r="A54" s="44" t="s">
        <v>51</v>
      </c>
      <c r="B54" s="55">
        <v>973054.57</v>
      </c>
    </row>
    <row r="55" spans="1:2" ht="16">
      <c r="A55" s="44" t="s">
        <v>52</v>
      </c>
      <c r="B55" s="55">
        <v>-655438.6</v>
      </c>
    </row>
    <row r="56" spans="1:2" ht="16">
      <c r="A56" s="44" t="s">
        <v>53</v>
      </c>
      <c r="B56" s="55">
        <v>251096.01</v>
      </c>
    </row>
    <row r="57" spans="1:2" ht="16">
      <c r="A57" s="44" t="s">
        <v>54</v>
      </c>
      <c r="B57" s="55">
        <v>-163558.21</v>
      </c>
    </row>
    <row r="58" spans="1:2" ht="16">
      <c r="A58" s="45" t="s">
        <v>55</v>
      </c>
      <c r="B58" s="56">
        <f>B53+B54+B55+B56+B57</f>
        <v>405153.77</v>
      </c>
    </row>
    <row r="59" spans="1:2" ht="16">
      <c r="A59" s="43" t="s">
        <v>56</v>
      </c>
      <c r="B59" s="57"/>
    </row>
    <row r="60" spans="1:2" ht="16">
      <c r="A60" s="44" t="s">
        <v>57</v>
      </c>
      <c r="B60" s="55">
        <v>8922679.69</v>
      </c>
    </row>
    <row r="61" spans="1:2" ht="16">
      <c r="A61" s="44" t="s">
        <v>58</v>
      </c>
      <c r="B61" s="55">
        <v>-2803893.23</v>
      </c>
    </row>
    <row r="62" spans="1:2" ht="16">
      <c r="A62" s="45" t="s">
        <v>59</v>
      </c>
      <c r="B62" s="56">
        <f>B59+B60+B61</f>
        <v>6118786.459999999</v>
      </c>
    </row>
    <row r="63" spans="1:2" ht="16">
      <c r="A63" s="46" t="s">
        <v>60</v>
      </c>
      <c r="B63" s="56">
        <f>B39+B40+B41+B45+B51+B52+B58+B62</f>
        <v>1.4154574399999999E7</v>
      </c>
    </row>
    <row r="64" spans="1:1" ht="16">
      <c r="A64" s="42" t="s">
        <v>61</v>
      </c>
    </row>
    <row r="65" spans="1:2" ht="16">
      <c r="A65" s="43" t="s">
        <v>62</v>
      </c>
      <c r="B65" s="55">
        <v>50000.0</v>
      </c>
    </row>
    <row r="66" spans="1:2" ht="16">
      <c r="A66" s="46" t="s">
        <v>63</v>
      </c>
      <c r="B66" s="56">
        <f>B64+B65</f>
        <v>50000.0</v>
      </c>
    </row>
    <row r="67" spans="1:2" ht="16">
      <c r="A67" s="47" t="s">
        <v>64</v>
      </c>
      <c r="B67" s="56">
        <f>B6+B38+B63+B66</f>
        <v>1.6713219799999999E7</v>
      </c>
    </row>
    <row r="68" spans="1:1" ht="16">
      <c r="A68" s="41" t="s">
        <v>65</v>
      </c>
    </row>
    <row r="69" spans="1:1" ht="16">
      <c r="A69" s="42" t="s">
        <v>66</v>
      </c>
    </row>
    <row r="70" spans="1:1" ht="16">
      <c r="A70" s="43" t="s">
        <v>67</v>
      </c>
    </row>
    <row r="71" spans="1:1" ht="16">
      <c r="A71" s="44" t="s">
        <v>68</v>
      </c>
    </row>
    <row r="72" spans="1:2" ht="16">
      <c r="A72" s="48" t="s">
        <v>69</v>
      </c>
      <c r="B72" s="55">
        <v>416328.4</v>
      </c>
    </row>
    <row r="73" spans="1:2" ht="16">
      <c r="A73" s="49" t="s">
        <v>70</v>
      </c>
      <c r="B73" s="56">
        <f>B71+B72</f>
        <v>416328.4</v>
      </c>
    </row>
    <row r="74" spans="1:1" ht="16">
      <c r="A74" s="44" t="s">
        <v>71</v>
      </c>
    </row>
    <row r="75" spans="1:2" ht="16">
      <c r="A75" s="48" t="s">
        <v>72</v>
      </c>
      <c r="B75" s="55">
        <v>72.4</v>
      </c>
    </row>
    <row r="76" spans="1:2" ht="16">
      <c r="A76" s="50" t="s">
        <v>73</v>
      </c>
      <c r="B76" s="55">
        <v>13155.46</v>
      </c>
    </row>
    <row r="77" spans="1:2" ht="16">
      <c r="A77" s="50" t="s">
        <v>74</v>
      </c>
      <c r="B77" s="55">
        <v>102.98</v>
      </c>
    </row>
    <row r="78" spans="1:2" ht="16">
      <c r="A78" s="50" t="s">
        <v>75</v>
      </c>
      <c r="B78" s="55">
        <v>12.9</v>
      </c>
    </row>
    <row r="79" spans="1:2" ht="16">
      <c r="A79" s="50" t="s">
        <v>76</v>
      </c>
      <c r="B79" s="55">
        <v>1292.0</v>
      </c>
    </row>
    <row r="80" spans="1:2" ht="16">
      <c r="A80" s="51" t="s">
        <v>77</v>
      </c>
      <c r="B80" s="56">
        <f>B75+B76+B77+B78+B79</f>
        <v>14635.739999999998</v>
      </c>
    </row>
    <row r="81" spans="1:2" ht="16">
      <c r="A81" s="48" t="s">
        <v>78</v>
      </c>
      <c r="B81" s="55">
        <v>226.11</v>
      </c>
    </row>
    <row r="82" spans="1:2" ht="16">
      <c r="A82" s="50" t="s">
        <v>79</v>
      </c>
      <c r="B82" s="55">
        <v>255.13</v>
      </c>
    </row>
    <row r="83" spans="1:2" ht="16">
      <c r="A83" s="50" t="s">
        <v>80</v>
      </c>
      <c r="B83" s="55">
        <v>98.78</v>
      </c>
    </row>
    <row r="84" spans="1:2" ht="16">
      <c r="A84" s="50" t="s">
        <v>81</v>
      </c>
      <c r="B84" s="55">
        <v>615.49</v>
      </c>
    </row>
    <row r="85" spans="1:2" ht="16">
      <c r="A85" s="50" t="s">
        <v>82</v>
      </c>
      <c r="B85" s="55">
        <v>2353.75</v>
      </c>
    </row>
    <row r="86" spans="1:2" ht="16">
      <c r="A86" s="50" t="s">
        <v>83</v>
      </c>
      <c r="B86" s="55">
        <v>662.59</v>
      </c>
    </row>
    <row r="87" spans="1:2" ht="16">
      <c r="A87" s="50" t="s">
        <v>84</v>
      </c>
      <c r="B87" s="55">
        <v>342.3</v>
      </c>
    </row>
    <row r="88" spans="1:2" ht="16">
      <c r="A88" s="50" t="s">
        <v>85</v>
      </c>
      <c r="B88" s="55">
        <v>1589.65</v>
      </c>
    </row>
    <row r="89" spans="1:2" ht="16">
      <c r="A89" s="50" t="s">
        <v>86</v>
      </c>
      <c r="B89" s="55">
        <v>55.4</v>
      </c>
    </row>
    <row r="90" spans="1:2" ht="16">
      <c r="A90" s="51" t="s">
        <v>87</v>
      </c>
      <c r="B90" s="56">
        <f>B81+B82+B83+B84+B85+B86+B87+B88+B89</f>
        <v>6199.200000000001</v>
      </c>
    </row>
    <row r="91" spans="1:2" ht="16">
      <c r="A91" s="49" t="s">
        <v>88</v>
      </c>
      <c r="B91" s="56">
        <f>B74+B80+B90</f>
        <v>20834.94</v>
      </c>
    </row>
    <row r="92" spans="1:1" ht="16">
      <c r="A92" s="44" t="s">
        <v>89</v>
      </c>
    </row>
    <row r="93" spans="1:2" ht="16">
      <c r="A93" s="48" t="s">
        <v>90</v>
      </c>
      <c r="B93" s="55">
        <v>23301.02</v>
      </c>
    </row>
    <row r="94" spans="1:2" ht="16">
      <c r="A94" s="48" t="s">
        <v>91</v>
      </c>
      <c r="B94" s="55">
        <v>240000.0</v>
      </c>
    </row>
    <row r="95" spans="1:2" ht="16">
      <c r="A95" s="48" t="s">
        <v>92</v>
      </c>
      <c r="B95" s="58">
        <v>0</v>
      </c>
    </row>
    <row r="96" spans="1:2" ht="16">
      <c r="A96" s="50" t="s">
        <v>93</v>
      </c>
      <c r="B96" s="55">
        <v>7412.85</v>
      </c>
    </row>
    <row r="97" spans="1:2" ht="16">
      <c r="A97" s="50" t="s">
        <v>94</v>
      </c>
      <c r="B97" s="55">
        <v>8007.93</v>
      </c>
    </row>
    <row r="98" spans="1:2" ht="16">
      <c r="A98" s="50" t="s">
        <v>95</v>
      </c>
      <c r="B98" s="55">
        <v>10521.22</v>
      </c>
    </row>
    <row r="99" spans="1:2" ht="16">
      <c r="A99" s="50" t="s">
        <v>96</v>
      </c>
      <c r="B99" s="55">
        <v>18253.98</v>
      </c>
    </row>
    <row r="100" spans="1:2" ht="16">
      <c r="A100" s="50" t="s">
        <v>97</v>
      </c>
      <c r="B100" s="55">
        <v>-310.71</v>
      </c>
    </row>
    <row r="101" spans="1:2" ht="16">
      <c r="A101" s="50" t="s">
        <v>98</v>
      </c>
      <c r="B101" s="55">
        <v>6445.4</v>
      </c>
    </row>
    <row r="102" spans="1:2" ht="16">
      <c r="A102" s="51" t="s">
        <v>99</v>
      </c>
      <c r="B102" s="56">
        <f>B95+B96+B97+B98+B99+B100+B101</f>
        <v>50330.67</v>
      </c>
    </row>
    <row r="103" spans="1:2" ht="16">
      <c r="A103" s="48" t="s">
        <v>100</v>
      </c>
      <c r="B103" s="55">
        <v>67132.26</v>
      </c>
    </row>
    <row r="104" spans="1:2" ht="16">
      <c r="A104" s="48" t="s">
        <v>101</v>
      </c>
      <c r="B104" s="57"/>
    </row>
    <row r="105" spans="1:2" ht="16">
      <c r="A105" s="50" t="s">
        <v>102</v>
      </c>
      <c r="B105" s="55">
        <v>330658.94</v>
      </c>
    </row>
    <row r="106" spans="1:2" ht="16">
      <c r="A106" s="50" t="s">
        <v>103</v>
      </c>
      <c r="B106" s="55">
        <v>412500.0</v>
      </c>
    </row>
    <row r="107" spans="1:2" ht="16">
      <c r="A107" s="51" t="s">
        <v>104</v>
      </c>
      <c r="B107" s="56">
        <f>B104+B105+B106</f>
        <v>743158.94</v>
      </c>
    </row>
    <row r="108" spans="1:2" ht="16">
      <c r="A108" s="49" t="s">
        <v>105</v>
      </c>
      <c r="B108" s="56">
        <f>B92+B93+B94+B102+B103+B107</f>
        <v>1123922.89</v>
      </c>
    </row>
    <row r="109" spans="1:2" ht="16">
      <c r="A109" s="45" t="s">
        <v>106</v>
      </c>
      <c r="B109" s="56">
        <f>B70+B73+B91+B108</f>
        <v>1561086.23</v>
      </c>
    </row>
    <row r="110" spans="1:1" ht="16">
      <c r="A110" s="43" t="s">
        <v>107</v>
      </c>
    </row>
    <row r="111" spans="1:2" ht="16">
      <c r="A111" s="44" t="s">
        <v>108</v>
      </c>
      <c r="B111" s="55">
        <v>772314.99</v>
      </c>
    </row>
    <row r="112" spans="1:2" ht="16">
      <c r="A112" s="44" t="s">
        <v>109</v>
      </c>
      <c r="B112" s="55">
        <v>2353.22</v>
      </c>
    </row>
    <row r="113" spans="1:2" ht="16">
      <c r="A113" s="44" t="s">
        <v>110</v>
      </c>
      <c r="B113" s="55">
        <v>16000.0</v>
      </c>
    </row>
    <row r="114" spans="1:2" ht="16">
      <c r="A114" s="44" t="s">
        <v>111</v>
      </c>
      <c r="B114" s="55">
        <v>10771.65</v>
      </c>
    </row>
    <row r="115" spans="1:2" ht="16">
      <c r="A115" s="45" t="s">
        <v>112</v>
      </c>
      <c r="B115" s="56">
        <f>B110+B111+B112+B113+B114</f>
        <v>801439.86</v>
      </c>
    </row>
    <row r="116" spans="1:2" ht="16">
      <c r="A116" s="46" t="s">
        <v>113</v>
      </c>
      <c r="B116" s="56">
        <f>B69+B109+B115</f>
        <v>2362526.09</v>
      </c>
    </row>
    <row r="117" spans="1:1" ht="16">
      <c r="A117" s="42" t="s">
        <v>114</v>
      </c>
    </row>
    <row r="118" spans="1:2" ht="16">
      <c r="A118" s="43" t="s">
        <v>115</v>
      </c>
      <c r="B118" s="55">
        <v>810589.0</v>
      </c>
    </row>
    <row r="119" spans="1:2" ht="16">
      <c r="A119" s="43" t="s">
        <v>116</v>
      </c>
      <c r="B119" s="55">
        <v>1.353577543000001E7</v>
      </c>
    </row>
    <row r="120" spans="1:2" ht="16">
      <c r="A120" s="43" t="s">
        <v>117</v>
      </c>
      <c r="B120" s="55">
        <v>4329.279999997336</v>
      </c>
    </row>
    <row r="121" spans="1:2" ht="16">
      <c r="A121" s="46" t="s">
        <v>118</v>
      </c>
      <c r="B121" s="56">
        <f>B117+B118+B119+B120</f>
        <v>1.4350693710000008E7</v>
      </c>
    </row>
    <row r="122" spans="1:2" ht="16">
      <c r="A122" s="47" t="s">
        <v>119</v>
      </c>
      <c r="B122" s="56">
        <f>B68+B116+B121</f>
        <v>1.6713219800000008E7</v>
      </c>
    </row>
    <row r="126" spans="1:1" ht="16">
      <c r="A126" s="60" t="s">
        <v>122</v>
      </c>
    </row>
  </sheetData>
  <mergeCells count="4">
    <mergeCell ref="A1:B1"/>
    <mergeCell ref="A2:B2"/>
    <mergeCell ref="A3:B3"/>
    <mergeCell ref="A126:B12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