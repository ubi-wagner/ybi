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0" i="1" l="1"/>
</calcChain>
</file>

<file path=xl/sharedStrings.xml><?xml version="1.0" encoding="utf-8"?>
<sst xmlns="http://schemas.openxmlformats.org/spreadsheetml/2006/main" count="191" uniqueCount="187">
  <si>
    <t>Youngstown Business Incubator</t>
  </si>
  <si>
    <t>Profit and Loss</t>
  </si>
  <si>
    <t>January-December, 2025</t>
  </si>
  <si>
    <t>Income</t>
  </si>
  <si>
    <t>3900 Grant Income</t>
  </si>
  <si>
    <t>3881 CDBG Grant</t>
  </si>
  <si>
    <t>3991 MBAC</t>
  </si>
  <si>
    <t>AAMEN</t>
  </si>
  <si>
    <t>AM Workforce</t>
  </si>
  <si>
    <t>Digital Engineering</t>
  </si>
  <si>
    <t>DLA Grant</t>
  </si>
  <si>
    <t>Drive AM</t>
  </si>
  <si>
    <t>Hybrid Energy</t>
  </si>
  <si>
    <t>Last Tactical Mile</t>
  </si>
  <si>
    <t>Rising Tides</t>
  </si>
  <si>
    <t>Total for 3900 Grant Income</t>
  </si>
  <si>
    <t>4000 Contributions Income</t>
  </si>
  <si>
    <t>4001 Restricted Contributions</t>
  </si>
  <si>
    <t>4012 Unrestricted Contributions</t>
  </si>
  <si>
    <t>4029 Sponsorships</t>
  </si>
  <si>
    <t>AMUX Sponsorships</t>
  </si>
  <si>
    <t>EmpowerUS Sponsorships</t>
  </si>
  <si>
    <t>Shark Tank Sponsorships</t>
  </si>
  <si>
    <t>Total for 4029 Sponsorships</t>
  </si>
  <si>
    <t>4050 IYBI - Restricted Contributions</t>
  </si>
  <si>
    <t>4052 MBAC contribution</t>
  </si>
  <si>
    <t>Total for 4000 Contributions Income</t>
  </si>
  <si>
    <t>4015 Program Fees</t>
  </si>
  <si>
    <t>4010 State Funding-ODSA-ESP</t>
  </si>
  <si>
    <t>4015.1 Rent/Utilities</t>
  </si>
  <si>
    <t>4020 Rent - YBI Main</t>
  </si>
  <si>
    <t>4021 TTC Rent</t>
  </si>
  <si>
    <t>4022 Semple Rent</t>
  </si>
  <si>
    <t>4024 Semple Utilities</t>
  </si>
  <si>
    <t>4026 NAMII Rent Boardman St.</t>
  </si>
  <si>
    <t>4033 Tech Bldg 5 Rent</t>
  </si>
  <si>
    <t>4034 Tech Block Build 5 Utilities</t>
  </si>
  <si>
    <t>4038 Brite Rent</t>
  </si>
  <si>
    <t>5109 Tenant Furniture Rental</t>
  </si>
  <si>
    <t>Total for 4015.1 Rent/Utilities</t>
  </si>
  <si>
    <t>4035 Events/Seminars</t>
  </si>
  <si>
    <t>AMUX Ticket Sales</t>
  </si>
  <si>
    <t>EmpowerUS Ticket Sales</t>
  </si>
  <si>
    <t>Shark Tank Ticket Sales</t>
  </si>
  <si>
    <t>Total for 4035 Events/Seminars</t>
  </si>
  <si>
    <t>4039 X-JET Income</t>
  </si>
  <si>
    <t>4241 Service/Fee Income</t>
  </si>
  <si>
    <t>4242 Manufacturing Services</t>
  </si>
  <si>
    <t>Youth Entrepreneurship</t>
  </si>
  <si>
    <t>Total for 4015 Program Fees</t>
  </si>
  <si>
    <t>4040 Reimbursements</t>
  </si>
  <si>
    <t>4172 Monus Reimbursements</t>
  </si>
  <si>
    <t>Total for 4040 Reimbursements</t>
  </si>
  <si>
    <t>4800 Innovation Hub</t>
  </si>
  <si>
    <t>4801 IH Grant Income</t>
  </si>
  <si>
    <t>4802 IH Pledge Income</t>
  </si>
  <si>
    <t>4802.1 AMLER Grant</t>
  </si>
  <si>
    <t>Total for 4802 IH Pledge Income</t>
  </si>
  <si>
    <t>Total for 4800 Innovation Hub</t>
  </si>
  <si>
    <t>Total for Income</t>
  </si>
  <si>
    <t>Cost of Goods Sold</t>
  </si>
  <si>
    <t>5001 Cost of Goods Sold</t>
  </si>
  <si>
    <t>Channel selling fees</t>
  </si>
  <si>
    <t>PayPal fees</t>
  </si>
  <si>
    <t>Total for Channel selling fees</t>
  </si>
  <si>
    <t>Total for Cost of Goods Sold</t>
  </si>
  <si>
    <t>Gross Profit</t>
  </si>
  <si>
    <t>Expenses</t>
  </si>
  <si>
    <t>5010 Depreciation Expense</t>
  </si>
  <si>
    <t>5080 Fundraising</t>
  </si>
  <si>
    <t>5085 Advertising</t>
  </si>
  <si>
    <t>5089 Special Events</t>
  </si>
  <si>
    <t>5092 Networking/Mixers</t>
  </si>
  <si>
    <t>AMUX Event</t>
  </si>
  <si>
    <t>EmpowerUS Event</t>
  </si>
  <si>
    <t>Shark Tank Events</t>
  </si>
  <si>
    <t>Total for 5089 Special Events</t>
  </si>
  <si>
    <t>5095 Workshops/Seminars</t>
  </si>
  <si>
    <t>5120 Government Relations</t>
  </si>
  <si>
    <t>Total for 5080 Fundraising</t>
  </si>
  <si>
    <t>5129 Payroll Expenses</t>
  </si>
  <si>
    <t>5130 Benefits</t>
  </si>
  <si>
    <t>5133 401k Match &amp; Profit Sharing</t>
  </si>
  <si>
    <t>5137 Payroll Processing Fees</t>
  </si>
  <si>
    <t>5139 Wages</t>
  </si>
  <si>
    <t>5140 Employee Wages</t>
  </si>
  <si>
    <t>5142 Intern Wages</t>
  </si>
  <si>
    <t>Total for 5139 Wages</t>
  </si>
  <si>
    <t>5141 Payroll Taxes</t>
  </si>
  <si>
    <t>5145 Bureau of Worker's Compensation</t>
  </si>
  <si>
    <t>5151 Social Security &amp; Medicare</t>
  </si>
  <si>
    <t>5185 FUTA</t>
  </si>
  <si>
    <t>5195 SUI</t>
  </si>
  <si>
    <t>Total for 5141 Payroll Taxes</t>
  </si>
  <si>
    <t>Total for 5129 Payroll Expenses</t>
  </si>
  <si>
    <t>5310 Interest Expense</t>
  </si>
  <si>
    <t>5320 Loan Interest</t>
  </si>
  <si>
    <t>Total for 5310 Interest Expense</t>
  </si>
  <si>
    <t>5400 Bad Debt Expense</t>
  </si>
  <si>
    <t>Grant Expenses</t>
  </si>
  <si>
    <t>AAMEN Grant</t>
  </si>
  <si>
    <t>ARC Arise</t>
  </si>
  <si>
    <t>DOE Hybrid</t>
  </si>
  <si>
    <t>Innovation Hub Exp</t>
  </si>
  <si>
    <t>IH-EIR</t>
  </si>
  <si>
    <t>IH-Other</t>
  </si>
  <si>
    <t>Total for Innovation Hub Exp</t>
  </si>
  <si>
    <t>LTM Grant</t>
  </si>
  <si>
    <t>Rising Tides Expense</t>
  </si>
  <si>
    <t>Total for Grant Expenses</t>
  </si>
  <si>
    <t>Management &amp; Administrative Expenses</t>
  </si>
  <si>
    <t>5000 Bank Service Charges</t>
  </si>
  <si>
    <t>5015 Equipment Expenses</t>
  </si>
  <si>
    <t>5016 Equipment Purchases</t>
  </si>
  <si>
    <t>5017 Software Purchases</t>
  </si>
  <si>
    <t>5020 Equipment Rental/Leases</t>
  </si>
  <si>
    <t>Total for 5015 Equipment Expenses</t>
  </si>
  <si>
    <t>5024 Facilities Expense</t>
  </si>
  <si>
    <t>5030 Janitorial</t>
  </si>
  <si>
    <t>5035 Maintenance</t>
  </si>
  <si>
    <t>5040 Waste Removal</t>
  </si>
  <si>
    <t>5050 Security</t>
  </si>
  <si>
    <t>5051 Utilities</t>
  </si>
  <si>
    <t>5027 TTC Utilities</t>
  </si>
  <si>
    <t>5041 Semple Electric</t>
  </si>
  <si>
    <t>5042 Semple Gas</t>
  </si>
  <si>
    <t>5043 Boardman Street Electric</t>
  </si>
  <si>
    <t>5044 Boardman St. Gas</t>
  </si>
  <si>
    <t>5055 Electric</t>
  </si>
  <si>
    <t>5056 T1 Access</t>
  </si>
  <si>
    <t>5060 Heating/Cooling</t>
  </si>
  <si>
    <t>5065 Telephone</t>
  </si>
  <si>
    <t>5070 Water</t>
  </si>
  <si>
    <t>Total for 5051 Utilities</t>
  </si>
  <si>
    <t>Total for 5024 Facilities Expense</t>
  </si>
  <si>
    <t>5075 Insurance</t>
  </si>
  <si>
    <t>5100 Office Expenses</t>
  </si>
  <si>
    <t>5106 Office Miscellaneous</t>
  </si>
  <si>
    <t>5115 Consumable</t>
  </si>
  <si>
    <t>5125 Postage and Delivery</t>
  </si>
  <si>
    <t>Total for 5100 Office Expenses</t>
  </si>
  <si>
    <t>5200 Real Estate Tax</t>
  </si>
  <si>
    <t>5201 Professional Services</t>
  </si>
  <si>
    <t>5202 Accounting</t>
  </si>
  <si>
    <t>5222 IT development manager</t>
  </si>
  <si>
    <t>5226 Manuf. support - factory manage</t>
  </si>
  <si>
    <t>Total for 5201 Professional Services</t>
  </si>
  <si>
    <t>5205 Travel</t>
  </si>
  <si>
    <t>5206 Travel</t>
  </si>
  <si>
    <t>5207 Meals</t>
  </si>
  <si>
    <t>5213 Conference/Seminar</t>
  </si>
  <si>
    <t>Total for 5205 Travel</t>
  </si>
  <si>
    <t>5215 Dues and Subscriptions</t>
  </si>
  <si>
    <t>5220 Contributions</t>
  </si>
  <si>
    <t>5250 Meals &amp; Entertainment</t>
  </si>
  <si>
    <t>5300 Staff Training - Education</t>
  </si>
  <si>
    <t>5315 Finance Charge/Paypal/Eventbrit</t>
  </si>
  <si>
    <t>Total for Management &amp; Administrative Expenses</t>
  </si>
  <si>
    <t>Program Expenses</t>
  </si>
  <si>
    <t>5014 MBAC - ODSA - YBI</t>
  </si>
  <si>
    <t>MBAC/Power Marketing</t>
  </si>
  <si>
    <t>Total for 5014 MBAC - ODSA - YBI</t>
  </si>
  <si>
    <t>5229 VGV - Investment Fund</t>
  </si>
  <si>
    <t>5900 Additive Manufacturing</t>
  </si>
  <si>
    <t>5246 Manufacturing Expense</t>
  </si>
  <si>
    <t>5902 Supplies</t>
  </si>
  <si>
    <t>Advanced Mfg Marketing</t>
  </si>
  <si>
    <t>Total for 5900 Additive Manufacturing</t>
  </si>
  <si>
    <t>ESP</t>
  </si>
  <si>
    <t>5211 Internship Program</t>
  </si>
  <si>
    <t>5221 ESP/EIR Consulting</t>
  </si>
  <si>
    <t>5227 Portfolio consulting</t>
  </si>
  <si>
    <t>ESP Marketing</t>
  </si>
  <si>
    <t>Total for ESP</t>
  </si>
  <si>
    <t>SBA Growth Accelerator</t>
  </si>
  <si>
    <t>Total for Program Expenses</t>
  </si>
  <si>
    <t>Total for Expenses</t>
  </si>
  <si>
    <t>Net Operating Income</t>
  </si>
  <si>
    <t>Other Income</t>
  </si>
  <si>
    <t>5107 Interest Income</t>
  </si>
  <si>
    <t>5108 Other Income</t>
  </si>
  <si>
    <t>Total for Other Income</t>
  </si>
  <si>
    <t>Net Other Income</t>
  </si>
  <si>
    <t>Net Income</t>
  </si>
  <si>
    <t/>
  </si>
  <si>
    <t>Total</t>
  </si>
  <si>
    <t>Accrual Basis Friday, August 21, 2026 12:08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</si>
</sst>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194"/>
  <sheetViews>
    <sheetView tabSelected="1" workbookViewId="0" topLeftCell="A1"/>
  </sheetViews>
  <sheetFormatPr defaultColWidth="11.255" defaultRowHeight="16"/>
  <cols>
    <col min="1" max="1" width="40.125" style="46" customWidth="1"/>
    <col min="2" max="2" width="17" style="46" customWidth="1"/>
  </cols>
  <sheetData>
    <row r="1" spans="1:1" ht="16">
      <c r="A1" s="33" t="s">
        <v>0</v>
      </c>
    </row>
    <row r="2" spans="1:1" ht="16">
      <c r="A2" s="34" t="s">
        <v>1</v>
      </c>
    </row>
    <row r="3" spans="1:1" ht="16">
      <c r="A3" s="35" t="s">
        <v>2</v>
      </c>
    </row>
    <row r="5" spans="1:2" ht="16">
      <c r="A5" s="48" t="s">
        <v>184</v>
      </c>
      <c r="B5" s="53" t="s">
        <v>185</v>
      </c>
    </row>
    <row r="6" spans="1:1" ht="16">
      <c r="A6" s="37" t="s">
        <v>3</v>
      </c>
    </row>
    <row r="7" spans="1:2" ht="16">
      <c r="A7" s="38" t="s">
        <v>4</v>
      </c>
      <c r="B7" s="49"/>
    </row>
    <row r="8" spans="1:2" ht="16">
      <c r="A8" s="39" t="s">
        <v>5</v>
      </c>
      <c r="B8" s="50">
        <v>15923.1</v>
      </c>
    </row>
    <row r="9" spans="1:2" ht="16">
      <c r="A9" s="39" t="s">
        <v>6</v>
      </c>
      <c r="B9" s="50">
        <v>295954.3</v>
      </c>
    </row>
    <row r="10" spans="1:2" ht="16">
      <c r="A10" s="39" t="s">
        <v>7</v>
      </c>
      <c r="B10" s="50">
        <v>313050.84</v>
      </c>
    </row>
    <row r="11" spans="1:2" ht="16">
      <c r="A11" s="39" t="s">
        <v>8</v>
      </c>
      <c r="B11" s="50">
        <v>28063.5</v>
      </c>
    </row>
    <row r="12" spans="1:2" ht="16">
      <c r="A12" s="39" t="s">
        <v>9</v>
      </c>
      <c r="B12" s="50">
        <v>579074.25</v>
      </c>
    </row>
    <row r="13" spans="1:2" ht="16">
      <c r="A13" s="39" t="s">
        <v>10</v>
      </c>
      <c r="B13" s="50">
        <v>8462.08</v>
      </c>
    </row>
    <row r="14" spans="1:2" ht="16">
      <c r="A14" s="39" t="s">
        <v>11</v>
      </c>
      <c r="B14" s="50">
        <v>579240.87</v>
      </c>
    </row>
    <row r="15" spans="1:2" ht="16">
      <c r="A15" s="39" t="s">
        <v>12</v>
      </c>
      <c r="B15" s="50">
        <v>191638.05</v>
      </c>
    </row>
    <row r="16" spans="1:2" ht="16">
      <c r="A16" s="39" t="s">
        <v>13</v>
      </c>
      <c r="B16" s="50">
        <v>368222.24</v>
      </c>
    </row>
    <row r="17" spans="1:2" ht="16">
      <c r="A17" s="39" t="s">
        <v>14</v>
      </c>
      <c r="B17" s="50">
        <v>804270.03</v>
      </c>
    </row>
    <row r="18" spans="1:2" ht="16">
      <c r="A18" s="40" t="s">
        <v>15</v>
      </c>
      <c r="B18" s="51">
        <f>B7+B8+B9+B10+B11+B12+B13+B14+B15+B16+B17</f>
        <v>3183899.26</v>
      </c>
    </row>
    <row r="19" spans="1:2" ht="16">
      <c r="A19" s="38" t="s">
        <v>16</v>
      </c>
      <c r="B19" s="50">
        <v>85820.23</v>
      </c>
    </row>
    <row r="20" spans="1:2" ht="16">
      <c r="A20" s="39" t="s">
        <v>17</v>
      </c>
      <c r="B20" s="50">
        <v>91894.43</v>
      </c>
    </row>
    <row r="21" spans="1:2" ht="16">
      <c r="A21" s="39" t="s">
        <v>18</v>
      </c>
      <c r="B21" s="50">
        <v>19433.26</v>
      </c>
    </row>
    <row r="22" spans="1:2" ht="16">
      <c r="A22" s="39" t="s">
        <v>19</v>
      </c>
      <c r="B22" s="50">
        <v>15500.0</v>
      </c>
    </row>
    <row r="23" spans="1:2" ht="16">
      <c r="A23" s="41" t="s">
        <v>20</v>
      </c>
      <c r="B23" s="50">
        <v>20250.0</v>
      </c>
    </row>
    <row r="24" spans="1:2" ht="16">
      <c r="A24" s="41" t="s">
        <v>21</v>
      </c>
      <c r="B24" s="50">
        <v>2880.0</v>
      </c>
    </row>
    <row r="25" spans="1:2" ht="16">
      <c r="A25" s="41" t="s">
        <v>22</v>
      </c>
      <c r="B25" s="50">
        <v>231579.0</v>
      </c>
    </row>
    <row r="26" spans="1:2" ht="16">
      <c r="A26" s="42" t="s">
        <v>23</v>
      </c>
      <c r="B26" s="51">
        <f>B22+B23+B24+B25</f>
        <v>270209.0</v>
      </c>
    </row>
    <row r="27" spans="1:2" ht="16">
      <c r="A27" s="39" t="s">
        <v>24</v>
      </c>
      <c r="B27" s="50">
        <v>80150.0</v>
      </c>
    </row>
    <row r="28" spans="1:2" ht="16">
      <c r="A28" s="39" t="s">
        <v>25</v>
      </c>
      <c r="B28" s="50">
        <v>55000.0</v>
      </c>
    </row>
    <row r="29" spans="1:2" ht="16">
      <c r="A29" s="40" t="s">
        <v>26</v>
      </c>
      <c r="B29" s="51">
        <f>B19+B20+B21+B26+B27+B28</f>
        <v>602506.9199999999</v>
      </c>
    </row>
    <row r="30" spans="1:2" ht="16">
      <c r="A30" s="38" t="s">
        <v>27</v>
      </c>
      <c r="B30" s="49"/>
    </row>
    <row r="31" spans="1:2" ht="16">
      <c r="A31" s="39" t="s">
        <v>28</v>
      </c>
      <c r="B31" s="50">
        <v>1211515.2</v>
      </c>
    </row>
    <row r="32" spans="1:2" ht="16">
      <c r="A32" s="39" t="s">
        <v>29</v>
      </c>
      <c r="B32" s="49"/>
    </row>
    <row r="33" spans="1:2" ht="16">
      <c r="A33" s="41" t="s">
        <v>30</v>
      </c>
      <c r="B33" s="50">
        <v>56786.57</v>
      </c>
    </row>
    <row r="34" spans="1:2" ht="16">
      <c r="A34" s="41" t="s">
        <v>31</v>
      </c>
      <c r="B34" s="50">
        <v>237081.48</v>
      </c>
    </row>
    <row r="35" spans="1:2" ht="16">
      <c r="A35" s="41" t="s">
        <v>32</v>
      </c>
      <c r="B35" s="50">
        <v>109932.32</v>
      </c>
    </row>
    <row r="36" spans="1:2" ht="16">
      <c r="A36" s="41" t="s">
        <v>33</v>
      </c>
      <c r="B36" s="52">
        <v>0</v>
      </c>
    </row>
    <row r="37" spans="1:2" ht="16">
      <c r="A37" s="41" t="s">
        <v>34</v>
      </c>
      <c r="B37" s="50">
        <v>108000.0</v>
      </c>
    </row>
    <row r="38" spans="1:2" ht="16">
      <c r="A38" s="41" t="s">
        <v>35</v>
      </c>
      <c r="B38" s="50">
        <v>126129.84</v>
      </c>
    </row>
    <row r="39" spans="1:2" ht="16">
      <c r="A39" s="41" t="s">
        <v>36</v>
      </c>
      <c r="B39" s="52">
        <v>0</v>
      </c>
    </row>
    <row r="40" spans="1:2" ht="16">
      <c r="A40" s="41" t="s">
        <v>37</v>
      </c>
      <c r="B40" s="50">
        <v>632.0</v>
      </c>
    </row>
    <row r="41" spans="1:2" ht="16">
      <c r="A41" s="41" t="s">
        <v>38</v>
      </c>
      <c r="B41" s="50">
        <v>300.0</v>
      </c>
    </row>
    <row r="42" spans="1:2" ht="16">
      <c r="A42" s="42" t="s">
        <v>39</v>
      </c>
      <c r="B42" s="51">
        <f>B32+B33+B34+B35+B36+B37+B38+B39+B40+B41</f>
        <v>638862.21</v>
      </c>
    </row>
    <row r="43" spans="1:2" ht="16">
      <c r="A43" s="39" t="s">
        <v>40</v>
      </c>
      <c r="B43" s="49"/>
    </row>
    <row r="44" spans="1:2" ht="16">
      <c r="A44" s="41" t="s">
        <v>41</v>
      </c>
      <c r="B44" s="50">
        <v>950.0</v>
      </c>
    </row>
    <row r="45" spans="1:2" ht="16">
      <c r="A45" s="41" t="s">
        <v>42</v>
      </c>
      <c r="B45" s="50">
        <v>355.0</v>
      </c>
    </row>
    <row r="46" spans="1:2" ht="16">
      <c r="A46" s="41" t="s">
        <v>43</v>
      </c>
      <c r="B46" s="50">
        <v>21857.02</v>
      </c>
    </row>
    <row r="47" spans="1:2" ht="16">
      <c r="A47" s="42" t="s">
        <v>44</v>
      </c>
      <c r="B47" s="51">
        <f>B43+B44+B45+B46</f>
        <v>23162.02</v>
      </c>
    </row>
    <row r="48" spans="1:2" ht="16">
      <c r="A48" s="39" t="s">
        <v>45</v>
      </c>
      <c r="B48" s="50">
        <v>600.0</v>
      </c>
    </row>
    <row r="49" spans="1:2" ht="16">
      <c r="A49" s="39" t="s">
        <v>46</v>
      </c>
      <c r="B49" s="50">
        <v>27990.0</v>
      </c>
    </row>
    <row r="50" spans="1:2" ht="16">
      <c r="A50" s="39" t="s">
        <v>47</v>
      </c>
      <c r="B50" s="50">
        <v>87432.0</v>
      </c>
    </row>
    <row r="51" spans="1:2" ht="16">
      <c r="A51" s="39" t="s">
        <v>48</v>
      </c>
      <c r="B51" s="50">
        <v>3890.0</v>
      </c>
    </row>
    <row r="52" spans="1:2" ht="16">
      <c r="A52" s="40" t="s">
        <v>49</v>
      </c>
      <c r="B52" s="51">
        <f>B30+B31+B42+B47+B48+B49+B50+B51</f>
        <v>1993451.43</v>
      </c>
    </row>
    <row r="53" spans="1:2" ht="16">
      <c r="A53" s="38" t="s">
        <v>50</v>
      </c>
      <c r="B53" s="50">
        <v>14515.0</v>
      </c>
    </row>
    <row r="54" spans="1:2" ht="16">
      <c r="A54" s="39" t="s">
        <v>51</v>
      </c>
      <c r="B54" s="52">
        <v>0</v>
      </c>
    </row>
    <row r="55" spans="1:2" ht="16">
      <c r="A55" s="40" t="s">
        <v>52</v>
      </c>
      <c r="B55" s="51">
        <f>B53+B54</f>
        <v>14515.0</v>
      </c>
    </row>
    <row r="56" spans="1:2" ht="16">
      <c r="A56" s="38" t="s">
        <v>53</v>
      </c>
      <c r="B56" s="49"/>
    </row>
    <row r="57" spans="1:2" ht="16">
      <c r="A57" s="39" t="s">
        <v>54</v>
      </c>
      <c r="B57" s="50">
        <v>451170.39</v>
      </c>
    </row>
    <row r="58" spans="1:2" ht="16">
      <c r="A58" s="39" t="s">
        <v>55</v>
      </c>
      <c r="B58" s="49"/>
    </row>
    <row r="59" spans="1:2" ht="16">
      <c r="A59" s="41" t="s">
        <v>56</v>
      </c>
      <c r="B59" s="50">
        <v>417050.0</v>
      </c>
    </row>
    <row r="60" spans="1:2" ht="16">
      <c r="A60" s="42" t="s">
        <v>57</v>
      </c>
      <c r="B60" s="51">
        <f>B58+B59</f>
        <v>417050.0</v>
      </c>
    </row>
    <row r="61" spans="1:2" ht="16">
      <c r="A61" s="40" t="s">
        <v>58</v>
      </c>
      <c r="B61" s="51">
        <f>B56+B57+B60</f>
        <v>868220.39</v>
      </c>
    </row>
    <row r="62" spans="1:2" ht="16">
      <c r="A62" s="43" t="s">
        <v>59</v>
      </c>
      <c r="B62" s="51">
        <f>B6+B18+B29+B52+B55+B61</f>
        <v>6662592.999999999</v>
      </c>
    </row>
    <row r="63" spans="1:1" ht="16">
      <c r="A63" s="37" t="s">
        <v>60</v>
      </c>
    </row>
    <row r="64" spans="1:2" ht="16">
      <c r="A64" s="38" t="s">
        <v>61</v>
      </c>
      <c r="B64" s="50">
        <v>37261.0</v>
      </c>
    </row>
    <row r="65" spans="1:2" ht="16">
      <c r="A65" s="38" t="s">
        <v>62</v>
      </c>
      <c r="B65" s="49"/>
    </row>
    <row r="66" spans="1:2" ht="16">
      <c r="A66" s="39" t="s">
        <v>63</v>
      </c>
      <c r="B66" s="52">
        <v>0</v>
      </c>
    </row>
    <row r="67" spans="1:2" ht="16">
      <c r="A67" s="40" t="s">
        <v>64</v>
      </c>
      <c r="B67" s="51">
        <f>B65+B66</f>
        <v>0.0</v>
      </c>
    </row>
    <row r="68" spans="1:2" ht="16">
      <c r="A68" s="43" t="s">
        <v>65</v>
      </c>
      <c r="B68" s="51">
        <f>B63+B64+B67</f>
        <v>37261.0</v>
      </c>
    </row>
    <row r="69" spans="1:2" ht="16">
      <c r="A69" s="43" t="s">
        <v>66</v>
      </c>
      <c r="B69" s="51">
        <f>B62-B68</f>
        <v>6625331.999999999</v>
      </c>
    </row>
    <row r="70" spans="1:1" ht="16">
      <c r="A70" s="37" t="s">
        <v>67</v>
      </c>
    </row>
    <row r="71" spans="1:2" ht="16">
      <c r="A71" s="38" t="s">
        <v>68</v>
      </c>
      <c r="B71" s="50">
        <v>850382.89</v>
      </c>
    </row>
    <row r="72" spans="1:2" ht="16">
      <c r="A72" s="38" t="s">
        <v>69</v>
      </c>
      <c r="B72" s="49"/>
    </row>
    <row r="73" spans="1:2" ht="16">
      <c r="A73" s="39" t="s">
        <v>70</v>
      </c>
      <c r="B73" s="50">
        <v>125017.19</v>
      </c>
    </row>
    <row r="74" spans="1:2" ht="16">
      <c r="A74" s="39" t="s">
        <v>71</v>
      </c>
      <c r="B74" s="50">
        <v>13572.94</v>
      </c>
    </row>
    <row r="75" spans="1:2" ht="16">
      <c r="A75" s="41" t="s">
        <v>72</v>
      </c>
      <c r="B75" s="50">
        <v>80.0</v>
      </c>
    </row>
    <row r="76" spans="1:2" ht="16">
      <c r="A76" s="41" t="s">
        <v>73</v>
      </c>
      <c r="B76" s="50">
        <v>20406.37</v>
      </c>
    </row>
    <row r="77" spans="1:2" ht="16">
      <c r="A77" s="41" t="s">
        <v>74</v>
      </c>
      <c r="B77" s="50">
        <v>367.8</v>
      </c>
    </row>
    <row r="78" spans="1:2" ht="16">
      <c r="A78" s="41" t="s">
        <v>75</v>
      </c>
      <c r="B78" s="50">
        <v>120236.52</v>
      </c>
    </row>
    <row r="79" spans="1:2" ht="16">
      <c r="A79" s="42" t="s">
        <v>76</v>
      </c>
      <c r="B79" s="51">
        <f>B74+B75+B76+B77+B78</f>
        <v>154663.63</v>
      </c>
    </row>
    <row r="80" spans="1:2" ht="16">
      <c r="A80" s="39" t="s">
        <v>77</v>
      </c>
      <c r="B80" s="50">
        <v>1803.29</v>
      </c>
    </row>
    <row r="81" spans="1:2" ht="16">
      <c r="A81" s="39" t="s">
        <v>78</v>
      </c>
      <c r="B81" s="50">
        <v>25000.0</v>
      </c>
    </row>
    <row r="82" spans="1:2" ht="16">
      <c r="A82" s="40" t="s">
        <v>79</v>
      </c>
      <c r="B82" s="51">
        <f>B72+B73+B79+B80+B81</f>
        <v>306484.11</v>
      </c>
    </row>
    <row r="83" spans="1:2" ht="16">
      <c r="A83" s="38" t="s">
        <v>80</v>
      </c>
      <c r="B83" s="49"/>
    </row>
    <row r="84" spans="1:2" ht="16">
      <c r="A84" s="39" t="s">
        <v>81</v>
      </c>
      <c r="B84" s="50">
        <v>194353.59</v>
      </c>
    </row>
    <row r="85" spans="1:2" ht="16">
      <c r="A85" s="39" t="s">
        <v>82</v>
      </c>
      <c r="B85" s="50">
        <v>56519.42</v>
      </c>
    </row>
    <row r="86" spans="1:2" ht="16">
      <c r="A86" s="39" t="s">
        <v>83</v>
      </c>
      <c r="B86" s="50">
        <v>5236.7</v>
      </c>
    </row>
    <row r="87" spans="1:2" ht="16">
      <c r="A87" s="39" t="s">
        <v>84</v>
      </c>
      <c r="B87" s="49"/>
    </row>
    <row r="88" spans="1:2" ht="16">
      <c r="A88" s="41" t="s">
        <v>85</v>
      </c>
      <c r="B88" s="50">
        <v>1678157.27</v>
      </c>
    </row>
    <row r="89" spans="1:2" ht="16">
      <c r="A89" s="41" t="s">
        <v>86</v>
      </c>
      <c r="B89" s="50">
        <v>111836.67</v>
      </c>
    </row>
    <row r="90" spans="1:2" ht="16">
      <c r="A90" s="42" t="s">
        <v>87</v>
      </c>
      <c r="B90" s="51">
        <f>B87+B88+B89</f>
        <v>1789993.94</v>
      </c>
    </row>
    <row r="91" spans="1:2" ht="16">
      <c r="A91" s="39" t="s">
        <v>88</v>
      </c>
      <c r="B91" s="49"/>
    </row>
    <row r="92" spans="1:2" ht="16">
      <c r="A92" s="41" t="s">
        <v>89</v>
      </c>
      <c r="B92" s="50">
        <v>2707.0</v>
      </c>
    </row>
    <row r="93" spans="1:2" ht="16">
      <c r="A93" s="41" t="s">
        <v>90</v>
      </c>
      <c r="B93" s="50">
        <v>139303.78</v>
      </c>
    </row>
    <row r="94" spans="1:2" ht="16">
      <c r="A94" s="41" t="s">
        <v>91</v>
      </c>
      <c r="B94" s="50">
        <v>1653.51</v>
      </c>
    </row>
    <row r="95" spans="1:2" ht="16">
      <c r="A95" s="41" t="s">
        <v>92</v>
      </c>
      <c r="B95" s="50">
        <v>7246.3</v>
      </c>
    </row>
    <row r="96" spans="1:2" ht="16">
      <c r="A96" s="42" t="s">
        <v>93</v>
      </c>
      <c r="B96" s="51">
        <f>B91+B92+B93+B94+B95</f>
        <v>150910.59</v>
      </c>
    </row>
    <row r="97" spans="1:2" ht="16">
      <c r="A97" s="40" t="s">
        <v>94</v>
      </c>
      <c r="B97" s="51">
        <f>B83+B84+B85+B86+B90+B96</f>
        <v>2197014.2399999998</v>
      </c>
    </row>
    <row r="98" spans="1:2" ht="16">
      <c r="A98" s="38" t="s">
        <v>95</v>
      </c>
      <c r="B98" s="50">
        <v>27622.18</v>
      </c>
    </row>
    <row r="99" spans="1:2" ht="16">
      <c r="A99" s="39" t="s">
        <v>96</v>
      </c>
      <c r="B99" s="50">
        <v>21378.6</v>
      </c>
    </row>
    <row r="100" spans="1:2" ht="16">
      <c r="A100" s="40" t="s">
        <v>97</v>
      </c>
      <c r="B100" s="51">
        <f>B98+B99</f>
        <v>49000.78</v>
      </c>
    </row>
    <row r="101" spans="1:2" ht="16">
      <c r="A101" s="38" t="s">
        <v>98</v>
      </c>
      <c r="B101" s="50">
        <v>12037.85</v>
      </c>
    </row>
    <row r="102" spans="1:2" ht="16">
      <c r="A102" s="38" t="s">
        <v>99</v>
      </c>
      <c r="B102" s="49"/>
    </row>
    <row r="103" spans="1:2" ht="16">
      <c r="A103" s="39" t="s">
        <v>100</v>
      </c>
      <c r="B103" s="50">
        <v>152966.49</v>
      </c>
    </row>
    <row r="104" spans="1:2" ht="16">
      <c r="A104" s="39" t="s">
        <v>101</v>
      </c>
      <c r="B104" s="52">
        <v>0</v>
      </c>
    </row>
    <row r="105" spans="1:2" ht="16">
      <c r="A105" s="39" t="s">
        <v>9</v>
      </c>
      <c r="B105" s="50">
        <v>169975.01</v>
      </c>
    </row>
    <row r="106" spans="1:2" ht="16">
      <c r="A106" s="39" t="s">
        <v>10</v>
      </c>
      <c r="B106" s="50">
        <v>6552.37</v>
      </c>
    </row>
    <row r="107" spans="1:2" ht="16">
      <c r="A107" s="39" t="s">
        <v>102</v>
      </c>
      <c r="B107" s="50">
        <v>15000.1</v>
      </c>
    </row>
    <row r="108" spans="1:2" ht="16">
      <c r="A108" s="39" t="s">
        <v>11</v>
      </c>
      <c r="B108" s="50">
        <v>181880.88</v>
      </c>
    </row>
    <row r="109" spans="1:2" ht="16">
      <c r="A109" s="39" t="s">
        <v>103</v>
      </c>
      <c r="B109" s="49"/>
    </row>
    <row r="110" spans="1:2" ht="16">
      <c r="A110" s="41" t="s">
        <v>104</v>
      </c>
      <c r="B110" s="50">
        <v>10716.25</v>
      </c>
    </row>
    <row r="111" spans="1:2" ht="16">
      <c r="A111" s="41" t="s">
        <v>105</v>
      </c>
      <c r="B111" s="50">
        <v>49600.0</v>
      </c>
    </row>
    <row r="112" spans="1:2" ht="16">
      <c r="A112" s="42" t="s">
        <v>106</v>
      </c>
      <c r="B112" s="51">
        <f>B109+B110+B111</f>
        <v>60316.25</v>
      </c>
    </row>
    <row r="113" spans="1:2" ht="16">
      <c r="A113" s="39" t="s">
        <v>107</v>
      </c>
      <c r="B113" s="50">
        <v>266384.07</v>
      </c>
    </row>
    <row r="114" spans="1:2" ht="16">
      <c r="A114" s="39" t="s">
        <v>108</v>
      </c>
      <c r="B114" s="50">
        <v>574615.66</v>
      </c>
    </row>
    <row r="115" spans="1:2" ht="16">
      <c r="A115" s="40" t="s">
        <v>109</v>
      </c>
      <c r="B115" s="51">
        <f>B102+B103+B104+B105+B106+B107+B108+B112+B113+B114</f>
        <v>1427690.83</v>
      </c>
    </row>
    <row r="116" spans="1:2" ht="16">
      <c r="A116" s="38" t="s">
        <v>110</v>
      </c>
      <c r="B116" s="50">
        <v>25.0</v>
      </c>
    </row>
    <row r="117" spans="1:2" ht="16">
      <c r="A117" s="39" t="s">
        <v>111</v>
      </c>
      <c r="B117" s="50">
        <v>4353.32</v>
      </c>
    </row>
    <row r="118" spans="1:2" ht="16">
      <c r="A118" s="39" t="s">
        <v>112</v>
      </c>
      <c r="B118" s="50">
        <v>3654.5</v>
      </c>
    </row>
    <row r="119" spans="1:2" ht="16">
      <c r="A119" s="41" t="s">
        <v>113</v>
      </c>
      <c r="B119" s="50">
        <v>200.0</v>
      </c>
    </row>
    <row r="120" spans="1:2" ht="16">
      <c r="A120" s="41" t="s">
        <v>114</v>
      </c>
      <c r="B120" s="50">
        <v>248.51</v>
      </c>
    </row>
    <row r="121" spans="1:2" ht="16">
      <c r="A121" s="41" t="s">
        <v>115</v>
      </c>
      <c r="B121" s="50">
        <v>14325.12</v>
      </c>
    </row>
    <row r="122" spans="1:2" ht="16">
      <c r="A122" s="42" t="s">
        <v>116</v>
      </c>
      <c r="B122" s="51">
        <f>B118+B119+B120+B121</f>
        <v>18428.13</v>
      </c>
    </row>
    <row r="123" spans="1:2" ht="16">
      <c r="A123" s="39" t="s">
        <v>117</v>
      </c>
      <c r="B123" s="49"/>
    </row>
    <row r="124" spans="1:2" ht="16">
      <c r="A124" s="41" t="s">
        <v>118</v>
      </c>
      <c r="B124" s="50">
        <v>22712.0</v>
      </c>
    </row>
    <row r="125" spans="1:2" ht="16">
      <c r="A125" s="41" t="s">
        <v>119</v>
      </c>
      <c r="B125" s="50">
        <v>204028.21</v>
      </c>
    </row>
    <row r="126" spans="1:2" ht="16">
      <c r="A126" s="41" t="s">
        <v>120</v>
      </c>
      <c r="B126" s="50">
        <v>16708.02</v>
      </c>
    </row>
    <row r="127" spans="1:2" ht="16">
      <c r="A127" s="41" t="s">
        <v>121</v>
      </c>
      <c r="B127" s="50">
        <v>9157.25</v>
      </c>
    </row>
    <row r="128" spans="1:2" ht="16">
      <c r="A128" s="41" t="s">
        <v>122</v>
      </c>
      <c r="B128" s="49"/>
    </row>
    <row r="129" spans="1:2" ht="16">
      <c r="A129" s="44" t="s">
        <v>123</v>
      </c>
      <c r="B129" s="52">
        <v>0</v>
      </c>
    </row>
    <row r="130" spans="1:2" ht="16">
      <c r="A130" s="44" t="s">
        <v>124</v>
      </c>
      <c r="B130" s="50">
        <v>4160.08</v>
      </c>
    </row>
    <row r="131" spans="1:2" ht="16">
      <c r="A131" s="44" t="s">
        <v>125</v>
      </c>
      <c r="B131" s="50">
        <v>2395.09</v>
      </c>
    </row>
    <row r="132" spans="1:2" ht="16">
      <c r="A132" s="44" t="s">
        <v>126</v>
      </c>
      <c r="B132" s="50">
        <v>78514.36</v>
      </c>
    </row>
    <row r="133" spans="1:2" ht="16">
      <c r="A133" s="44" t="s">
        <v>127</v>
      </c>
      <c r="B133" s="50">
        <v>5805.78</v>
      </c>
    </row>
    <row r="134" spans="1:2" ht="16">
      <c r="A134" s="44" t="s">
        <v>128</v>
      </c>
      <c r="B134" s="50">
        <v>22427.95</v>
      </c>
    </row>
    <row r="135" spans="1:2" ht="16">
      <c r="A135" s="44" t="s">
        <v>129</v>
      </c>
      <c r="B135" s="50">
        <v>86887.3</v>
      </c>
    </row>
    <row r="136" spans="1:2" ht="16">
      <c r="A136" s="44" t="s">
        <v>130</v>
      </c>
      <c r="B136" s="50">
        <v>63309.91</v>
      </c>
    </row>
    <row r="137" spans="1:2" ht="16">
      <c r="A137" s="44" t="s">
        <v>131</v>
      </c>
      <c r="B137" s="50">
        <v>18612.87</v>
      </c>
    </row>
    <row r="138" spans="1:2" ht="16">
      <c r="A138" s="44" t="s">
        <v>132</v>
      </c>
      <c r="B138" s="50">
        <v>10474.77</v>
      </c>
    </row>
    <row r="139" spans="1:2" ht="16">
      <c r="A139" s="45" t="s">
        <v>133</v>
      </c>
      <c r="B139" s="51">
        <f>B128+B129+B130+B131+B132+B133+B134+B135+B136+B137+B138</f>
        <v>292588.11</v>
      </c>
    </row>
    <row r="140" spans="1:2" ht="16">
      <c r="A140" s="42" t="s">
        <v>134</v>
      </c>
      <c r="B140" s="51">
        <f>B123+B124+B125+B126+B127+B139</f>
        <v>545193.59</v>
      </c>
    </row>
    <row r="141" spans="1:2" ht="16">
      <c r="A141" s="39" t="s">
        <v>135</v>
      </c>
      <c r="B141" s="50">
        <v>57596.36</v>
      </c>
    </row>
    <row r="142" spans="1:2" ht="16">
      <c r="A142" s="39" t="s">
        <v>136</v>
      </c>
      <c r="B142" s="50">
        <v>17351.09</v>
      </c>
    </row>
    <row r="143" spans="1:2" ht="16">
      <c r="A143" s="41" t="s">
        <v>137</v>
      </c>
      <c r="B143" s="50">
        <v>319.8</v>
      </c>
    </row>
    <row r="144" spans="1:2" ht="16">
      <c r="A144" s="41" t="s">
        <v>138</v>
      </c>
      <c r="B144" s="50">
        <v>444.21</v>
      </c>
    </row>
    <row r="145" spans="1:2" ht="16">
      <c r="A145" s="41" t="s">
        <v>139</v>
      </c>
      <c r="B145" s="50">
        <v>1486.23</v>
      </c>
    </row>
    <row r="146" spans="1:2" ht="16">
      <c r="A146" s="42" t="s">
        <v>140</v>
      </c>
      <c r="B146" s="51">
        <f>B142+B143+B144+B145</f>
        <v>19601.329999999998</v>
      </c>
    </row>
    <row r="147" spans="1:2" ht="16">
      <c r="A147" s="39" t="s">
        <v>141</v>
      </c>
      <c r="B147" s="50">
        <v>26526.66</v>
      </c>
    </row>
    <row r="148" spans="1:2" ht="16">
      <c r="A148" s="39" t="s">
        <v>142</v>
      </c>
      <c r="B148" s="50">
        <v>21254.28</v>
      </c>
    </row>
    <row r="149" spans="1:2" ht="16">
      <c r="A149" s="41" t="s">
        <v>143</v>
      </c>
      <c r="B149" s="50">
        <v>98624.44</v>
      </c>
    </row>
    <row r="150" spans="1:2" ht="16">
      <c r="A150" s="41" t="s">
        <v>144</v>
      </c>
      <c r="B150" s="50">
        <v>14055.49</v>
      </c>
    </row>
    <row r="151" spans="1:2" ht="16">
      <c r="A151" s="41" t="s">
        <v>145</v>
      </c>
      <c r="B151" s="50">
        <v>10640.0</v>
      </c>
    </row>
    <row r="152" spans="1:2" ht="16">
      <c r="A152" s="42" t="s">
        <v>146</v>
      </c>
      <c r="B152" s="51">
        <f>B148+B149+B150+B151</f>
        <v>144574.21</v>
      </c>
    </row>
    <row r="153" spans="1:2" ht="16">
      <c r="A153" s="39" t="s">
        <v>147</v>
      </c>
      <c r="B153" s="49"/>
    </row>
    <row r="154" spans="1:2" ht="16">
      <c r="A154" s="41" t="s">
        <v>148</v>
      </c>
      <c r="B154" s="50">
        <v>18406.27</v>
      </c>
    </row>
    <row r="155" spans="1:2" ht="16">
      <c r="A155" s="41" t="s">
        <v>149</v>
      </c>
      <c r="B155" s="50">
        <v>175.8</v>
      </c>
    </row>
    <row r="156" spans="1:2" ht="16">
      <c r="A156" s="41" t="s">
        <v>150</v>
      </c>
      <c r="B156" s="50">
        <v>3505.0</v>
      </c>
    </row>
    <row r="157" spans="1:2" ht="16">
      <c r="A157" s="42" t="s">
        <v>151</v>
      </c>
      <c r="B157" s="51">
        <f>B153+B154+B155+B156</f>
        <v>22087.07</v>
      </c>
    </row>
    <row r="158" spans="1:2" ht="16">
      <c r="A158" s="39" t="s">
        <v>152</v>
      </c>
      <c r="B158" s="50">
        <v>50134.97</v>
      </c>
    </row>
    <row r="159" spans="1:2" ht="16">
      <c r="A159" s="39" t="s">
        <v>153</v>
      </c>
      <c r="B159" s="50">
        <v>1000.0</v>
      </c>
    </row>
    <row r="160" spans="1:2" ht="16">
      <c r="A160" s="39" t="s">
        <v>154</v>
      </c>
      <c r="B160" s="50">
        <v>28426.52</v>
      </c>
    </row>
    <row r="161" spans="1:2" ht="16">
      <c r="A161" s="39" t="s">
        <v>155</v>
      </c>
      <c r="B161" s="50">
        <v>8228.65</v>
      </c>
    </row>
    <row r="162" spans="1:2" ht="16">
      <c r="A162" s="39" t="s">
        <v>156</v>
      </c>
      <c r="B162" s="50">
        <v>10093.1</v>
      </c>
    </row>
    <row r="163" spans="1:2" ht="16">
      <c r="A163" s="40" t="s">
        <v>157</v>
      </c>
      <c r="B163" s="51">
        <f>B116+B117+B122+B140+B141+B146+B147+B152+B157+B158+B159+B160+B161+B162</f>
        <v>936268.9099999998</v>
      </c>
    </row>
    <row r="164" spans="1:2" ht="16">
      <c r="A164" s="38" t="s">
        <v>158</v>
      </c>
      <c r="B164" s="49"/>
    </row>
    <row r="165" spans="1:2" ht="16">
      <c r="A165" s="39" t="s">
        <v>159</v>
      </c>
      <c r="B165" s="50">
        <v>32245.6</v>
      </c>
    </row>
    <row r="166" spans="1:2" ht="16">
      <c r="A166" s="41" t="s">
        <v>160</v>
      </c>
      <c r="B166" s="50">
        <v>2515.0</v>
      </c>
    </row>
    <row r="167" spans="1:2" ht="16">
      <c r="A167" s="41" t="s">
        <v>48</v>
      </c>
      <c r="B167" s="50">
        <v>11984.43</v>
      </c>
    </row>
    <row r="168" spans="1:2" ht="16">
      <c r="A168" s="42" t="s">
        <v>161</v>
      </c>
      <c r="B168" s="51">
        <f>B165+B166+B167</f>
        <v>46745.03</v>
      </c>
    </row>
    <row r="169" spans="1:2" ht="16">
      <c r="A169" s="39" t="s">
        <v>162</v>
      </c>
      <c r="B169" s="50">
        <v>1450.0</v>
      </c>
    </row>
    <row r="170" spans="1:2" ht="16">
      <c r="A170" s="39" t="s">
        <v>163</v>
      </c>
      <c r="B170" s="50">
        <v>4310.29</v>
      </c>
    </row>
    <row r="171" spans="1:2" ht="16">
      <c r="A171" s="41" t="s">
        <v>164</v>
      </c>
      <c r="B171" s="50">
        <v>1989.6</v>
      </c>
    </row>
    <row r="172" spans="1:2" ht="16">
      <c r="A172" s="41" t="s">
        <v>165</v>
      </c>
      <c r="B172" s="50">
        <v>15.91</v>
      </c>
    </row>
    <row r="173" spans="1:2" ht="16">
      <c r="A173" s="41" t="s">
        <v>166</v>
      </c>
      <c r="B173" s="50">
        <v>4856.19</v>
      </c>
    </row>
    <row r="174" spans="1:2" ht="16">
      <c r="A174" s="42" t="s">
        <v>167</v>
      </c>
      <c r="B174" s="51">
        <f>B170+B171+B172+B173</f>
        <v>11171.989999999998</v>
      </c>
    </row>
    <row r="175" spans="1:2" ht="16">
      <c r="A175" s="39" t="s">
        <v>168</v>
      </c>
      <c r="B175" s="50">
        <v>23811.84</v>
      </c>
    </row>
    <row r="176" spans="1:2" ht="16">
      <c r="A176" s="41" t="s">
        <v>169</v>
      </c>
      <c r="B176" s="52">
        <v>0</v>
      </c>
    </row>
    <row r="177" spans="1:2" ht="16">
      <c r="A177" s="41" t="s">
        <v>170</v>
      </c>
      <c r="B177" s="50">
        <v>266040.01</v>
      </c>
    </row>
    <row r="178" spans="1:2" ht="16">
      <c r="A178" s="41" t="s">
        <v>171</v>
      </c>
      <c r="B178" s="50">
        <v>588538.89</v>
      </c>
    </row>
    <row r="179" spans="1:2" ht="16">
      <c r="A179" s="41" t="s">
        <v>172</v>
      </c>
      <c r="B179" s="50">
        <v>1272.12</v>
      </c>
    </row>
    <row r="180" spans="1:2" ht="16">
      <c r="A180" s="42" t="s">
        <v>173</v>
      </c>
      <c r="B180" s="51">
        <f>B175+B176+B177+B178+B179</f>
        <v>879662.86</v>
      </c>
    </row>
    <row r="181" spans="1:2" ht="16">
      <c r="A181" s="39" t="s">
        <v>174</v>
      </c>
      <c r="B181" s="50">
        <v>20041.69</v>
      </c>
    </row>
    <row r="182" spans="1:2" ht="16">
      <c r="A182" s="40" t="s">
        <v>175</v>
      </c>
      <c r="B182" s="51">
        <f>B164+B168+B169+B174+B180+B181</f>
        <v>959071.57</v>
      </c>
    </row>
    <row r="183" spans="1:2" ht="16">
      <c r="A183" s="43" t="s">
        <v>176</v>
      </c>
      <c r="B183" s="51">
        <f>B70+B71+B82+B97+B100+B101+B115+B163+B182</f>
        <v>6737951.18</v>
      </c>
    </row>
    <row r="184" spans="1:2" ht="16">
      <c r="A184" s="43" t="s">
        <v>177</v>
      </c>
      <c r="B184" s="51">
        <f>B69-B183</f>
        <v>-112619.18000000063</v>
      </c>
    </row>
    <row r="185" spans="1:1" ht="16">
      <c r="A185" s="37" t="s">
        <v>178</v>
      </c>
    </row>
    <row r="186" spans="1:2" ht="16">
      <c r="A186" s="38" t="s">
        <v>179</v>
      </c>
      <c r="B186" s="50">
        <v>6765.59</v>
      </c>
    </row>
    <row r="187" spans="1:2" ht="16">
      <c r="A187" s="38" t="s">
        <v>180</v>
      </c>
      <c r="B187" s="50">
        <v>110182.87</v>
      </c>
    </row>
    <row r="188" spans="1:2" ht="16">
      <c r="A188" s="43" t="s">
        <v>181</v>
      </c>
      <c r="B188" s="51">
        <f>B185+B186+B187</f>
        <v>116948.45999999999</v>
      </c>
    </row>
    <row r="189" spans="1:2" ht="16">
      <c r="A189" s="43" t="s">
        <v>182</v>
      </c>
      <c r="B189" s="51">
        <f>B188-0</f>
        <v>116948.45999999999</v>
      </c>
    </row>
    <row r="190" spans="1:2" ht="16">
      <c r="A190" s="43" t="s">
        <v>183</v>
      </c>
      <c r="B190" s="51">
        <f>B184+B189</f>
        <v>4329.279999999359</v>
      </c>
    </row>
    <row r="194" spans="1:1" ht="16">
      <c r="A194" s="54" t="s">
        <v>186</v>
      </c>
    </row>
  </sheetData>
  <mergeCells count="4">
    <mergeCell ref="A1:B1"/>
    <mergeCell ref="A2:B2"/>
    <mergeCell ref="A3:B3"/>
    <mergeCell ref="A194:B19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