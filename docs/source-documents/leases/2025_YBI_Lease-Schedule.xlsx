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#CLIENTS\Youngstown Business Incubator\2025 Year End\Sample Requests\08.11.2026\"/>
    </mc:Choice>
  </mc:AlternateContent>
  <xr:revisionPtr revIDLastSave="0" documentId="13_ncr:1_{B8AC0480-7620-428A-8ED0-E08E05A7D9CC}" xr6:coauthVersionLast="47" xr6:coauthVersionMax="47" xr10:uidLastSave="{00000000-0000-0000-0000-000000000000}"/>
  <bookViews>
    <workbookView xWindow="-105" yWindow="0" windowWidth="19410" windowHeight="15585" xr2:uid="{98508081-8B6F-4F68-A4AD-5EE590E77EAD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2" l="1"/>
  <c r="F8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8" i="2"/>
  <c r="F3" i="2"/>
  <c r="F4" i="2"/>
  <c r="E27" i="2"/>
  <c r="F27" i="2" s="1"/>
  <c r="E6" i="2"/>
  <c r="F6" i="2" s="1"/>
  <c r="E9" i="2"/>
  <c r="F9" i="2" s="1"/>
  <c r="E5" i="2"/>
  <c r="F5" i="2" s="1"/>
  <c r="E1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Collins, Andrew</author>
  </authors>
  <commentList>
    <comment ref="A9" authorId="0" shapeId="0" xr:uid="{DFF00E92-E48B-4C5E-AD16-A39E7D9D270C}">
      <text>
        <r>
          <rPr>
            <b/>
            <sz val="9"/>
            <color indexed="81"/>
            <rFont val="Tahoma"/>
            <family val="2"/>
          </rPr>
          <t>Collins, Andrew:</t>
        </r>
        <r>
          <rPr>
            <sz val="9"/>
            <color indexed="81"/>
            <rFont val="Tahoma"/>
            <family val="2"/>
          </rPr>
          <t xml:space="preserve">
M+N Added in CY</t>
        </r>
      </text>
    </comment>
  </commentList>
</comments>
</file>

<file path=xl/sharedStrings.xml><?xml version="1.0" encoding="utf-8"?>
<sst xmlns="http://schemas.openxmlformats.org/spreadsheetml/2006/main" count="67" uniqueCount="40">
  <si>
    <t>Lessee</t>
  </si>
  <si>
    <t>Building</t>
  </si>
  <si>
    <t>Lease Start Date</t>
  </si>
  <si>
    <t>Lease End Date</t>
  </si>
  <si>
    <t>Monthly Rent</t>
  </si>
  <si>
    <t>Vista AST</t>
  </si>
  <si>
    <t>Juggerbot 3D</t>
  </si>
  <si>
    <t>BDI</t>
  </si>
  <si>
    <t>TBB5</t>
  </si>
  <si>
    <t>NCDMM America Makes</t>
  </si>
  <si>
    <t>Semple</t>
  </si>
  <si>
    <t>AM</t>
  </si>
  <si>
    <t>YBI</t>
  </si>
  <si>
    <t>Annual Rent</t>
  </si>
  <si>
    <t>Ursa Major</t>
  </si>
  <si>
    <t>Steelite</t>
  </si>
  <si>
    <t>M. Jones LLC</t>
  </si>
  <si>
    <t>Made by Morgan LLC</t>
  </si>
  <si>
    <t>ybi</t>
  </si>
  <si>
    <t>Taft</t>
  </si>
  <si>
    <t>Steelite 1st Fl &amp; LL</t>
  </si>
  <si>
    <t>Steelite added suite 3FL</t>
  </si>
  <si>
    <t>Taft/semple</t>
  </si>
  <si>
    <t>Fitz Custom QOZB</t>
  </si>
  <si>
    <t>Bplanet - Atrl8</t>
  </si>
  <si>
    <t xml:space="preserve">Parallax </t>
  </si>
  <si>
    <t>Tailored Alloys</t>
  </si>
  <si>
    <t>Tbb5</t>
  </si>
  <si>
    <t>American Maintenance</t>
  </si>
  <si>
    <t xml:space="preserve">MVMC - </t>
  </si>
  <si>
    <t xml:space="preserve">Equipment Appraisal Services </t>
  </si>
  <si>
    <t>Ralph Zerbonia</t>
  </si>
  <si>
    <t>JSO Technologies</t>
  </si>
  <si>
    <t xml:space="preserve">Greg Babinack    </t>
  </si>
  <si>
    <t>Beloved Guardians</t>
  </si>
  <si>
    <t xml:space="preserve">Marquee - </t>
  </si>
  <si>
    <t xml:space="preserve">Azanna Elise, LLC </t>
  </si>
  <si>
    <t>monthly</t>
  </si>
  <si>
    <t>NeuroReef</t>
  </si>
  <si>
    <t>2025 Leases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</si>
</sst>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/>
    <xf numFmtId="14" fontId="0" fillId="0" borderId="0" xfId="0" applyNumberFormat="1"/>
    <xf numFmtId="0" fontId="5" fillId="0" borderId="0" xfId="0" applyFont="1"/>
    <xf numFmtId="14" fontId="5" fillId="0" borderId="0" xfId="0" applyNumberFormat="1" applyFont="1"/>
    <xf numFmtId="43" fontId="5" fillId="0" borderId="0" xfId="1" applyFont="1" applyFill="1"/>
    <xf numFmtId="0" fontId="1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AF749-DE85-45BA-BCE3-A14418540F1A}">
  <dimension ref="A1:F28"/>
  <sheetViews>
    <sheetView tabSelected="1" workbookViewId="0">
      <selection activeCell="E12" sqref="E12"/>
    </sheetView>
  </sheetViews>
  <sheetFormatPr defaultRowHeight="15" x14ac:dyDescent="0.25"/>
  <cols>
    <col min="1" max="1" width="25" bestFit="1" customWidth="1"/>
    <col min="2" max="2" width="11.85546875" bestFit="1" customWidth="1"/>
    <col min="3" max="3" width="15.28515625" bestFit="1" customWidth="1"/>
    <col min="4" max="4" width="14.42578125" bestFit="1" customWidth="1"/>
    <col min="5" max="5" width="13.28515625" bestFit="1" customWidth="1"/>
    <col min="6" max="6" width="11.85546875" bestFit="1" customWidth="1"/>
  </cols>
  <sheetData>
    <row r="1" spans="1:6" x14ac:dyDescent="0.25">
      <c r="A1" s="6" t="s">
        <v>39</v>
      </c>
      <c r="B1" s="6"/>
      <c r="C1" s="6"/>
      <c r="D1" s="6"/>
      <c r="E1" s="6"/>
      <c r="F1" s="6"/>
    </row>
    <row r="2" spans="1:6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13</v>
      </c>
    </row>
    <row r="3" spans="1:6" x14ac:dyDescent="0.25">
      <c r="A3" s="3" t="s">
        <v>28</v>
      </c>
      <c r="B3" s="3" t="s">
        <v>18</v>
      </c>
      <c r="C3" s="4">
        <v>45931</v>
      </c>
      <c r="D3" s="4">
        <v>47026</v>
      </c>
      <c r="E3" s="5">
        <v>638.33000000000004</v>
      </c>
      <c r="F3" s="5">
        <f t="shared" ref="F3:F28" si="0">E3*12</f>
        <v>7659.9600000000009</v>
      </c>
    </row>
    <row r="4" spans="1:6" x14ac:dyDescent="0.25">
      <c r="A4" s="3" t="s">
        <v>36</v>
      </c>
      <c r="B4" s="3" t="s">
        <v>18</v>
      </c>
      <c r="C4" s="4" t="s">
        <v>37</v>
      </c>
      <c r="D4" s="4"/>
      <c r="E4" s="5">
        <v>254</v>
      </c>
      <c r="F4" s="5">
        <f t="shared" si="0"/>
        <v>3048</v>
      </c>
    </row>
    <row r="5" spans="1:6" x14ac:dyDescent="0.25">
      <c r="A5" s="3" t="s">
        <v>7</v>
      </c>
      <c r="B5" s="3" t="s">
        <v>8</v>
      </c>
      <c r="C5" s="4">
        <v>45900</v>
      </c>
      <c r="D5" s="4">
        <v>47057</v>
      </c>
      <c r="E5" s="5">
        <f>574.75+649.5+400</f>
        <v>1624.25</v>
      </c>
      <c r="F5" s="5">
        <f t="shared" si="0"/>
        <v>19491</v>
      </c>
    </row>
    <row r="6" spans="1:6" x14ac:dyDescent="0.25">
      <c r="A6" s="3" t="s">
        <v>34</v>
      </c>
      <c r="B6" s="3" t="s">
        <v>18</v>
      </c>
      <c r="C6" s="4">
        <v>45689</v>
      </c>
      <c r="D6" s="4">
        <v>46783</v>
      </c>
      <c r="E6" s="5">
        <f>308.5+82.33</f>
        <v>390.83</v>
      </c>
      <c r="F6" s="5">
        <f t="shared" si="0"/>
        <v>4689.96</v>
      </c>
    </row>
    <row r="7" spans="1:6" x14ac:dyDescent="0.25">
      <c r="A7" s="3" t="s">
        <v>24</v>
      </c>
      <c r="B7" s="3" t="s">
        <v>27</v>
      </c>
      <c r="C7" s="4">
        <v>45870</v>
      </c>
      <c r="D7" s="4">
        <v>46599</v>
      </c>
      <c r="E7" s="5">
        <v>186</v>
      </c>
      <c r="F7" s="5">
        <f t="shared" si="0"/>
        <v>2232</v>
      </c>
    </row>
    <row r="8" spans="1:6" x14ac:dyDescent="0.25">
      <c r="A8" s="3" t="s">
        <v>30</v>
      </c>
      <c r="B8" s="3" t="s">
        <v>18</v>
      </c>
      <c r="C8" s="4" t="s">
        <v>37</v>
      </c>
      <c r="D8" s="4"/>
      <c r="E8" s="5">
        <v>80</v>
      </c>
      <c r="F8" s="5">
        <f t="shared" si="0"/>
        <v>960</v>
      </c>
    </row>
    <row r="9" spans="1:6" x14ac:dyDescent="0.25">
      <c r="A9" s="3" t="s">
        <v>23</v>
      </c>
      <c r="B9" s="3" t="s">
        <v>8</v>
      </c>
      <c r="C9" s="4">
        <v>45444</v>
      </c>
      <c r="D9" s="4">
        <v>45808</v>
      </c>
      <c r="E9" s="5">
        <f>1500+83+750</f>
        <v>2333</v>
      </c>
      <c r="F9" s="5">
        <f t="shared" si="0"/>
        <v>27996</v>
      </c>
    </row>
    <row r="10" spans="1:6" x14ac:dyDescent="0.25">
      <c r="A10" s="3" t="s">
        <v>33</v>
      </c>
      <c r="B10" s="3" t="s">
        <v>18</v>
      </c>
      <c r="C10" s="4" t="s">
        <v>37</v>
      </c>
      <c r="D10" s="4"/>
      <c r="E10" s="5">
        <v>103.13</v>
      </c>
      <c r="F10" s="5">
        <f t="shared" si="0"/>
        <v>1237.56</v>
      </c>
    </row>
    <row r="11" spans="1:6" x14ac:dyDescent="0.25">
      <c r="A11" s="3" t="s">
        <v>32</v>
      </c>
      <c r="B11" s="3" t="s">
        <v>18</v>
      </c>
      <c r="C11" s="4" t="s">
        <v>37</v>
      </c>
      <c r="D11" s="4"/>
      <c r="E11" s="5">
        <v>145.5</v>
      </c>
      <c r="F11" s="5">
        <f t="shared" si="0"/>
        <v>1746</v>
      </c>
    </row>
    <row r="12" spans="1:6" x14ac:dyDescent="0.25">
      <c r="A12" s="3" t="s">
        <v>6</v>
      </c>
      <c r="B12" s="3" t="s">
        <v>8</v>
      </c>
      <c r="C12" s="4">
        <v>45870</v>
      </c>
      <c r="D12" s="4">
        <v>46965</v>
      </c>
      <c r="E12" s="5">
        <f>2052.25+3133.33</f>
        <v>5185.58</v>
      </c>
      <c r="F12" s="5">
        <f t="shared" si="0"/>
        <v>62226.96</v>
      </c>
    </row>
    <row r="13" spans="1:6" x14ac:dyDescent="0.25">
      <c r="A13" s="3" t="s">
        <v>16</v>
      </c>
      <c r="B13" s="3" t="s">
        <v>18</v>
      </c>
      <c r="C13" s="4" t="s">
        <v>37</v>
      </c>
      <c r="D13" s="4"/>
      <c r="E13" s="5">
        <v>191</v>
      </c>
      <c r="F13" s="5">
        <f t="shared" si="0"/>
        <v>2292</v>
      </c>
    </row>
    <row r="14" spans="1:6" x14ac:dyDescent="0.25">
      <c r="A14" s="3" t="s">
        <v>17</v>
      </c>
      <c r="B14" s="3" t="s">
        <v>18</v>
      </c>
      <c r="C14" s="4" t="s">
        <v>37</v>
      </c>
      <c r="D14" s="4"/>
      <c r="E14" s="5">
        <v>294.5</v>
      </c>
      <c r="F14" s="5">
        <f t="shared" si="0"/>
        <v>3534</v>
      </c>
    </row>
    <row r="15" spans="1:6" x14ac:dyDescent="0.25">
      <c r="A15" s="3" t="s">
        <v>35</v>
      </c>
      <c r="B15" s="3" t="s">
        <v>18</v>
      </c>
      <c r="C15" s="4">
        <v>45992</v>
      </c>
      <c r="D15" s="4">
        <v>47087</v>
      </c>
      <c r="E15" s="5">
        <v>206.25</v>
      </c>
      <c r="F15" s="5">
        <f t="shared" si="0"/>
        <v>2475</v>
      </c>
    </row>
    <row r="16" spans="1:6" x14ac:dyDescent="0.25">
      <c r="A16" s="3" t="s">
        <v>29</v>
      </c>
      <c r="B16" s="3" t="s">
        <v>18</v>
      </c>
      <c r="C16" s="4">
        <v>46113</v>
      </c>
      <c r="D16" s="4">
        <v>47208</v>
      </c>
      <c r="E16" s="5">
        <v>250</v>
      </c>
      <c r="F16" s="5">
        <f t="shared" si="0"/>
        <v>3000</v>
      </c>
    </row>
    <row r="17" spans="1:6" x14ac:dyDescent="0.25">
      <c r="A17" s="3" t="s">
        <v>9</v>
      </c>
      <c r="B17" s="3" t="s">
        <v>11</v>
      </c>
      <c r="C17" s="4">
        <v>44105</v>
      </c>
      <c r="D17" s="4">
        <v>45930</v>
      </c>
      <c r="E17" s="5">
        <v>9000</v>
      </c>
      <c r="F17" s="5">
        <f t="shared" si="0"/>
        <v>108000</v>
      </c>
    </row>
    <row r="18" spans="1:6" x14ac:dyDescent="0.25">
      <c r="A18" s="3" t="s">
        <v>9</v>
      </c>
      <c r="B18" s="3" t="s">
        <v>18</v>
      </c>
      <c r="C18" s="4">
        <v>45692</v>
      </c>
      <c r="D18" s="4">
        <v>47514</v>
      </c>
      <c r="E18" s="5">
        <v>1560</v>
      </c>
      <c r="F18" s="5">
        <f t="shared" si="0"/>
        <v>18720</v>
      </c>
    </row>
    <row r="19" spans="1:6" x14ac:dyDescent="0.25">
      <c r="A19" s="3" t="s">
        <v>38</v>
      </c>
      <c r="B19" s="3" t="s">
        <v>18</v>
      </c>
      <c r="C19" s="4">
        <v>45721</v>
      </c>
      <c r="D19" s="4">
        <v>46811</v>
      </c>
      <c r="E19" s="5">
        <v>277.8</v>
      </c>
      <c r="F19" s="5">
        <f t="shared" si="0"/>
        <v>3333.6000000000004</v>
      </c>
    </row>
    <row r="20" spans="1:6" x14ac:dyDescent="0.25">
      <c r="A20" s="3" t="s">
        <v>25</v>
      </c>
      <c r="B20" s="3" t="s">
        <v>27</v>
      </c>
      <c r="C20" s="4" t="s">
        <v>37</v>
      </c>
      <c r="D20" s="4"/>
      <c r="E20" s="5">
        <v>360</v>
      </c>
      <c r="F20" s="5">
        <f t="shared" si="0"/>
        <v>4320</v>
      </c>
    </row>
    <row r="21" spans="1:6" x14ac:dyDescent="0.25">
      <c r="A21" t="s">
        <v>31</v>
      </c>
      <c r="B21" t="s">
        <v>18</v>
      </c>
      <c r="C21" t="s">
        <v>37</v>
      </c>
      <c r="E21">
        <v>121.25</v>
      </c>
      <c r="F21" s="5">
        <f t="shared" si="0"/>
        <v>1455</v>
      </c>
    </row>
    <row r="22" spans="1:6" x14ac:dyDescent="0.25">
      <c r="A22" s="3" t="s">
        <v>15</v>
      </c>
      <c r="B22" s="3" t="s">
        <v>22</v>
      </c>
      <c r="C22" s="4">
        <v>44834</v>
      </c>
      <c r="D22" s="4">
        <v>48457</v>
      </c>
      <c r="E22" s="5">
        <v>16926.330000000002</v>
      </c>
      <c r="F22" s="5">
        <f t="shared" si="0"/>
        <v>203115.96000000002</v>
      </c>
    </row>
    <row r="23" spans="1:6" x14ac:dyDescent="0.25">
      <c r="A23" s="3" t="s">
        <v>20</v>
      </c>
      <c r="B23" s="3" t="s">
        <v>10</v>
      </c>
      <c r="C23" s="4">
        <v>45047</v>
      </c>
      <c r="D23" s="4">
        <v>48457</v>
      </c>
      <c r="E23" s="5">
        <v>4127.25</v>
      </c>
      <c r="F23" s="5">
        <f t="shared" si="0"/>
        <v>49527</v>
      </c>
    </row>
    <row r="24" spans="1:6" x14ac:dyDescent="0.25">
      <c r="A24" s="3" t="s">
        <v>21</v>
      </c>
      <c r="B24" s="3" t="s">
        <v>19</v>
      </c>
      <c r="C24" s="4">
        <v>44986</v>
      </c>
      <c r="D24" s="4">
        <v>48457</v>
      </c>
      <c r="E24" s="5">
        <v>2830.46</v>
      </c>
      <c r="F24" s="5">
        <f t="shared" si="0"/>
        <v>33965.520000000004</v>
      </c>
    </row>
    <row r="25" spans="1:6" x14ac:dyDescent="0.25">
      <c r="A25" t="s">
        <v>26</v>
      </c>
      <c r="B25" t="s">
        <v>27</v>
      </c>
      <c r="C25" s="2">
        <v>45170</v>
      </c>
      <c r="D25" s="2">
        <v>46265</v>
      </c>
      <c r="E25">
        <v>696</v>
      </c>
      <c r="F25" s="5">
        <f t="shared" si="0"/>
        <v>8352</v>
      </c>
    </row>
    <row r="26" spans="1:6" x14ac:dyDescent="0.25">
      <c r="A26" t="s">
        <v>14</v>
      </c>
      <c r="B26" t="s">
        <v>27</v>
      </c>
      <c r="C26" s="2">
        <v>45689</v>
      </c>
      <c r="D26" s="2">
        <v>46783</v>
      </c>
      <c r="E26">
        <v>600.83000000000004</v>
      </c>
      <c r="F26" s="5">
        <f t="shared" si="0"/>
        <v>7209.9600000000009</v>
      </c>
    </row>
    <row r="27" spans="1:6" x14ac:dyDescent="0.25">
      <c r="A27" s="3" t="s">
        <v>5</v>
      </c>
      <c r="B27" s="3" t="s">
        <v>8</v>
      </c>
      <c r="C27" s="4">
        <v>45689</v>
      </c>
      <c r="D27" s="4">
        <v>46783</v>
      </c>
      <c r="E27" s="5">
        <f>1140.75</f>
        <v>1140.75</v>
      </c>
      <c r="F27" s="5">
        <f t="shared" si="0"/>
        <v>13689</v>
      </c>
    </row>
    <row r="28" spans="1:6" x14ac:dyDescent="0.25">
      <c r="A28" s="3" t="s">
        <v>5</v>
      </c>
      <c r="B28" s="3" t="s">
        <v>12</v>
      </c>
      <c r="C28" s="4">
        <v>45689</v>
      </c>
      <c r="D28" s="4">
        <v>46783</v>
      </c>
      <c r="E28" s="5">
        <v>582.75</v>
      </c>
      <c r="F28" s="5">
        <f t="shared" si="0"/>
        <v>6993</v>
      </c>
    </row>
  </sheetData>
  <mergeCells count="1">
    <mergeCell ref="A1:F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Metzinger</dc:creator>
  <cp:lastModifiedBy>Tom metzinger</cp:lastModifiedBy>
  <dcterms:created xsi:type="dcterms:W3CDTF">2021-05-26T17:52:25Z</dcterms:created>
  <dcterms:modified xsi:type="dcterms:W3CDTF">2026-08-11T18:04:41Z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Version">
    <vt:i4>20</vt:i4>
  </property>
  <property fmtid="{D5CDD505-2E9C-101B-9397-08002B2CF9AE}" pid="3" name="tabName">
    <vt:lpwstr>Financial statement preparation workpapers</vt:lpwstr>
  </property>
  <property fmtid="{D5CDD505-2E9C-101B-9397-08002B2CF9AE}" pid="4" name="tabIndex">
    <vt:lpwstr>1140</vt:lpwstr>
  </property>
  <property fmtid="{D5CDD505-2E9C-101B-9397-08002B2CF9AE}" pid="5" name="workpaperIndex">
    <vt:lpwstr>1143</vt:lpwstr>
  </property>
</Properties>
</file>